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_FONTES" sheetId="1" state="visible" r:id="rId1"/>
    <sheet name="VALIDACAO_URL" sheetId="2" state="visible" r:id="rId2"/>
    <sheet name="COBERTURA" sheetId="3" state="visible" r:id="rId3"/>
    <sheet name="REJEITADAS" sheetId="4" state="visible" r:id="rId4"/>
    <sheet name="JA_EXISTIA" sheetId="5" state="visible" r:id="rId5"/>
    <sheet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52" customWidth="1" min="3" max="3"/>
    <col width="56" customWidth="1" min="4" max="4"/>
    <col width="62" customWidth="1" min="5" max="5"/>
    <col width="44" customWidth="1" min="6" max="6"/>
    <col width="56" customWidth="1" min="7" max="7"/>
    <col width="70" customWidth="1" min="8" max="8"/>
  </cols>
  <sheetData>
    <row r="1">
      <c r="A1" s="1" t="inlineStr">
        <is>
          <t>TIPO</t>
        </is>
      </c>
      <c r="B1" s="1" t="inlineStr">
        <is>
          <t>PAIS</t>
        </is>
      </c>
      <c r="C1" s="1" t="inlineStr">
        <is>
          <t>NOME</t>
        </is>
      </c>
      <c r="D1" s="1" t="inlineStr">
        <is>
          <t>URL</t>
        </is>
      </c>
      <c r="E1" s="1" t="inlineStr">
        <is>
          <t>PARA_QUE_SERVE</t>
        </is>
      </c>
      <c r="F1" s="1" t="inlineStr">
        <is>
          <t>QUEM_VIU</t>
        </is>
      </c>
      <c r="G1" s="1" t="inlineStr">
        <is>
          <t>ONDE_VIU</t>
        </is>
      </c>
      <c r="H1" s="1" t="inlineStr">
        <is>
          <t>NOTA</t>
        </is>
      </c>
    </row>
    <row r="2">
      <c r="A2" t="inlineStr">
        <is>
          <t>BASE_OFICIAL</t>
        </is>
      </c>
      <c r="B2" t="inlineStr">
        <is>
          <t>IT</t>
        </is>
      </c>
      <c r="C2" t="inlineStr">
        <is>
          <t>ARTA Abruzzo</t>
        </is>
      </c>
      <c r="D2" t="inlineStr">
        <is>
          <t>https://www.artaabruzzo.it/</t>
        </is>
      </c>
      <c r="E2" t="inlineStr">
        <is>
          <t>base/registro oficial de ARTA Abruzzo sobre ambiente, monitoraggio — alimenta T2 (clima/acqua/suolo), T12 (politica e ambiente agricola)</t>
        </is>
      </c>
      <c r="F2" t="inlineStr">
        <is>
          <t>claude-code (missao ITALY-200-SOURCES-DISCOVERY, 2026-09-14)</t>
        </is>
      </c>
      <c r="G2" t="inlineStr">
        <is>
          <t>descoberta por familia de fonte 'arpa' e verificada por sonda HTTP</t>
        </is>
      </c>
      <c r="H2" t="inlineStr">
        <is>
          <t>CANDIDATA validada em 2026-09-14; SOURCE_ID nao atribuido (nasce na porta canonica)</t>
        </is>
      </c>
    </row>
    <row r="3">
      <c r="A3" t="inlineStr">
        <is>
          <t>BASE_OFICIAL</t>
        </is>
      </c>
      <c r="B3" t="inlineStr">
        <is>
          <t>IT</t>
        </is>
      </c>
      <c r="C3" t="inlineStr">
        <is>
          <t>Regione Abruzzo — Agricoltura</t>
        </is>
      </c>
      <c r="D3" t="inlineStr">
        <is>
          <t>https://www.regione.abruzzo.it/</t>
        </is>
      </c>
      <c r="E3" t="inlineStr">
        <is>
          <t>base/registro oficial de Regione Abruzzo sobre agricoltura, PSR — alimenta T1 (cultura e producao), T4 (regulatorio)</t>
        </is>
      </c>
      <c r="F3" t="inlineStr">
        <is>
          <t>claude-code (missao ITALY-200-SOURCES-DISCOVERY, 2026-09-14)</t>
        </is>
      </c>
      <c r="G3" t="inlineStr">
        <is>
          <t>descoberta por familia de fonte 'regione_agricoltura' e verificada por sonda HTTP</t>
        </is>
      </c>
      <c r="H3" t="inlineStr">
        <is>
          <t>endereco corrigido: caminho devolve 404; raiz responde · cadeia TLS incompleta no servidor; validado com o intermediario obtido por AIA · CANDIDATA validada em 2026-09-14; SOURCE_ID nao atribuido (nasce na porta canonica)</t>
        </is>
      </c>
    </row>
    <row r="4">
      <c r="A4" t="inlineStr">
        <is>
          <t>BASE_OFICIAL</t>
        </is>
      </c>
      <c r="B4" t="inlineStr">
        <is>
          <t>IT</t>
        </is>
      </c>
      <c r="C4" t="inlineStr">
        <is>
          <t>ARPA Basilicata</t>
        </is>
      </c>
      <c r="D4" t="inlineStr">
        <is>
          <t>https://www.arpab.it/</t>
        </is>
      </c>
      <c r="E4" t="inlineStr">
        <is>
          <t>base/registro oficial de ARPAB sobre ambiente, monitoraggio — alimenta T2 (clima/acqua/suolo), T12 (politica e ambiente agricola)</t>
        </is>
      </c>
      <c r="F4" t="inlineStr">
        <is>
          <t>claude-code (missao ITALY-200-SOURCES-DISCOVERY, 2026-09-14)</t>
        </is>
      </c>
      <c r="G4" t="inlineStr">
        <is>
          <t>descoberta por familia de fonte 'arpa' e verificada por sonda HTTP</t>
        </is>
      </c>
      <c r="H4" t="inlineStr">
        <is>
          <t>CANDIDATA validada em 2026-09-14; SOURCE_ID nao atribuido (nasce na porta canonica)</t>
        </is>
      </c>
    </row>
    <row r="5">
      <c r="A5" t="inlineStr">
        <is>
          <t>BASE_OFICIAL</t>
        </is>
      </c>
      <c r="B5" t="inlineStr">
        <is>
          <t>IT</t>
        </is>
      </c>
      <c r="C5" t="inlineStr">
        <is>
          <t>ARPACAL Calabria</t>
        </is>
      </c>
      <c r="D5" t="inlineStr">
        <is>
          <t>https://www.arpacal.it/</t>
        </is>
      </c>
      <c r="E5" t="inlineStr">
        <is>
          <t>base/registro oficial de ARPACAL sobre ambiente, agrometeorologia, CFM — alimenta T2 (clima/acqua/suolo), T12 (politica e ambiente agricola)</t>
        </is>
      </c>
      <c r="F5" t="inlineStr">
        <is>
          <t>claude-code (missao ITALY-200-SOURCES-DISCOVERY, 2026-09-14)</t>
        </is>
      </c>
      <c r="G5" t="inlineStr">
        <is>
          <t>descoberta por familia de fonte 'arpa' e verificada por sonda HTTP</t>
        </is>
      </c>
      <c r="H5" t="inlineStr">
        <is>
          <t>CANDIDATA validada em 2026-09-14; SOURCE_ID nao atribuido (nasce na porta canonica)</t>
        </is>
      </c>
    </row>
    <row r="6">
      <c r="A6" t="inlineStr">
        <is>
          <t>BASE_OFICIAL</t>
        </is>
      </c>
      <c r="B6" t="inlineStr">
        <is>
          <t>IT</t>
        </is>
      </c>
      <c r="C6" t="inlineStr">
        <is>
          <t>ARSAC Calabria — Azienda Regionale per lo Sviluppo dell'Agricoltura Calabrese</t>
        </is>
      </c>
      <c r="D6" t="inlineStr">
        <is>
          <t>https://www.arsac.calabria.it/</t>
        </is>
      </c>
      <c r="E6" t="inlineStr">
        <is>
          <t>base/registro oficial de Regione Calabria sobre assistenza tecnica, divulgazione, fitosanitario — alimenta T1 (cultura e producao), T7 (rede tecnica), T3 (praga, doenca e infestanti)</t>
        </is>
      </c>
      <c r="F6" t="inlineStr">
        <is>
          <t>claude-code (missao ITALY-200-SOURCES-DISCOVERY, 2026-09-14)</t>
        </is>
      </c>
      <c r="G6" t="inlineStr">
        <is>
          <t>descoberta por familia de fonte 'agenzia_regionale' e verificada por sonda HTTP</t>
        </is>
      </c>
      <c r="H6" t="inlineStr">
        <is>
          <t>CANDIDATA validada em 2026-09-14; SOURCE_ID nao atribuido (nasce na porta canonica)</t>
        </is>
      </c>
    </row>
    <row r="7">
      <c r="A7" t="inlineStr">
        <is>
          <t>BASE_OFICIAL</t>
        </is>
      </c>
      <c r="B7" t="inlineStr">
        <is>
          <t>IT</t>
        </is>
      </c>
      <c r="C7" t="inlineStr">
        <is>
          <t>Calabria — Dipartimento Agricoltura</t>
        </is>
      </c>
      <c r="D7" t="inlineStr">
        <is>
          <t>https://www.regione.calabria.it/website/portaltemplates/view/view.cfm?21</t>
        </is>
      </c>
      <c r="E7" t="inlineStr">
        <is>
          <t>base/registro oficial de Regione Calabria sobre agricoltura, PSR — alimenta T1 (cultura e producao), T4 (regulatorio)</t>
        </is>
      </c>
      <c r="F7" t="inlineStr">
        <is>
          <t>claude-code (missao ITALY-200-SOURCES-DISCOVERY, 2026-09-14)</t>
        </is>
      </c>
      <c r="G7" t="inlineStr">
        <is>
          <t>descoberta por familia de fonte 'regione_agricoltura' e verificada por sonda HTTP</t>
        </is>
      </c>
      <c r="H7" t="inlineStr">
        <is>
          <t>CANDIDATA validada em 2026-09-14; SOURCE_ID nao atribuido (nasce na porta canonica)</t>
        </is>
      </c>
    </row>
    <row r="8">
      <c r="A8" t="inlineStr">
        <is>
          <t>BASE_OFICIAL</t>
        </is>
      </c>
      <c r="B8" t="inlineStr">
        <is>
          <t>IT</t>
        </is>
      </c>
      <c r="C8" t="inlineStr">
        <is>
          <t>ARPA Campania</t>
        </is>
      </c>
      <c r="D8" t="inlineStr">
        <is>
          <t>https://www.arpacampania.it/</t>
        </is>
      </c>
      <c r="E8" t="inlineStr">
        <is>
          <t>base/registro oficial de ARPAC sobre ambiente, acque, meteo — alimenta T2 (clima/acqua/suolo), T12 (politica e ambiente agricola)</t>
        </is>
      </c>
      <c r="F8" t="inlineStr">
        <is>
          <t>claude-code (missao ITALY-200-SOURCES-DISCOVERY, 2026-09-14)</t>
        </is>
      </c>
      <c r="G8" t="inlineStr">
        <is>
          <t>descoberta por familia de fonte 'arpa' e verificada por sonda HTTP</t>
        </is>
      </c>
      <c r="H8" t="inlineStr">
        <is>
          <t>CANDIDATA validada em 2026-09-14; SOURCE_ID nao atribuido (nasce na porta canonica)</t>
        </is>
      </c>
    </row>
    <row r="9">
      <c r="A9" t="inlineStr">
        <is>
          <t>BASE_OFICIAL</t>
        </is>
      </c>
      <c r="B9" t="inlineStr">
        <is>
          <t>IT</t>
        </is>
      </c>
      <c r="C9" t="inlineStr">
        <is>
          <t>Borsa Merci Bologna — Camera di Commercio</t>
        </is>
      </c>
      <c r="D9" t="inlineStr">
        <is>
          <t>https://www.bo.camcom.gov.it/</t>
        </is>
      </c>
      <c r="E9" t="inlineStr">
        <is>
          <t>base/registro oficial de Camera di Commercio di Bologna sobre prezzi, cereali, borsa merci — alimenta T10 (mercado e industria)</t>
        </is>
      </c>
      <c r="F9" t="inlineStr">
        <is>
          <t>claude-code (missao ITALY-200-SOURCES-DISCOVERY, 2026-09-14)</t>
        </is>
      </c>
      <c r="G9" t="inlineStr">
        <is>
          <t>descoberta por familia de fonte 'mercado' e verificada por sonda HTTP</t>
        </is>
      </c>
      <c r="H9" t="inlineStr">
        <is>
          <t>endereco corrigido: caminho devolve 404; raiz responde · CANDIDATA validada em 2026-09-14; SOURCE_ID nao atribuido (nasce na porta canonica)</t>
        </is>
      </c>
    </row>
    <row r="10">
      <c r="A10" t="inlineStr">
        <is>
          <t>BASE_OFICIAL</t>
        </is>
      </c>
      <c r="B10" t="inlineStr">
        <is>
          <t>IT</t>
        </is>
      </c>
      <c r="C10" t="inlineStr">
        <is>
          <t>Emilia-Romagna — Servizio Fitosanitario</t>
        </is>
      </c>
      <c r="D10" t="inlineStr">
        <is>
          <t>https://agricoltura.regione.emilia-romagna.it/fitosanitario</t>
        </is>
      </c>
      <c r="E10" t="inlineStr">
        <is>
          <t>base/registro oficial de Regione Emilia-Romagna sobre servizio fitosanitario, bollettini — alimenta T3 (praga, doenca e infestanti), T4 (regulatorio)</t>
        </is>
      </c>
      <c r="F10" t="inlineStr">
        <is>
          <t>claude-code (missao ITALY-200-SOURCES-DISCOVERY, 2026-09-14)</t>
        </is>
      </c>
      <c r="G10" t="inlineStr">
        <is>
          <t>descoberta por familia de fonte 'servizio_fitosanitario' e verificada por sonda HTTP</t>
        </is>
      </c>
      <c r="H10" t="inlineStr">
        <is>
          <t>mesmo dono ja' no acervo, canal diferente · CANDIDATA validada em 2026-09-14; SOURCE_ID nao atribuido (nasce na porta canonica)</t>
        </is>
      </c>
    </row>
    <row r="11">
      <c r="A11" t="inlineStr">
        <is>
          <t>BASE_OFICIAL</t>
        </is>
      </c>
      <c r="B11" t="inlineStr">
        <is>
          <t>IT</t>
        </is>
      </c>
      <c r="C11" t="inlineStr">
        <is>
          <t>Fitogest — banca dati agrofarmaci</t>
        </is>
      </c>
      <c r="D11" t="inlineStr">
        <is>
          <t>https://fitogest.imagelinenetwork.com/</t>
        </is>
      </c>
      <c r="E11" t="inlineStr">
        <is>
          <t>base/registro oficial de Image Line sobre agrofarmaci, etichette, registro — alimenta T4 (regulatorio), T3 (praga, doenca e infestanti)</t>
        </is>
      </c>
      <c r="F11" t="inlineStr">
        <is>
          <t>claude-code (missao ITALY-200-SOURCES-DISCOVERY, 2026-09-14)</t>
        </is>
      </c>
      <c r="G11" t="inlineStr">
        <is>
          <t>descoberta por familia de fonte 'base_dados' e verificada por sonda HTTP</t>
        </is>
      </c>
      <c r="H11" t="inlineStr">
        <is>
          <t>CANDIDATA validada em 2026-09-14; SOURCE_ID nao atribuido (nasce na porta canonica)</t>
        </is>
      </c>
    </row>
    <row r="12">
      <c r="A12" t="inlineStr">
        <is>
          <t>BASE_OFICIAL</t>
        </is>
      </c>
      <c r="B12" t="inlineStr">
        <is>
          <t>IT</t>
        </is>
      </c>
      <c r="C12" t="inlineStr">
        <is>
          <t>Plantgest — banca dati varieta</t>
        </is>
      </c>
      <c r="D12" t="inlineStr">
        <is>
          <t>https://plantgest.imagelinenetwork.com/</t>
        </is>
      </c>
      <c r="E12" t="inlineStr">
        <is>
          <t>base/registro oficial de Image Line sobre varieta vegetali, schede — alimenta T1 (cultura e producao), T4 (regulatorio)</t>
        </is>
      </c>
      <c r="F12" t="inlineStr">
        <is>
          <t>claude-code (missao ITALY-200-SOURCES-DISCOVERY, 2026-09-14)</t>
        </is>
      </c>
      <c r="G12" t="inlineStr">
        <is>
          <t>descoberta por familia de fonte 'base_dados' e verificada por sonda HTTP</t>
        </is>
      </c>
      <c r="H12" t="inlineStr">
        <is>
          <t>CANDIDATA validada em 2026-09-14; SOURCE_ID nao atribuido (nasce na porta canonica)</t>
        </is>
      </c>
    </row>
    <row r="13">
      <c r="A13" t="inlineStr">
        <is>
          <t>BASE_OFICIAL</t>
        </is>
      </c>
      <c r="B13" t="inlineStr">
        <is>
          <t>IT</t>
        </is>
      </c>
      <c r="C13" t="inlineStr">
        <is>
          <t>ARPA Friuli Venezia Giulia — OSMER</t>
        </is>
      </c>
      <c r="D13" t="inlineStr">
        <is>
          <t>https://www.arpa.fvg.it/</t>
        </is>
      </c>
      <c r="E13" t="inlineStr">
        <is>
          <t>base/registro oficial de ARPA FVG sobre meteo, agrometeo, OSMER — alimenta T2 (clima/acqua/suolo)</t>
        </is>
      </c>
      <c r="F13" t="inlineStr">
        <is>
          <t>claude-code (missao ITALY-200-SOURCES-DISCOVERY, 2026-09-14)</t>
        </is>
      </c>
      <c r="G13" t="inlineStr">
        <is>
          <t>descoberta por familia de fonte 'arpa' e verificada por sonda HTTP</t>
        </is>
      </c>
      <c r="H13" t="inlineStr">
        <is>
          <t>CANDIDATA validada em 2026-09-14; SOURCE_ID nao atribuido (nasce na porta canonica)</t>
        </is>
      </c>
    </row>
    <row r="14">
      <c r="A14" t="inlineStr">
        <is>
          <t>BASE_OFICIAL</t>
        </is>
      </c>
      <c r="B14" t="inlineStr">
        <is>
          <t>IT</t>
        </is>
      </c>
      <c r="C14" t="inlineStr">
        <is>
          <t>ERSA FVG — Agenzia regionale per lo sviluppo rurale</t>
        </is>
      </c>
      <c r="D14" t="inlineStr">
        <is>
          <t>https://www.ersa.fvg.it/</t>
        </is>
      </c>
      <c r="E14" t="inlineStr">
        <is>
          <t>base/registro oficial de Regione Friuli-Venezia Giulia sobre servizio fitosanitario, vite, divulgazione — alimenta T3 (praga, doenca e infestanti), T1 (cultura e producao), T7 (rede tecnica)</t>
        </is>
      </c>
      <c r="F14" t="inlineStr">
        <is>
          <t>claude-code (missao ITALY-200-SOURCES-DISCOVERY, 2026-09-14)</t>
        </is>
      </c>
      <c r="G14" t="inlineStr">
        <is>
          <t>descoberta por familia de fonte 'servizio_fitosanitario' e verificada por sonda HTTP</t>
        </is>
      </c>
      <c r="H14" t="inlineStr">
        <is>
          <t>CANDIDATA validada em 2026-09-14; SOURCE_ID nao atribuido (nasce na porta canonica)</t>
        </is>
      </c>
    </row>
    <row r="15">
      <c r="A15" t="inlineStr">
        <is>
          <t>BASE_OFICIAL</t>
        </is>
      </c>
      <c r="B15" t="inlineStr">
        <is>
          <t>IT</t>
        </is>
      </c>
      <c r="C15" t="inlineStr">
        <is>
          <t>ARPA Lazio</t>
        </is>
      </c>
      <c r="D15" t="inlineStr">
        <is>
          <t>https://www.arpalazio.it/</t>
        </is>
      </c>
      <c r="E15" t="inlineStr">
        <is>
          <t>base/registro oficial de ARPA Lazio sobre ambiente, aria, acque — alimenta T2 (clima/acqua/suolo), T12 (politica e ambiente agricola)</t>
        </is>
      </c>
      <c r="F15" t="inlineStr">
        <is>
          <t>claude-code (missao ITALY-200-SOURCES-DISCOVERY, 2026-09-14)</t>
        </is>
      </c>
      <c r="G15" t="inlineStr">
        <is>
          <t>descoberta por familia de fonte 'arpa' e verificada por sonda HTTP</t>
        </is>
      </c>
      <c r="H15" t="inlineStr">
        <is>
          <t>CANDIDATA validada em 2026-09-14; SOURCE_ID nao atribuido (nasce na porta canonica)</t>
        </is>
      </c>
    </row>
    <row r="16">
      <c r="A16" t="inlineStr">
        <is>
          <t>BASE_OFICIAL</t>
        </is>
      </c>
      <c r="B16" t="inlineStr">
        <is>
          <t>IT</t>
        </is>
      </c>
      <c r="C16" t="inlineStr">
        <is>
          <t>ARSIAL — Agenzia Regionale Sviluppo Innovazione Agricoltura Lazio</t>
        </is>
      </c>
      <c r="D16" t="inlineStr">
        <is>
          <t>https://www.arsial.it/</t>
        </is>
      </c>
      <c r="E16" t="inlineStr">
        <is>
          <t>base/registro oficial de Regione Lazio sobre sviluppo agricolo, biodiversita, assistenza — alimenta T1 (cultura e producao), T7 (rede tecnica), T3 (praga, doenca e infestanti)</t>
        </is>
      </c>
      <c r="F16" t="inlineStr">
        <is>
          <t>claude-code (missao ITALY-200-SOURCES-DISCOVERY, 2026-09-14)</t>
        </is>
      </c>
      <c r="G16" t="inlineStr">
        <is>
          <t>descoberta por familia de fonte 'agenzia_regionale' e verificada por sonda HTTP</t>
        </is>
      </c>
      <c r="H16" t="inlineStr">
        <is>
          <t>CANDIDATA validada em 2026-09-14; SOURCE_ID nao atribuido (nasce na porta canonica)</t>
        </is>
      </c>
    </row>
    <row r="17">
      <c r="A17" t="inlineStr">
        <is>
          <t>BASE_OFICIAL</t>
        </is>
      </c>
      <c r="B17" t="inlineStr">
        <is>
          <t>IT</t>
        </is>
      </c>
      <c r="C17" t="inlineStr">
        <is>
          <t>Lazio — Agricoltura Regione Lazio</t>
        </is>
      </c>
      <c r="D17" t="inlineStr">
        <is>
          <t>https://www.regione.lazio.it/cittadini/agricoltura</t>
        </is>
      </c>
      <c r="E17" t="inlineStr">
        <is>
          <t>base/registro oficial de Regione Lazio sobre agricoltura, PSR — alimenta T1 (cultura e producao), T4 (regulatorio)</t>
        </is>
      </c>
      <c r="F17" t="inlineStr">
        <is>
          <t>claude-code (missao ITALY-200-SOURCES-DISCOVERY, 2026-09-14)</t>
        </is>
      </c>
      <c r="G17" t="inlineStr">
        <is>
          <t>descoberta por familia de fonte 'regione_agricoltura' e verificada por sonda HTTP</t>
        </is>
      </c>
      <c r="H17" t="inlineStr">
        <is>
          <t>CANDIDATA validada em 2026-09-14; SOURCE_ID nao atribuido (nasce na porta canonica)</t>
        </is>
      </c>
    </row>
    <row r="18">
      <c r="A18" t="inlineStr">
        <is>
          <t>BASE_OFICIAL</t>
        </is>
      </c>
      <c r="B18" t="inlineStr">
        <is>
          <t>IT</t>
        </is>
      </c>
      <c r="C18" t="inlineStr">
        <is>
          <t>ARPA Liguria</t>
        </is>
      </c>
      <c r="D18" t="inlineStr">
        <is>
          <t>https://www.arpal.liguria.it/</t>
        </is>
      </c>
      <c r="E18" t="inlineStr">
        <is>
          <t>base/registro oficial de ARPAL sobre meteo, ambiente, allerta — alimenta T2 (clima/acqua/suolo), T12 (politica e ambiente agricola)</t>
        </is>
      </c>
      <c r="F18" t="inlineStr">
        <is>
          <t>claude-code (missao ITALY-200-SOURCES-DISCOVERY, 2026-09-14)</t>
        </is>
      </c>
      <c r="G18" t="inlineStr">
        <is>
          <t>descoberta por familia de fonte 'arpa' e verificada por sonda HTTP</t>
        </is>
      </c>
      <c r="H18" t="inlineStr">
        <is>
          <t>CANDIDATA validada em 2026-09-14; SOURCE_ID nao atribuido (nasce na porta canonica)</t>
        </is>
      </c>
    </row>
    <row r="19">
      <c r="A19" t="inlineStr">
        <is>
          <t>BASE_OFICIAL</t>
        </is>
      </c>
      <c r="B19" t="inlineStr">
        <is>
          <t>IT</t>
        </is>
      </c>
      <c r="C19" t="inlineStr">
        <is>
          <t>Agriligurianet — Regione Liguria agricoltura</t>
        </is>
      </c>
      <c r="D19" t="inlineStr">
        <is>
          <t>https://www.agriligurianet.it/</t>
        </is>
      </c>
      <c r="E19" t="inlineStr">
        <is>
          <t>base/registro oficial de Regione Liguria sobre agricoltura ligure, floricoltura, fitosanitario — alimenta T1 (cultura e producao), T3 (praga, doenca e infestanti), T7 (rede tecnica)</t>
        </is>
      </c>
      <c r="F19" t="inlineStr">
        <is>
          <t>claude-code (missao ITALY-200-SOURCES-DISCOVERY, 2026-09-14)</t>
        </is>
      </c>
      <c r="G19" t="inlineStr">
        <is>
          <t>descoberta por familia de fonte 'regione_agricoltura' e verificada por sonda HTTP</t>
        </is>
      </c>
      <c r="H19" t="inlineStr">
        <is>
          <t>CANDIDATA validada em 2026-09-14; SOURCE_ID nao atribuido (nasce na porta canonica)</t>
        </is>
      </c>
    </row>
    <row r="20">
      <c r="A20" t="inlineStr">
        <is>
          <t>BASE_OFICIAL</t>
        </is>
      </c>
      <c r="B20" t="inlineStr">
        <is>
          <t>IT</t>
        </is>
      </c>
      <c r="C20" t="inlineStr">
        <is>
          <t>Liguria — Regione Liguria agricoltura</t>
        </is>
      </c>
      <c r="D20" t="inlineStr">
        <is>
          <t>https://www.regione.liguria.it/homepage-agricoltura.html</t>
        </is>
      </c>
      <c r="E20" t="inlineStr">
        <is>
          <t>base/registro oficial de Regione Liguria sobre agricoltura, floricoltura — alimenta T1 (cultura e producao), T4 (regulatorio)</t>
        </is>
      </c>
      <c r="F20" t="inlineStr">
        <is>
          <t>claude-code (missao ITALY-200-SOURCES-DISCOVERY, 2026-09-14)</t>
        </is>
      </c>
      <c r="G20" t="inlineStr">
        <is>
          <t>descoberta por familia de fonte 'regione_agricoltura' e verificada por sonda HTTP</t>
        </is>
      </c>
      <c r="H20" t="inlineStr">
        <is>
          <t>CANDIDATA validada em 2026-09-14; SOURCE_ID nao atribuido (nasce na porta canonica)</t>
        </is>
      </c>
    </row>
    <row r="21">
      <c r="A21" t="inlineStr">
        <is>
          <t>BASE_OFICIAL</t>
        </is>
      </c>
      <c r="B21" t="inlineStr">
        <is>
          <t>IT</t>
        </is>
      </c>
      <c r="C21" t="inlineStr">
        <is>
          <t>ARPA Lombardia</t>
        </is>
      </c>
      <c r="D21" t="inlineStr">
        <is>
          <t>https://www.arpalombardia.it/</t>
        </is>
      </c>
      <c r="E21" t="inlineStr">
        <is>
          <t>base/registro oficial de ARPA Lombardia sobre meteo, aria, acqua, agrometeo — alimenta T2 (clima/acqua/suolo), T12 (politica e ambiente agricola)</t>
        </is>
      </c>
      <c r="F21" t="inlineStr">
        <is>
          <t>claude-code (missao ITALY-200-SOURCES-DISCOVERY, 2026-09-14)</t>
        </is>
      </c>
      <c r="G21" t="inlineStr">
        <is>
          <t>descoberta por familia de fonte 'arpa' e verificada por sonda HTTP</t>
        </is>
      </c>
      <c r="H21" t="inlineStr">
        <is>
          <t>CANDIDATA validada em 2026-09-14; SOURCE_ID nao atribuido (nasce na porta canonica)</t>
        </is>
      </c>
    </row>
    <row r="22">
      <c r="A22" t="inlineStr">
        <is>
          <t>BASE_OFICIAL</t>
        </is>
      </c>
      <c r="B22" t="inlineStr">
        <is>
          <t>IT</t>
        </is>
      </c>
      <c r="C22" t="inlineStr">
        <is>
          <t>Agricoltura Regione Lombardia</t>
        </is>
      </c>
      <c r="D22" t="inlineStr">
        <is>
          <t>https://www.ersaf.lombardia.it/it</t>
        </is>
      </c>
      <c r="E22" t="inlineStr">
        <is>
          <t>base/registro oficial de Regione Lombardia sobre agricoltura, PSR, fitosanitario — alimenta T1 (cultura e producao), T4 (regulatorio), T12 (politica e ambiente agricola)</t>
        </is>
      </c>
      <c r="F22" t="inlineStr">
        <is>
          <t>claude-code (missao ITALY-200-SOURCES-DISCOVERY, 2026-09-14)</t>
        </is>
      </c>
      <c r="G22" t="inlineStr">
        <is>
          <t>descoberta por familia de fonte 'regione_agricoltura' e verificada por sonda HTTP</t>
        </is>
      </c>
      <c r="H22" t="inlineStr">
        <is>
          <t>endereco corrigido: dominio nao resolve; ERSAF e o ente regional que serve a funcao · CANDIDATA validada em 2026-09-14; SOURCE_ID nao atribuido (nasce na porta canonica)</t>
        </is>
      </c>
    </row>
    <row r="23">
      <c r="A23" t="inlineStr">
        <is>
          <t>BASE_OFICIAL</t>
        </is>
      </c>
      <c r="B23" t="inlineStr">
        <is>
          <t>IT</t>
        </is>
      </c>
      <c r="C23" t="inlineStr">
        <is>
          <t>ERSAF Lombardia — Ente Regionale per i Servizi all'Agricoltura e alle Foreste</t>
        </is>
      </c>
      <c r="D23" t="inlineStr">
        <is>
          <t>https://www.ersaf.lombardia.it/</t>
        </is>
      </c>
      <c r="E23" t="inlineStr">
        <is>
          <t>base/registro oficial de Regione Lombardia sobre servizi agricoltura, foreste — alimenta T1 (cultura e producao), T7 (rede tecnica), T2 (clima/acqua/suolo)</t>
        </is>
      </c>
      <c r="F23" t="inlineStr">
        <is>
          <t>claude-code (missao ITALY-200-SOURCES-DISCOVERY, 2026-09-14)</t>
        </is>
      </c>
      <c r="G23" t="inlineStr">
        <is>
          <t>descoberta por familia de fonte 'agenzia_regionale' e verificada por sonda HTTP</t>
        </is>
      </c>
      <c r="H23" t="inlineStr">
        <is>
          <t>CANDIDATA validada em 2026-09-14; SOURCE_ID nao atribuido (nasce na porta canonica)</t>
        </is>
      </c>
    </row>
    <row r="24">
      <c r="A24" t="inlineStr">
        <is>
          <t>BASE_OFICIAL</t>
        </is>
      </c>
      <c r="B24" t="inlineStr">
        <is>
          <t>IT</t>
        </is>
      </c>
      <c r="C24" t="inlineStr">
        <is>
          <t>Ente Nazionale Risi</t>
        </is>
      </c>
      <c r="D24" t="inlineStr">
        <is>
          <t>http://www.enterisi.it/</t>
        </is>
      </c>
      <c r="E24" t="inlineStr">
        <is>
          <t>base/registro oficial de Ente Nazionale Risi sobre riso, mercato, statistiche, varieta — alimenta T1 (cultura e producao), T10 (mercado e industria), T4 (regulatorio)</t>
        </is>
      </c>
      <c r="F24" t="inlineStr">
        <is>
          <t>claude-code (missao ITALY-200-SOURCES-DISCOVERY, 2026-09-14)</t>
        </is>
      </c>
      <c r="G24" t="inlineStr">
        <is>
          <t>descoberta por familia de fonte 'ente_filiera' e verificada por sonda HTTP</t>
        </is>
      </c>
      <c r="H24" t="inlineStr">
        <is>
          <t>endereco corrigido: handshake TLS recusado; o endereco HTTP serve o ente · so' responde em HTTP: o certificado do host esta' invalido · CANDIDATA validada em 2026-09-14; SOURCE_ID nao atribuido (nasce na porta canonica)</t>
        </is>
      </c>
    </row>
    <row r="25">
      <c r="A25" t="inlineStr">
        <is>
          <t>BASE_OFICIAL</t>
        </is>
      </c>
      <c r="B25" t="inlineStr">
        <is>
          <t>IT</t>
        </is>
      </c>
      <c r="C25" t="inlineStr">
        <is>
          <t>ARPA Marche</t>
        </is>
      </c>
      <c r="D25" t="inlineStr">
        <is>
          <t>https://www.arpa.marche.it/</t>
        </is>
      </c>
      <c r="E25" t="inlineStr">
        <is>
          <t>base/registro oficial de ARPAM sobre ambiente, meteo — alimenta T2 (clima/acqua/suolo), T12 (politica e ambiente agricola)</t>
        </is>
      </c>
      <c r="F25" t="inlineStr">
        <is>
          <t>claude-code (missao ITALY-200-SOURCES-DISCOVERY, 2026-09-14)</t>
        </is>
      </c>
      <c r="G25" t="inlineStr">
        <is>
          <t>descoberta por familia de fonte 'arpa' e verificada por sonda HTTP</t>
        </is>
      </c>
      <c r="H25" t="inlineStr">
        <is>
          <t>CANDIDATA validada em 2026-09-14; SOURCE_ID nao atribuido (nasce na porta canonica)</t>
        </is>
      </c>
    </row>
    <row r="26">
      <c r="A26" t="inlineStr">
        <is>
          <t>BASE_OFICIAL</t>
        </is>
      </c>
      <c r="B26" t="inlineStr">
        <is>
          <t>IT</t>
        </is>
      </c>
      <c r="C26" t="inlineStr">
        <is>
          <t>ASSAM Marche — Agenzia Servizi Settore Agroalimentare delle Marche</t>
        </is>
      </c>
      <c r="D26" t="inlineStr">
        <is>
          <t>https://www.assam.marche.it/</t>
        </is>
      </c>
      <c r="E26" t="inlineStr">
        <is>
          <t>base/registro oficial de Regione Marche sobre servizio fitosanitario, agrometeo, assistenza tecnica — alimenta T3 (praga, doenca e infestanti), T2 (clima/acqua/suolo), T7 (rede tecnica)</t>
        </is>
      </c>
      <c r="F26" t="inlineStr">
        <is>
          <t>claude-code (missao ITALY-200-SOURCES-DISCOVERY, 2026-09-14)</t>
        </is>
      </c>
      <c r="G26" t="inlineStr">
        <is>
          <t>descoberta por familia de fonte 'servizio_fitosanitario' e verificada por sonda HTTP</t>
        </is>
      </c>
      <c r="H26" t="inlineStr">
        <is>
          <t>CANDIDATA validada em 2026-09-14; SOURCE_ID nao atribuido (nasce na porta canonica)</t>
        </is>
      </c>
    </row>
    <row r="27">
      <c r="A27" t="inlineStr">
        <is>
          <t>BASE_OFICIAL</t>
        </is>
      </c>
      <c r="B27" t="inlineStr">
        <is>
          <t>IT</t>
        </is>
      </c>
      <c r="C27" t="inlineStr">
        <is>
          <t>ARPA Molise</t>
        </is>
      </c>
      <c r="D27" t="inlineStr">
        <is>
          <t>https://www.arpamolise.it/</t>
        </is>
      </c>
      <c r="E27" t="inlineStr">
        <is>
          <t>base/registro oficial de ARPA Molise sobre ambiente, meteo — alimenta T2 (clima/acqua/suolo), T12 (politica e ambiente agricola)</t>
        </is>
      </c>
      <c r="F27" t="inlineStr">
        <is>
          <t>claude-code (missao ITALY-200-SOURCES-DISCOVERY, 2026-09-14)</t>
        </is>
      </c>
      <c r="G27" t="inlineStr">
        <is>
          <t>descoberta por familia de fonte 'arpa' e verificada por sonda HTTP</t>
        </is>
      </c>
      <c r="H27" t="inlineStr">
        <is>
          <t>CANDIDATA validada em 2026-09-14; SOURCE_ID nao atribuido (nasce na porta canonica)</t>
        </is>
      </c>
    </row>
    <row r="28">
      <c r="A28" t="inlineStr">
        <is>
          <t>BASE_OFICIAL</t>
        </is>
      </c>
      <c r="B28" t="inlineStr">
        <is>
          <t>IT</t>
        </is>
      </c>
      <c r="C28" t="inlineStr">
        <is>
          <t>Regione Molise — Agricoltura</t>
        </is>
      </c>
      <c r="D28" t="inlineStr">
        <is>
          <t>https://www.regione.molise.it/</t>
        </is>
      </c>
      <c r="E28" t="inlineStr">
        <is>
          <t>base/registro oficial de Regione Molise sobre agricoltura, PSR — alimenta T1 (cultura e producao), T4 (regulatorio)</t>
        </is>
      </c>
      <c r="F28" t="inlineStr">
        <is>
          <t>claude-code (missao ITALY-200-SOURCES-DISCOVERY, 2026-09-14)</t>
        </is>
      </c>
      <c r="G28" t="inlineStr">
        <is>
          <t>descoberta por familia de fonte 'regione_agricoltura' e verificada por sonda HTTP</t>
        </is>
      </c>
      <c r="H28" t="inlineStr">
        <is>
          <t>endereco corrigido: caminho instavel; raiz responde · CANDIDATA validada em 2026-09-14; SOURCE_ID nao atribuido (nasce na porta canonica)</t>
        </is>
      </c>
    </row>
    <row r="29">
      <c r="A29" t="inlineStr">
        <is>
          <t>BASE_OFICIAL</t>
        </is>
      </c>
      <c r="B29" t="inlineStr">
        <is>
          <t>IT</t>
        </is>
      </c>
      <c r="C29" t="inlineStr">
        <is>
          <t>ISMEA — Istituto di Servizi per il Mercato Agricolo Alimentare</t>
        </is>
      </c>
      <c r="D29" t="inlineStr">
        <is>
          <t>https://www.ismea.it/</t>
        </is>
      </c>
      <c r="E29" t="inlineStr">
        <is>
          <t>base/registro oficial de ISMEA sobre mercati, credito, filiere — alimenta T10 (mercado e industria), T12 (politica e ambiente agricola)</t>
        </is>
      </c>
      <c r="F29" t="inlineStr">
        <is>
          <t>claude-code (missao ITALY-200-SOURCES-DISCOVERY, 2026-09-14)</t>
        </is>
      </c>
      <c r="G29" t="inlineStr">
        <is>
          <t>descoberta por familia de fonte 'agenzia_nazionale' e verificada por sonda HTTP</t>
        </is>
      </c>
      <c r="H29" t="inlineStr">
        <is>
          <t>cadeia TLS incompleta no servidor; validado com o intermediario obtido por AIA · CANDIDATA validada em 2026-09-14; SOURCE_ID nao atribuido (nasce na porta canonica)</t>
        </is>
      </c>
    </row>
    <row r="30">
      <c r="A30" t="inlineStr">
        <is>
          <t>BASE_OFICIAL</t>
        </is>
      </c>
      <c r="B30" t="inlineStr">
        <is>
          <t>IT</t>
        </is>
      </c>
      <c r="C30" t="inlineStr">
        <is>
          <t>ISPRA — Istituto Superiore per la Protezione e la Ricerca Ambientale</t>
        </is>
      </c>
      <c r="D30" t="inlineStr">
        <is>
          <t>https://www.isprambiente.gov.it/</t>
        </is>
      </c>
      <c r="E30" t="inlineStr">
        <is>
          <t>base/registro oficial de ISPRA sobre ambiente, acque, suolo, indicatori — alimenta T2 (clima/acqua/suolo), T12 (politica e ambiente agricola)</t>
        </is>
      </c>
      <c r="F30" t="inlineStr">
        <is>
          <t>claude-code (missao ITALY-200-SOURCES-DISCOVERY, 2026-09-14)</t>
        </is>
      </c>
      <c r="G30" t="inlineStr">
        <is>
          <t>descoberta por familia de fonte 'agenzia_nazionale' e verificada por sonda HTTP</t>
        </is>
      </c>
      <c r="H30" t="inlineStr">
        <is>
          <t>CANDIDATA validada em 2026-09-14; SOURCE_ID nao atribuido (nasce na porta canonica)</t>
        </is>
      </c>
    </row>
    <row r="31">
      <c r="A31" t="inlineStr">
        <is>
          <t>BASE_OFICIAL</t>
        </is>
      </c>
      <c r="B31" t="inlineStr">
        <is>
          <t>IT</t>
        </is>
      </c>
      <c r="C31" t="inlineStr">
        <is>
          <t>Rete Rurale Nazionale</t>
        </is>
      </c>
      <c r="D31" t="inlineStr">
        <is>
          <t>https://www.reterurale.it/</t>
        </is>
      </c>
      <c r="E31" t="inlineStr">
        <is>
          <t>base/registro oficial de MASAF — Rete Rurale Nazionale sobre PSR, sviluppo rurale, CAP — alimenta T12 (politica e ambiente agricola), T7 (rede tecnica)</t>
        </is>
      </c>
      <c r="F31" t="inlineStr">
        <is>
          <t>claude-code (missao ITALY-200-SOURCES-DISCOVERY, 2026-09-14)</t>
        </is>
      </c>
      <c r="G31" t="inlineStr">
        <is>
          <t>descoberta por familia de fonte 'politica_agricola' e verificada por sonda HTTP</t>
        </is>
      </c>
      <c r="H31" t="inlineStr">
        <is>
          <t>CANDIDATA validada em 2026-09-14; SOURCE_ID nao atribuido (nasce na porta canonica)</t>
        </is>
      </c>
    </row>
    <row r="32">
      <c r="A32" t="inlineStr">
        <is>
          <t>BASE_OFICIAL</t>
        </is>
      </c>
      <c r="B32" t="inlineStr">
        <is>
          <t>IT</t>
        </is>
      </c>
      <c r="C32" t="inlineStr">
        <is>
          <t>SIAN — Sistema Informativo Agricolo Nazionale</t>
        </is>
      </c>
      <c r="D32" t="inlineStr">
        <is>
          <t>https://www.sian.it/</t>
        </is>
      </c>
      <c r="E32" t="inlineStr">
        <is>
          <t>base/registro oficial de MASAF/AGEA sobre fascicolo aziendale, dati agricoli — alimenta T4 (regulatorio), T12 (politica e ambiente agricola)</t>
        </is>
      </c>
      <c r="F32" t="inlineStr">
        <is>
          <t>claude-code (missao ITALY-200-SOURCES-DISCOVERY, 2026-09-14)</t>
        </is>
      </c>
      <c r="G32" t="inlineStr">
        <is>
          <t>descoberta por familia de fonte 'agenzia_nazionale' e verificada por sonda HTTP</t>
        </is>
      </c>
      <c r="H32" t="inlineStr">
        <is>
          <t>CANDIDATA validada em 2026-09-14; SOURCE_ID nao atribuido (nasce na porta canonica)</t>
        </is>
      </c>
    </row>
    <row r="33">
      <c r="A33" t="inlineStr">
        <is>
          <t>BASE_OFICIAL</t>
        </is>
      </c>
      <c r="B33" t="inlineStr">
        <is>
          <t>IT</t>
        </is>
      </c>
      <c r="C33" t="inlineStr">
        <is>
          <t>Servizio Fitosanitario Nazionale — Protezione delle Piante</t>
        </is>
      </c>
      <c r="D33" t="inlineStr">
        <is>
          <t>https://www.protezionedellepiante.it/</t>
        </is>
      </c>
      <c r="E33" t="inlineStr">
        <is>
          <t>base/registro oficial de MASAF — Servizio Fitosanitario Centrale sobre fitosanitario, organismi nocivi, quarantena — alimenta T3 (praga, doenca e infestanti), T4 (regulatorio)</t>
        </is>
      </c>
      <c r="F33" t="inlineStr">
        <is>
          <t>claude-code (missao ITALY-200-SOURCES-DISCOVERY, 2026-09-14)</t>
        </is>
      </c>
      <c r="G33" t="inlineStr">
        <is>
          <t>descoberta por familia de fonte 'servizio_fitosanitario' e verificada por sonda HTTP</t>
        </is>
      </c>
      <c r="H33" t="inlineStr">
        <is>
          <t>CANDIDATA validada em 2026-09-14; SOURCE_ID nao atribuido (nasce na porta canonica)</t>
        </is>
      </c>
    </row>
    <row r="34">
      <c r="A34" t="inlineStr">
        <is>
          <t>BASE_OFICIAL</t>
        </is>
      </c>
      <c r="B34" t="inlineStr">
        <is>
          <t>IT</t>
        </is>
      </c>
      <c r="C34" t="inlineStr">
        <is>
          <t>ARPA Piemonte</t>
        </is>
      </c>
      <c r="D34" t="inlineStr">
        <is>
          <t>https://www.arpa.piemonte.it/</t>
        </is>
      </c>
      <c r="E34" t="inlineStr">
        <is>
          <t>base/registro oficial de ARPA Piemonte sobre meteo, clima, agrometeorologia — alimenta T2 (clima/acqua/suolo), T12 (politica e ambiente agricola)</t>
        </is>
      </c>
      <c r="F34" t="inlineStr">
        <is>
          <t>claude-code (missao ITALY-200-SOURCES-DISCOVERY, 2026-09-14)</t>
        </is>
      </c>
      <c r="G34" t="inlineStr">
        <is>
          <t>descoberta por familia de fonte 'arpa' e verificada por sonda HTTP</t>
        </is>
      </c>
      <c r="H34" t="inlineStr">
        <is>
          <t>CANDIDATA validada em 2026-09-14; SOURCE_ID nao atribuido (nasce na porta canonica)</t>
        </is>
      </c>
    </row>
    <row r="35">
      <c r="A35" t="inlineStr">
        <is>
          <t>BASE_OFICIAL</t>
        </is>
      </c>
      <c r="B35" t="inlineStr">
        <is>
          <t>IT</t>
        </is>
      </c>
      <c r="C35" t="inlineStr">
        <is>
          <t>Regione Piemonte — Agricoltura e cibo</t>
        </is>
      </c>
      <c r="D35" t="inlineStr">
        <is>
          <t>https://www.regione.piemonte.it/web/temi/agricoltura</t>
        </is>
      </c>
      <c r="E35" t="inlineStr">
        <is>
          <t>base/registro oficial de Regione Piemonte sobre agricoltura, fitosanitario, PSR — alimenta T1 (cultura e producao), T4 (regulatorio), T3 (praga, doenca e infestanti)</t>
        </is>
      </c>
      <c r="F35" t="inlineStr">
        <is>
          <t>claude-code (missao ITALY-200-SOURCES-DISCOVERY, 2026-09-14)</t>
        </is>
      </c>
      <c r="G35" t="inlineStr">
        <is>
          <t>descoberta por familia de fonte 'regione_agricoltura' e verificada por sonda HTTP</t>
        </is>
      </c>
      <c r="H35" t="inlineStr">
        <is>
          <t>CANDIDATA validada em 2026-09-14; SOURCE_ID nao atribuido (nasce na porta canonica)</t>
        </is>
      </c>
    </row>
    <row r="36">
      <c r="A36" t="inlineStr">
        <is>
          <t>BASE_OFICIAL</t>
        </is>
      </c>
      <c r="B36" t="inlineStr">
        <is>
          <t>IT</t>
        </is>
      </c>
      <c r="C36" t="inlineStr">
        <is>
          <t>ARPA Puglia</t>
        </is>
      </c>
      <c r="D36" t="inlineStr">
        <is>
          <t>https://www.arpa.puglia.it/</t>
        </is>
      </c>
      <c r="E36" t="inlineStr">
        <is>
          <t>base/registro oficial de ARPA Puglia sobre ambiente, meteo, monitoraggio — alimenta T2 (clima/acqua/suolo), T12 (politica e ambiente agricola)</t>
        </is>
      </c>
      <c r="F36" t="inlineStr">
        <is>
          <t>claude-code (missao ITALY-200-SOURCES-DISCOVERY, 2026-09-14)</t>
        </is>
      </c>
      <c r="G36" t="inlineStr">
        <is>
          <t>descoberta por familia de fonte 'arpa' e verificada por sonda HTTP</t>
        </is>
      </c>
      <c r="H36" t="inlineStr">
        <is>
          <t>cadeia TLS incompleta no servidor; validado com o intermediario obtido por AIA · CANDIDATA validada em 2026-09-14; SOURCE_ID nao atribuido (nasce na porta canonica)</t>
        </is>
      </c>
    </row>
    <row r="37">
      <c r="A37" t="inlineStr">
        <is>
          <t>BASE_OFICIAL</t>
        </is>
      </c>
      <c r="B37" t="inlineStr">
        <is>
          <t>IT</t>
        </is>
      </c>
      <c r="C37" t="inlineStr">
        <is>
          <t>AGRIS Sardegna — Agenzia per la ricerca in agricoltura</t>
        </is>
      </c>
      <c r="D37" t="inlineStr">
        <is>
          <t>https://www.sardegnaagricoltura.it/index.php?xsl=443</t>
        </is>
      </c>
      <c r="E37" t="inlineStr">
        <is>
          <t>base/registro oficial de Regione Sardegna — AGRIS sobre ricerca agricola, sperimentazione — alimenta T5 (ciencia), T1 (cultura e producao)</t>
        </is>
      </c>
      <c r="F37" t="inlineStr">
        <is>
          <t>claude-code (missao ITALY-200-SOURCES-DISCOVERY, 2026-09-14)</t>
        </is>
      </c>
      <c r="G37" t="inlineStr">
        <is>
          <t>descoberta por familia de fonte 'agenzia_regionale' e verificada por sonda HTTP</t>
        </is>
      </c>
      <c r="H37" t="inlineStr">
        <is>
          <t>endereco corrigido: caminho /agris/ devolve 404; a rota real usa parametro xsl · CANDIDATA validada em 2026-09-14; SOURCE_ID nao atribuido (nasce na porta canonica)</t>
        </is>
      </c>
    </row>
    <row r="38">
      <c r="A38" t="inlineStr">
        <is>
          <t>BASE_OFICIAL</t>
        </is>
      </c>
      <c r="B38" t="inlineStr">
        <is>
          <t>IT</t>
        </is>
      </c>
      <c r="C38" t="inlineStr">
        <is>
          <t>ARPA Sardegna</t>
        </is>
      </c>
      <c r="D38" t="inlineStr">
        <is>
          <t>https://www.arpa.sardegna.it/</t>
        </is>
      </c>
      <c r="E38" t="inlineStr">
        <is>
          <t>base/registro oficial de ARPAS sobre meteo, agrometeorologia, ambiente — alimenta T2 (clima/acqua/suolo), T12 (politica e ambiente agricola)</t>
        </is>
      </c>
      <c r="F38" t="inlineStr">
        <is>
          <t>claude-code (missao ITALY-200-SOURCES-DISCOVERY, 2026-09-14)</t>
        </is>
      </c>
      <c r="G38" t="inlineStr">
        <is>
          <t>descoberta por familia de fonte 'arpa' e verificada por sonda HTTP</t>
        </is>
      </c>
      <c r="H38" t="inlineStr">
        <is>
          <t>CANDIDATA validada em 2026-09-14; SOURCE_ID nao atribuido (nasce na porta canonica)</t>
        </is>
      </c>
    </row>
    <row r="39">
      <c r="A39" t="inlineStr">
        <is>
          <t>BASE_OFICIAL</t>
        </is>
      </c>
      <c r="B39" t="inlineStr">
        <is>
          <t>IT</t>
        </is>
      </c>
      <c r="C39" t="inlineStr">
        <is>
          <t>Sardegna Agricoltura — Laore</t>
        </is>
      </c>
      <c r="D39" t="inlineStr">
        <is>
          <t>https://www.sardegnaagricoltura.it/</t>
        </is>
      </c>
      <c r="E39" t="inlineStr">
        <is>
          <t>base/registro oficial de Regione Sardegna — Agenzia Laore sobre assistenza tecnica, colture, divulgazione — alimenta T1 (cultura e producao), T7 (rede tecnica), T3 (praga, doenca e infestanti)</t>
        </is>
      </c>
      <c r="F39" t="inlineStr">
        <is>
          <t>claude-code (missao ITALY-200-SOURCES-DISCOVERY, 2026-09-14)</t>
        </is>
      </c>
      <c r="G39" t="inlineStr">
        <is>
          <t>descoberta por familia de fonte 'agenzia_regionale' e verificada por sonda HTTP</t>
        </is>
      </c>
      <c r="H39" t="inlineStr">
        <is>
          <t>CANDIDATA validada em 2026-09-14; SOURCE_ID nao atribuido (nasce na porta canonica)</t>
        </is>
      </c>
    </row>
    <row r="40">
      <c r="A40" t="inlineStr">
        <is>
          <t>BASE_OFICIAL</t>
        </is>
      </c>
      <c r="B40" t="inlineStr">
        <is>
          <t>IT</t>
        </is>
      </c>
      <c r="C40" t="inlineStr">
        <is>
          <t>ARPA Sicilia</t>
        </is>
      </c>
      <c r="D40" t="inlineStr">
        <is>
          <t>https://www.arpa.sicilia.it/</t>
        </is>
      </c>
      <c r="E40" t="inlineStr">
        <is>
          <t>base/registro oficial de ARPA Sicilia sobre ambiente, monitoraggio — alimenta T2 (clima/acqua/suolo), T12 (politica e ambiente agricola)</t>
        </is>
      </c>
      <c r="F40" t="inlineStr">
        <is>
          <t>claude-code (missao ITALY-200-SOURCES-DISCOVERY, 2026-09-14)</t>
        </is>
      </c>
      <c r="G40" t="inlineStr">
        <is>
          <t>descoberta por familia de fonte 'arpa' e verificada por sonda HTTP</t>
        </is>
      </c>
      <c r="H40" t="inlineStr">
        <is>
          <t>cadeia TLS incompleta no servidor; validado com o intermediario obtido por AIA · CANDIDATA validada em 2026-09-14; SOURCE_ID nao atribuido (nasce na porta canonica)</t>
        </is>
      </c>
    </row>
    <row r="41">
      <c r="A41" t="inlineStr">
        <is>
          <t>BASE_OFICIAL</t>
        </is>
      </c>
      <c r="B41" t="inlineStr">
        <is>
          <t>IT</t>
        </is>
      </c>
      <c r="C41" t="inlineStr">
        <is>
          <t>ARPAT Toscana</t>
        </is>
      </c>
      <c r="D41" t="inlineStr">
        <is>
          <t>https://www.arpat.toscana.it/</t>
        </is>
      </c>
      <c r="E41" t="inlineStr">
        <is>
          <t>base/registro oficial de ARPAT sobre ambiente, acque, monitoraggio — alimenta T2 (clima/acqua/suolo), T12 (politica e ambiente agricola)</t>
        </is>
      </c>
      <c r="F41" t="inlineStr">
        <is>
          <t>claude-code (missao ITALY-200-SOURCES-DISCOVERY, 2026-09-14)</t>
        </is>
      </c>
      <c r="G41" t="inlineStr">
        <is>
          <t>descoberta por familia de fonte 'arpa' e verificada por sonda HTTP</t>
        </is>
      </c>
      <c r="H41" t="inlineStr">
        <is>
          <t>CANDIDATA validada em 2026-09-14; SOURCE_ID nao atribuido (nasce na porta canonica)</t>
        </is>
      </c>
    </row>
    <row r="42">
      <c r="A42" t="inlineStr">
        <is>
          <t>BASE_OFICIAL</t>
        </is>
      </c>
      <c r="B42" t="inlineStr">
        <is>
          <t>IT</t>
        </is>
      </c>
      <c r="C42" t="inlineStr">
        <is>
          <t>Regione Toscana — Agricoltura</t>
        </is>
      </c>
      <c r="D42" t="inlineStr">
        <is>
          <t>https://www.regione.toscana.it/agricoltura</t>
        </is>
      </c>
      <c r="E42" t="inlineStr">
        <is>
          <t>base/registro oficial de Regione Toscana sobre agricoltura, PSR, olivo, vite — alimenta T1 (cultura e producao), T4 (regulatorio), T12 (politica e ambiente agricola)</t>
        </is>
      </c>
      <c r="F42" t="inlineStr">
        <is>
          <t>claude-code (missao ITALY-200-SOURCES-DISCOVERY, 2026-09-14)</t>
        </is>
      </c>
      <c r="G42" t="inlineStr">
        <is>
          <t>descoberta por familia de fonte 'regione_agricoltura' e verificada por sonda HTTP</t>
        </is>
      </c>
      <c r="H42" t="inlineStr">
        <is>
          <t>CANDIDATA validada em 2026-09-14; SOURCE_ID nao atribuido (nasce na porta canonica)</t>
        </is>
      </c>
    </row>
    <row r="43">
      <c r="A43" t="inlineStr">
        <is>
          <t>BASE_OFICIAL</t>
        </is>
      </c>
      <c r="B43" t="inlineStr">
        <is>
          <t>IT</t>
        </is>
      </c>
      <c r="C43" t="inlineStr">
        <is>
          <t>Toscana — Servizio Fitosanitario Regionale</t>
        </is>
      </c>
      <c r="D43" t="inlineStr">
        <is>
          <t>https://www.regione.toscana.it/</t>
        </is>
      </c>
      <c r="E43" t="inlineStr">
        <is>
          <t>base/registro oficial de Regione Toscana sobre servizio fitosanitario — alimenta T3 (praga, doenca e infestanti), T4 (regulatorio)</t>
        </is>
      </c>
      <c r="F43" t="inlineStr">
        <is>
          <t>claude-code (missao ITALY-200-SOURCES-DISCOVERY, 2026-09-14)</t>
        </is>
      </c>
      <c r="G43" t="inlineStr">
        <is>
          <t>descoberta por familia de fonte 'servizio_fitosanitario' e verificada por sonda HTTP</t>
        </is>
      </c>
      <c r="H43" t="inlineStr">
        <is>
          <t>endereco corrigido: caminho devolve 404 · CANDIDATA validada em 2026-09-14; SOURCE_ID nao atribuido (nasce na porta canonica)</t>
        </is>
      </c>
    </row>
    <row r="44">
      <c r="A44" t="inlineStr">
        <is>
          <t>BASE_OFICIAL</t>
        </is>
      </c>
      <c r="B44" t="inlineStr">
        <is>
          <t>IT</t>
        </is>
      </c>
      <c r="C44" t="inlineStr">
        <is>
          <t>APPA Trento — Agenzia provinciale protezione ambiente</t>
        </is>
      </c>
      <c r="D44" t="inlineStr">
        <is>
          <t>https://appa.provincia.tn.it/</t>
        </is>
      </c>
      <c r="E44" t="inlineStr">
        <is>
          <t>base/registro oficial de Provincia autonoma di Trento sobre ambiente, acque — alimenta T2 (clima/acqua/suolo), T12 (politica e ambiente agricola)</t>
        </is>
      </c>
      <c r="F44" t="inlineStr">
        <is>
          <t>claude-code (missao ITALY-200-SOURCES-DISCOVERY, 2026-09-14)</t>
        </is>
      </c>
      <c r="G44" t="inlineStr">
        <is>
          <t>descoberta por familia de fonte 'arpa' e verificada por sonda HTTP</t>
        </is>
      </c>
      <c r="H44" t="inlineStr">
        <is>
          <t>CANDIDATA validada em 2026-09-14; SOURCE_ID nao atribuido (nasce na porta canonica)</t>
        </is>
      </c>
    </row>
    <row r="45">
      <c r="A45" t="inlineStr">
        <is>
          <t>BASE_OFICIAL</t>
        </is>
      </c>
      <c r="B45" t="inlineStr">
        <is>
          <t>IT</t>
        </is>
      </c>
      <c r="C45" t="inlineStr">
        <is>
          <t>Provincia autonoma di Bolzano — Agricoltura</t>
        </is>
      </c>
      <c r="D45" t="inlineStr">
        <is>
          <t>https://www.provincia.bz.it/agricoltura-foreste/</t>
        </is>
      </c>
      <c r="E45" t="inlineStr">
        <is>
          <t>base/registro oficial de Provincia autonoma di Bolzano sobre frutticoltura, melo, viticoltura — alimenta T1 (cultura e producao), T4 (regulatorio), T3 (praga, doenca e infestanti)</t>
        </is>
      </c>
      <c r="F45" t="inlineStr">
        <is>
          <t>claude-code (missao ITALY-200-SOURCES-DISCOVERY, 2026-09-14)</t>
        </is>
      </c>
      <c r="G45" t="inlineStr">
        <is>
          <t>descoberta por familia de fonte 'regione_agricoltura' e verificada por sonda HTTP</t>
        </is>
      </c>
      <c r="H45" t="inlineStr">
        <is>
          <t>CANDIDATA validada em 2026-09-14; SOURCE_ID nao atribuido (nasce na porta canonica)</t>
        </is>
      </c>
    </row>
    <row r="46">
      <c r="A46" t="inlineStr">
        <is>
          <t>BASE_OFICIAL</t>
        </is>
      </c>
      <c r="B46" t="inlineStr">
        <is>
          <t>IT</t>
        </is>
      </c>
      <c r="C46" t="inlineStr">
        <is>
          <t>Provincia autonoma di Trento — Agricoltura</t>
        </is>
      </c>
      <c r="D46" t="inlineStr">
        <is>
          <t>https://www.provincia.tn.it/</t>
        </is>
      </c>
      <c r="E46" t="inlineStr">
        <is>
          <t>base/registro oficial de Provincia autonoma di Trento sobre agricoltura, melo, vite — alimenta T1 (cultura e producao), T4 (regulatorio)</t>
        </is>
      </c>
      <c r="F46" t="inlineStr">
        <is>
          <t>claude-code (missao ITALY-200-SOURCES-DISCOVERY, 2026-09-14)</t>
        </is>
      </c>
      <c r="G46" t="inlineStr">
        <is>
          <t>descoberta por familia de fonte 'regione_agricoltura' e verificada por sonda HTTP</t>
        </is>
      </c>
      <c r="H46" t="inlineStr">
        <is>
          <t>endereco corrigido: caminho devolve 410 (removido); raiz responde · CANDIDATA validada em 2026-09-14; SOURCE_ID nao atribuido (nasce na porta canonica)</t>
        </is>
      </c>
    </row>
    <row r="47">
      <c r="A47" t="inlineStr">
        <is>
          <t>BASE_OFICIAL</t>
        </is>
      </c>
      <c r="B47" t="inlineStr">
        <is>
          <t>IT</t>
        </is>
      </c>
      <c r="C47" t="inlineStr">
        <is>
          <t>Regione Umbria — Agricoltura</t>
        </is>
      </c>
      <c r="D47" t="inlineStr">
        <is>
          <t>https://www.regione.umbria.it/agricoltura</t>
        </is>
      </c>
      <c r="E47" t="inlineStr">
        <is>
          <t>base/registro oficial de Regione Umbria sobre agricoltura, PSR — alimenta T1 (cultura e producao), T4 (regulatorio)</t>
        </is>
      </c>
      <c r="F47" t="inlineStr">
        <is>
          <t>claude-code (missao ITALY-200-SOURCES-DISCOVERY, 2026-09-14)</t>
        </is>
      </c>
      <c r="G47" t="inlineStr">
        <is>
          <t>descoberta por familia de fonte 'regione_agricoltura' e verificada por sonda HTTP</t>
        </is>
      </c>
      <c r="H47" t="inlineStr">
        <is>
          <t>CANDIDATA validada em 2026-09-14; SOURCE_ID nao atribuido (nasce na porta canonica)</t>
        </is>
      </c>
    </row>
    <row r="48">
      <c r="A48" t="inlineStr">
        <is>
          <t>BASE_OFICIAL</t>
        </is>
      </c>
      <c r="B48" t="inlineStr">
        <is>
          <t>IT</t>
        </is>
      </c>
      <c r="C48" t="inlineStr">
        <is>
          <t>Umbria — Agricoltura e foreste</t>
        </is>
      </c>
      <c r="D48" t="inlineStr">
        <is>
          <t>https://www.regione.umbria.it/home</t>
        </is>
      </c>
      <c r="E48" t="inlineStr">
        <is>
          <t>base/registro oficial de Regione Umbria sobre agricoltura, PSR — alimenta T1 (cultura e producao), T4 (regulatorio)</t>
        </is>
      </c>
      <c r="F48" t="inlineStr">
        <is>
          <t>claude-code (missao ITALY-200-SOURCES-DISCOVERY, 2026-09-14)</t>
        </is>
      </c>
      <c r="G48" t="inlineStr">
        <is>
          <t>descoberta por familia de fonte 'regione_agricoltura' e verificada por sonda HTTP</t>
        </is>
      </c>
      <c r="H48" t="inlineStr">
        <is>
          <t>endereco corrigido: a raiz devolve 404; /home responde · CANDIDATA validada em 2026-09-14; SOURCE_ID nao atribuido (nasce na porta canonica)</t>
        </is>
      </c>
    </row>
    <row r="49">
      <c r="A49" t="inlineStr">
        <is>
          <t>BASE_OFICIAL</t>
        </is>
      </c>
      <c r="B49" t="inlineStr">
        <is>
          <t>IT</t>
        </is>
      </c>
      <c r="C49" t="inlineStr">
        <is>
          <t>ARPA Valle d'Aosta</t>
        </is>
      </c>
      <c r="D49" t="inlineStr">
        <is>
          <t>https://www.arpa.vda.it/</t>
        </is>
      </c>
      <c r="E49" t="inlineStr">
        <is>
          <t>base/registro oficial de ARPA Valle d'Aosta sobre ambiente, meteo alpino, neve — alimenta T2 (clima/acqua/suolo), T12 (politica e ambiente agricola)</t>
        </is>
      </c>
      <c r="F49" t="inlineStr">
        <is>
          <t>claude-code (missao ITALY-200-SOURCES-DISCOVERY, 2026-09-14)</t>
        </is>
      </c>
      <c r="G49" t="inlineStr">
        <is>
          <t>descoberta por familia de fonte 'arpa' e verificada por sonda HTTP</t>
        </is>
      </c>
      <c r="H49" t="inlineStr">
        <is>
          <t>CANDIDATA validada em 2026-09-14; SOURCE_ID nao atribuido (nasce na porta canonica)</t>
        </is>
      </c>
    </row>
    <row r="50">
      <c r="A50" t="inlineStr">
        <is>
          <t>BASE_OFICIAL</t>
        </is>
      </c>
      <c r="B50" t="inlineStr">
        <is>
          <t>IT</t>
        </is>
      </c>
      <c r="C50" t="inlineStr">
        <is>
          <t>Regione Valle d'Aosta — Agricoltura</t>
        </is>
      </c>
      <c r="D50" t="inlineStr">
        <is>
          <t>https://www.regione.vda.it/agricoltura/</t>
        </is>
      </c>
      <c r="E50" t="inlineStr">
        <is>
          <t>base/registro oficial de Regione Autonoma Valle d'Aosta sobre agricoltura di montagna, viticoltura — alimenta T1 (cultura e producao), T4 (regulatorio)</t>
        </is>
      </c>
      <c r="F50" t="inlineStr">
        <is>
          <t>claude-code (missao ITALY-200-SOURCES-DISCOVERY, 2026-09-14)</t>
        </is>
      </c>
      <c r="G50" t="inlineStr">
        <is>
          <t>descoberta por familia de fonte 'regione_agricoltura' e verificada por sonda HTTP</t>
        </is>
      </c>
      <c r="H50" t="inlineStr">
        <is>
          <t>CANDIDATA validada em 2026-09-14; SOURCE_ID nao atribuido (nasce na porta canonica)</t>
        </is>
      </c>
    </row>
    <row r="51">
      <c r="A51" t="inlineStr">
        <is>
          <t>BASE_OFICIAL</t>
        </is>
      </c>
      <c r="B51" t="inlineStr">
        <is>
          <t>IT</t>
        </is>
      </c>
      <c r="C51" t="inlineStr">
        <is>
          <t>Valle d'Aosta — Assessorato Agricoltura e Risorse Naturali</t>
        </is>
      </c>
      <c r="D51" t="inlineStr">
        <is>
          <t>https://www.regione.vda.it/</t>
        </is>
      </c>
      <c r="E51" t="inlineStr">
        <is>
          <t>base/registro oficial de Regione Autonoma Valle d'Aosta sobre agricoltura di montagna — alimenta T1 (cultura e producao), T4 (regulatorio)</t>
        </is>
      </c>
      <c r="F51" t="inlineStr">
        <is>
          <t>claude-code (missao ITALY-200-SOURCES-DISCOVERY, 2026-09-14)</t>
        </is>
      </c>
      <c r="G51" t="inlineStr">
        <is>
          <t>descoberta por familia de fonte 'regione_agricoltura' e verificada por sonda HTTP</t>
        </is>
      </c>
      <c r="H51" t="inlineStr">
        <is>
          <t>CANDIDATA validada em 2026-09-14; SOURCE_ID nao atribuido (nasce na porta canonica)</t>
        </is>
      </c>
    </row>
    <row r="52">
      <c r="A52" t="inlineStr">
        <is>
          <t>BASE_OFICIAL</t>
        </is>
      </c>
      <c r="B52" t="inlineStr">
        <is>
          <t>IT</t>
        </is>
      </c>
      <c r="C52" t="inlineStr">
        <is>
          <t>Veneto Agricoltura — Agenzia veneta per l'innovazione nel settore primario</t>
        </is>
      </c>
      <c r="D52" t="inlineStr">
        <is>
          <t>https://www.venetoagricoltura.org/</t>
        </is>
      </c>
      <c r="E52" t="inlineStr">
        <is>
          <t>base/registro oficial de Regione Veneto sobre ricerca applicata, divulgazione, bollettini — alimenta T1 (cultura e producao), T5 (ciencia), T7 (rede tecnica)</t>
        </is>
      </c>
      <c r="F52" t="inlineStr">
        <is>
          <t>claude-code (missao ITALY-200-SOURCES-DISCOVERY, 2026-09-14)</t>
        </is>
      </c>
      <c r="G52" t="inlineStr">
        <is>
          <t>descoberta por familia de fonte 'agenzia_regionale' e verificada por sonda HTTP</t>
        </is>
      </c>
      <c r="H52" t="inlineStr">
        <is>
          <t>CANDIDATA validada em 2026-09-14; SOURCE_ID nao atribuido (nasce na porta canonica)</t>
        </is>
      </c>
    </row>
    <row r="53">
      <c r="A53" t="inlineStr">
        <is>
          <t>BASE_OFICIAL</t>
        </is>
      </c>
      <c r="B53" t="inlineStr">
        <is>
          <t>IT</t>
        </is>
      </c>
      <c r="C53" t="inlineStr">
        <is>
          <t>Veneto — Servizio Fitosanitario Regionale</t>
        </is>
      </c>
      <c r="D53" t="inlineStr">
        <is>
          <t>https://www.regione.veneto.it/web/agricoltura-e-foreste</t>
        </is>
      </c>
      <c r="E53" t="inlineStr">
        <is>
          <t>base/registro oficial de Regione Veneto sobre servizio fitosanitario — alimenta T3 (praga, doenca e infestanti), T4 (regulatorio)</t>
        </is>
      </c>
      <c r="F53" t="inlineStr">
        <is>
          <t>claude-code (missao ITALY-200-SOURCES-DISCOVERY, 2026-09-14)</t>
        </is>
      </c>
      <c r="G53" t="inlineStr">
        <is>
          <t>descoberta por familia de fonte 'servizio_fitosanitario' e verificada por sonda HTTP</t>
        </is>
      </c>
      <c r="H53" t="inlineStr">
        <is>
          <t>endereco corrigido: caminho devolve 404 · CANDIDATA validada em 2026-09-14; SOURCE_ID nao atribuido (nasce na porta canonica)</t>
        </is>
      </c>
    </row>
    <row r="54">
      <c r="A54" t="inlineStr">
        <is>
          <t>CIENCIA</t>
        </is>
      </c>
      <c r="B54" t="inlineStr">
        <is>
          <t>IT</t>
        </is>
      </c>
      <c r="C54" t="inlineStr">
        <is>
          <t>UNITE Facolta di Bioscienze e Tecnologie Agro-alimentari e Ambientali</t>
        </is>
      </c>
      <c r="D54" t="inlineStr">
        <is>
          <t>https://www.unite.it/UniTE/Bioscienze_e_Tecnologie_Agro-Alimentari_e_Ambientali</t>
        </is>
      </c>
      <c r="E54" t="inlineStr">
        <is>
          <t>fonte cientifica de Universita di Teramo sobre bioscienze, agroalimentare — alimenta T5 (ciencia), T6 (pesquisadores)</t>
        </is>
      </c>
      <c r="F54" t="inlineStr">
        <is>
          <t>claude-code (missao ITALY-200-SOURCES-DISCOVERY, 2026-09-14)</t>
        </is>
      </c>
      <c r="G54" t="inlineStr">
        <is>
          <t>descoberta por familia de fonte 'universita' e verificada por sonda HTTP</t>
        </is>
      </c>
      <c r="H54" t="inlineStr">
        <is>
          <t>endereco corrigido: nome do departamento mudou · CANDIDATA validada em 2026-09-14; SOURCE_ID nao atribuido (nasce na porta canonica)</t>
        </is>
      </c>
    </row>
    <row r="55">
      <c r="A55" t="inlineStr">
        <is>
          <t>CIENCIA</t>
        </is>
      </c>
      <c r="B55" t="inlineStr">
        <is>
          <t>IT</t>
        </is>
      </c>
      <c r="C55" t="inlineStr">
        <is>
          <t>UNIRC Dipartimento di Agraria</t>
        </is>
      </c>
      <c r="D55" t="inlineStr">
        <is>
          <t>https://www.agraria.unirc.it/</t>
        </is>
      </c>
      <c r="E55" t="inlineStr">
        <is>
          <t>fonte cientifica de Universita Mediterranea di Reggio Calabria sobre agrumi, olivo, agraria — alimenta T5 (ciencia), T6 (pesquisadores), T1 (cultura e producao)</t>
        </is>
      </c>
      <c r="F55" t="inlineStr">
        <is>
          <t>claude-code (missao ITALY-200-SOURCES-DISCOVERY, 2026-09-14)</t>
        </is>
      </c>
      <c r="G55" t="inlineStr">
        <is>
          <t>descoberta por familia de fonte 'universita' e verificada por sonda HTTP</t>
        </is>
      </c>
      <c r="H55" t="inlineStr">
        <is>
          <t>CANDIDATA validada em 2026-09-14; SOURCE_ID nao atribuido (nasce na porta canonica)</t>
        </is>
      </c>
    </row>
    <row r="56">
      <c r="A56" t="inlineStr">
        <is>
          <t>CIENCIA</t>
        </is>
      </c>
      <c r="B56" t="inlineStr">
        <is>
          <t>IT</t>
        </is>
      </c>
      <c r="C56" t="inlineStr">
        <is>
          <t>Antonio Pietro GARONNA — registo cientifico ORCID (Università degli Studi di Napoli Federico II)</t>
        </is>
      </c>
      <c r="D56" t="inlineStr">
        <is>
          <t>https://orcid.org/0000-0002-8441-5208</t>
        </is>
      </c>
      <c r="E56" t="inlineStr">
        <is>
          <t>acompanhar a producao cientifica de Antonio Pietro GARONNA (Università degli Studi di Napoli Federico II) em olivo / Bactrocera oleae — alimenta T6 (pesquisadores), T5 (ciencia)</t>
        </is>
      </c>
      <c r="F56" t="inlineStr">
        <is>
          <t>claude-code (missao ITALY-200-SOURCES-DISCOVERY, 2026-09-14)</t>
        </is>
      </c>
      <c r="G56" t="inlineStr">
        <is>
          <t>ORCID public API — afiliacao italiana atual: Università degli Studi di Napoli Federico II</t>
        </is>
      </c>
      <c r="H56" t="inlineStr">
        <is>
          <t>ORCID 0000-0002-8441-5208 · afiliacao atual Università degli Studi di Napoli Federico II · CANDIDATA validada em 2026-09-14; SOURCE_ID nao atribuido (nasce na porta canonica)</t>
        </is>
      </c>
    </row>
    <row r="57">
      <c r="A57" t="inlineStr">
        <is>
          <t>CIENCIA</t>
        </is>
      </c>
      <c r="B57" t="inlineStr">
        <is>
          <t>IT</t>
        </is>
      </c>
      <c r="C57" t="inlineStr">
        <is>
          <t>CNR ISAFOM — Istituto per i Sistemi Agricoli e Forestali del Mediterraneo</t>
        </is>
      </c>
      <c r="D57" t="inlineStr">
        <is>
          <t>https://www.isafom.cnr.it/</t>
        </is>
      </c>
      <c r="E57" t="inlineStr">
        <is>
          <t>fonte cientifica de CNR sobre agrosistemi mediterranei, acqua, suolo — alimenta T2 (clima/acqua/suolo), T1 (cultura e producao), T5 (ciencia)</t>
        </is>
      </c>
      <c r="F57" t="inlineStr">
        <is>
          <t>claude-code (missao ITALY-200-SOURCES-DISCOVERY, 2026-09-14)</t>
        </is>
      </c>
      <c r="G57" t="inlineStr">
        <is>
          <t>descoberta por familia de fonte 'istituto_cnr' e verificada por sonda HTTP</t>
        </is>
      </c>
      <c r="H57" t="inlineStr">
        <is>
          <t>CANDIDATA validada em 2026-09-14; SOURCE_ID nao atribuido (nasce na porta canonica)</t>
        </is>
      </c>
    </row>
    <row r="58">
      <c r="A58" t="inlineStr">
        <is>
          <t>CIENCIA</t>
        </is>
      </c>
      <c r="B58" t="inlineStr">
        <is>
          <t>IT</t>
        </is>
      </c>
      <c r="C58" t="inlineStr">
        <is>
          <t>UNINA Dipartimento di Agraria — Portici</t>
        </is>
      </c>
      <c r="D58" t="inlineStr">
        <is>
          <t>https://www.agraria.unina.it/</t>
        </is>
      </c>
      <c r="E58" t="inlineStr">
        <is>
          <t>fonte cientifica de Universita di Napoli Federico II sobre agraria, entomologia, patologia — alimenta T5 (ciencia), T6 (pesquisadores), T3 (praga, doenca e infestanti)</t>
        </is>
      </c>
      <c r="F58" t="inlineStr">
        <is>
          <t>claude-code (missao ITALY-200-SOURCES-DISCOVERY, 2026-09-14)</t>
        </is>
      </c>
      <c r="G58" t="inlineStr">
        <is>
          <t>descoberta por familia de fonte 'universita' e verificada por sonda HTTP</t>
        </is>
      </c>
      <c r="H58" t="inlineStr">
        <is>
          <t>CANDIDATA validada em 2026-09-14; SOURCE_ID nao atribuido (nasce na porta canonica)</t>
        </is>
      </c>
    </row>
    <row r="59">
      <c r="A59" t="inlineStr">
        <is>
          <t>CIENCIA</t>
        </is>
      </c>
      <c r="B59" t="inlineStr">
        <is>
          <t>IT</t>
        </is>
      </c>
      <c r="C59" t="inlineStr">
        <is>
          <t>Antonio Masetti — registo cientifico ORCID (University of Bologna)</t>
        </is>
      </c>
      <c r="D59" t="inlineStr">
        <is>
          <t>https://orcid.org/0000-0001-6061-2752</t>
        </is>
      </c>
      <c r="E59" t="inlineStr">
        <is>
          <t>acompanhar a producao cientifica de Antonio Masetti (University of Bologna) em cimice asiatica / Halyomorpha halys — alimenta T6 (pesquisadores), T5 (ciencia)</t>
        </is>
      </c>
      <c r="F59" t="inlineStr">
        <is>
          <t>claude-code (missao ITALY-200-SOURCES-DISCOVERY, 2026-09-14)</t>
        </is>
      </c>
      <c r="G59" t="inlineStr">
        <is>
          <t>ORCID public API — afiliacao italiana atual: University of Bologna</t>
        </is>
      </c>
      <c r="H59" t="inlineStr">
        <is>
          <t>ORCID 0000-0001-6061-2752 · afiliacao atual University of Bologna · CANDIDATA validada em 2026-09-14; SOURCE_ID nao atribuido (nasce na porta canonica)</t>
        </is>
      </c>
    </row>
    <row r="60">
      <c r="A60" t="inlineStr">
        <is>
          <t>CIENCIA</t>
        </is>
      </c>
      <c r="B60" t="inlineStr">
        <is>
          <t>IT</t>
        </is>
      </c>
      <c r="C60" t="inlineStr">
        <is>
          <t>Antonio Prodi — registo cientifico ORCID (University of Bologna)</t>
        </is>
      </c>
      <c r="D60" t="inlineStr">
        <is>
          <t>https://orcid.org/0000-0002-7221-7271</t>
        </is>
      </c>
      <c r="E60" t="inlineStr">
        <is>
          <t>acompanhar a producao cientifica de Antonio Prodi (University of Bologna) em grano duro / Fusarium / micotossine — alimenta T6 (pesquisadores), T5 (ciencia)</t>
        </is>
      </c>
      <c r="F60" t="inlineStr">
        <is>
          <t>claude-code (missao ITALY-200-SOURCES-DISCOVERY, 2026-09-14)</t>
        </is>
      </c>
      <c r="G60" t="inlineStr">
        <is>
          <t>ORCID public API — afiliacao italiana atual: University of Bologna</t>
        </is>
      </c>
      <c r="H60" t="inlineStr">
        <is>
          <t>ORCID 0000-0002-7221-7271 · afiliacao atual University of Bologna · CANDIDATA validada em 2026-09-14; SOURCE_ID nao atribuido (nasce na porta canonica)</t>
        </is>
      </c>
    </row>
    <row r="61">
      <c r="A61" t="inlineStr">
        <is>
          <t>CIENCIA</t>
        </is>
      </c>
      <c r="B61" t="inlineStr">
        <is>
          <t>IT</t>
        </is>
      </c>
      <c r="C61" t="inlineStr">
        <is>
          <t>Bulletin of Insectology</t>
        </is>
      </c>
      <c r="D61" t="inlineStr">
        <is>
          <t>http://www.bulletinofinsectology.org/</t>
        </is>
      </c>
      <c r="E61" t="inlineStr">
        <is>
          <t>fonte cientifica de Universita di Bologna sobre journal, entomologia — alimenta T3 (praga, doenca e infestanti), T5 (ciencia)</t>
        </is>
      </c>
      <c r="F61" t="inlineStr">
        <is>
          <t>claude-code (missao ITALY-200-SOURCES-DISCOVERY, 2026-09-14)</t>
        </is>
      </c>
      <c r="G61" t="inlineStr">
        <is>
          <t>descoberta por familia de fonte 'journal' e verificada por sonda HTTP</t>
        </is>
      </c>
      <c r="H61" t="inlineStr">
        <is>
          <t>so' responde em HTTP: o certificado do host esta' invalido · CANDIDATA validada em 2026-09-14; SOURCE_ID nao atribuido (nasce na porta canonica)</t>
        </is>
      </c>
    </row>
    <row r="62">
      <c r="A62" t="inlineStr">
        <is>
          <t>CIENCIA</t>
        </is>
      </c>
      <c r="B62" t="inlineStr">
        <is>
          <t>IT</t>
        </is>
      </c>
      <c r="C62" t="inlineStr">
        <is>
          <t>CLAUDIO RATTI — registo cientifico ORCID (Alma Mater Studiorum  Universita' di Bologna)</t>
        </is>
      </c>
      <c r="D62" t="inlineStr">
        <is>
          <t>https://orcid.org/0000-0002-5640-2143</t>
        </is>
      </c>
      <c r="E62" t="inlineStr">
        <is>
          <t>acompanhar a producao cientifica de CLAUDIO RATTI (Alma Mater Studiorum  Universita' di Bologna) em vite / flavescenza dorata / Scaphoideus — alimenta T6 (pesquisadores), T5 (ciencia)</t>
        </is>
      </c>
      <c r="F62" t="inlineStr">
        <is>
          <t>claude-code (missao ITALY-200-SOURCES-DISCOVERY, 2026-09-14)</t>
        </is>
      </c>
      <c r="G62" t="inlineStr">
        <is>
          <t>ORCID public API — afiliacao italiana atual: Alma Mater Studiorum  Universita' di Bologna</t>
        </is>
      </c>
      <c r="H62" t="inlineStr">
        <is>
          <t>ORCID 0000-0002-5640-2143 · afiliacao atual Alma Mater Studiorum  Universita' di Bologna · CANDIDATA validada em 2026-09-14; SOURCE_ID nao atribuido (nasce na porta canonica)</t>
        </is>
      </c>
    </row>
    <row r="63">
      <c r="A63" t="inlineStr">
        <is>
          <t>CIENCIA</t>
        </is>
      </c>
      <c r="B63" t="inlineStr">
        <is>
          <t>IT</t>
        </is>
      </c>
      <c r="C63" t="inlineStr">
        <is>
          <t>CRPA — Centro Ricerche Produzioni Animali</t>
        </is>
      </c>
      <c r="D63" t="inlineStr">
        <is>
          <t>https://www.crpa.it/</t>
        </is>
      </c>
      <c r="E63" t="inlineStr">
        <is>
          <t>fonte cientifica de CRPA sobre zootecnia, ambiente, biogas — alimenta T5 (ciencia), T1 (cultura e producao)</t>
        </is>
      </c>
      <c r="F63" t="inlineStr">
        <is>
          <t>claude-code (missao ITALY-200-SOURCES-DISCOVERY, 2026-09-14)</t>
        </is>
      </c>
      <c r="G63" t="inlineStr">
        <is>
          <t>descoberta por familia de fonte 'ente_ricerca' e verificada por sonda HTTP</t>
        </is>
      </c>
      <c r="H63" t="inlineStr">
        <is>
          <t>CANDIDATA validada em 2026-09-14; SOURCE_ID nao atribuido (nasce na porta canonica)</t>
        </is>
      </c>
    </row>
    <row r="64">
      <c r="A64" t="inlineStr">
        <is>
          <t>CIENCIA</t>
        </is>
      </c>
      <c r="B64" t="inlineStr">
        <is>
          <t>IT</t>
        </is>
      </c>
      <c r="C64" t="inlineStr">
        <is>
          <t>CRPV — Centro Ricerche Produzioni Vegetali</t>
        </is>
      </c>
      <c r="D64" t="inlineStr">
        <is>
          <t>https://www.crpv.it/</t>
        </is>
      </c>
      <c r="E64" t="inlineStr">
        <is>
          <t>fonte cientifica de CRPV sobre sperimentazione, ortofrutta, difesa — alimenta T5 (ciencia), T3 (praga, doenca e infestanti), T1 (cultura e producao)</t>
        </is>
      </c>
      <c r="F64" t="inlineStr">
        <is>
          <t>claude-code (missao ITALY-200-SOURCES-DISCOVERY, 2026-09-14)</t>
        </is>
      </c>
      <c r="G64" t="inlineStr">
        <is>
          <t>descoberta por familia de fonte 'ente_ricerca' e verificada por sonda HTTP</t>
        </is>
      </c>
      <c r="H64" t="inlineStr">
        <is>
          <t>CANDIDATA validada em 2026-09-14; SOURCE_ID nao atribuido (nasce na porta canonica)</t>
        </is>
      </c>
    </row>
    <row r="65">
      <c r="A65" t="inlineStr">
        <is>
          <t>CIENCIA</t>
        </is>
      </c>
      <c r="B65" t="inlineStr">
        <is>
          <t>IT</t>
        </is>
      </c>
      <c r="C65" t="inlineStr">
        <is>
          <t>Fondazione per l'Agricoltura F.lli Navarra</t>
        </is>
      </c>
      <c r="D65" t="inlineStr">
        <is>
          <t>https://www.fondazionenavarra.it/</t>
        </is>
      </c>
      <c r="E65" t="inlineStr">
        <is>
          <t>fonte cientifica de Fondazione Navarra sobre frutticoltura, sperimentazione — alimenta T5 (ciencia), T1 (cultura e producao)</t>
        </is>
      </c>
      <c r="F65" t="inlineStr">
        <is>
          <t>claude-code (missao ITALY-200-SOURCES-DISCOVERY, 2026-09-14)</t>
        </is>
      </c>
      <c r="G65" t="inlineStr">
        <is>
          <t>descoberta por familia de fonte 'ente_ricerca' e verificada por sonda HTTP</t>
        </is>
      </c>
      <c r="H65" t="inlineStr">
        <is>
          <t>CANDIDATA validada em 2026-09-14; SOURCE_ID nao atribuido (nasce na porta canonica)</t>
        </is>
      </c>
    </row>
    <row r="66">
      <c r="A66" t="inlineStr">
        <is>
          <t>CIENCIA</t>
        </is>
      </c>
      <c r="B66" t="inlineStr">
        <is>
          <t>IT</t>
        </is>
      </c>
      <c r="C66" t="inlineStr">
        <is>
          <t>IRIS UNIBO — Archivio istituzionale della ricerca</t>
        </is>
      </c>
      <c r="D66" t="inlineStr">
        <is>
          <t>https://cris.unibo.it/</t>
        </is>
      </c>
      <c r="E66" t="inlineStr">
        <is>
          <t>fonte cientifica de Universita di Bologna sobre repositorio scientifico, pubblicazioni — alimenta T5 (ciencia), T6 (pesquisadores)</t>
        </is>
      </c>
      <c r="F66" t="inlineStr">
        <is>
          <t>claude-code (missao ITALY-200-SOURCES-DISCOVERY, 2026-09-14)</t>
        </is>
      </c>
      <c r="G66" t="inlineStr">
        <is>
          <t>descoberta por familia de fonte 'repositorio' e verificada por sonda HTTP</t>
        </is>
      </c>
      <c r="H66" t="inlineStr">
        <is>
          <t>CANDIDATA validada em 2026-09-14; SOURCE_ID nao atribuido (nasce na porta canonica)</t>
        </is>
      </c>
    </row>
    <row r="67">
      <c r="A67" t="inlineStr">
        <is>
          <t>CIENCIA</t>
        </is>
      </c>
      <c r="B67" t="inlineStr">
        <is>
          <t>IT</t>
        </is>
      </c>
      <c r="C67" t="inlineStr">
        <is>
          <t>Roberta Paris — registo cientifico ORCID (Council for Agricultural Research and Economics Analysis (CREA) )</t>
        </is>
      </c>
      <c r="D67" t="inlineStr">
        <is>
          <t>https://orcid.org/0000-0001-7823-2475</t>
        </is>
      </c>
      <c r="E67" t="inlineStr">
        <is>
          <t>acompanhar a producao cientifica de Roberta Paris (Council for Agricultural Research and Economics Analysis (CREA) ) em melo / ticchiolatura — alimenta T6 (pesquisadores), T5 (ciencia)</t>
        </is>
      </c>
      <c r="F67" t="inlineStr">
        <is>
          <t>claude-code (missao ITALY-200-SOURCES-DISCOVERY, 2026-09-14)</t>
        </is>
      </c>
      <c r="G67" t="inlineStr">
        <is>
          <t xml:space="preserve">ORCID public API — afiliacao italiana atual: Council for Agricultural Research and Economics Analysis (CREA) </t>
        </is>
      </c>
      <c r="H67" t="inlineStr">
        <is>
          <t>ORCID 0000-0001-7823-2475 · afiliacao atual Council for Agricultural Research and Economics Analysis (CREA)  · CANDIDATA validada em 2026-09-14; SOURCE_ID nao atribuido (nasce na porta canonica)</t>
        </is>
      </c>
    </row>
    <row r="68">
      <c r="A68" t="inlineStr">
        <is>
          <t>CIENCIA</t>
        </is>
      </c>
      <c r="B68" t="inlineStr">
        <is>
          <t>IT</t>
        </is>
      </c>
      <c r="C68" t="inlineStr">
        <is>
          <t>SSICA — Stazione Sperimentale per l'Industria delle Conserve Alimentari</t>
        </is>
      </c>
      <c r="D68" t="inlineStr">
        <is>
          <t>https://www.ssica.it/</t>
        </is>
      </c>
      <c r="E68" t="inlineStr">
        <is>
          <t>fonte cientifica de SSICA sobre pomodoro, conserve, trasformazione — alimenta T5 (ciencia), T10 (mercado e industria)</t>
        </is>
      </c>
      <c r="F68" t="inlineStr">
        <is>
          <t>claude-code (missao ITALY-200-SOURCES-DISCOVERY, 2026-09-14)</t>
        </is>
      </c>
      <c r="G68" t="inlineStr">
        <is>
          <t>descoberta por familia de fonte 'ente_ricerca' e verificada por sonda HTTP</t>
        </is>
      </c>
      <c r="H68" t="inlineStr">
        <is>
          <t>CANDIDATA validada em 2026-09-14; SOURCE_ID nao atribuido (nasce na porta canonica)</t>
        </is>
      </c>
    </row>
    <row r="69">
      <c r="A69" t="inlineStr">
        <is>
          <t>CIENCIA</t>
        </is>
      </c>
      <c r="B69" t="inlineStr">
        <is>
          <t>IT</t>
        </is>
      </c>
      <c r="C69" t="inlineStr">
        <is>
          <t>Stefano Maini — registo cientifico ORCID (Alma Mater Studiorum - Università di Bologna)</t>
        </is>
      </c>
      <c r="D69" t="inlineStr">
        <is>
          <t>https://orcid.org/0000-0001-7272-1243</t>
        </is>
      </c>
      <c r="E69" t="inlineStr">
        <is>
          <t>acompanhar a producao cientifica de Stefano Maini (Alma Mater Studiorum - Università di Bologna) em mais / Ostrinia nubilalis — alimenta T6 (pesquisadores), T5 (ciencia)</t>
        </is>
      </c>
      <c r="F69" t="inlineStr">
        <is>
          <t>claude-code (missao ITALY-200-SOURCES-DISCOVERY, 2026-09-14)</t>
        </is>
      </c>
      <c r="G69" t="inlineStr">
        <is>
          <t>ORCID public API — afiliacao italiana atual: Alma Mater Studiorum - Università di Bologna</t>
        </is>
      </c>
      <c r="H69" t="inlineStr">
        <is>
          <t>ORCID 0000-0001-7272-1243 · afiliacao atual Alma Mater Studiorum - Università di Bologna · CANDIDATA validada em 2026-09-14; SOURCE_ID nao atribuido (nasce na porta canonica)</t>
        </is>
      </c>
    </row>
    <row r="70">
      <c r="A70" t="inlineStr">
        <is>
          <t>CIENCIA</t>
        </is>
      </c>
      <c r="B70" t="inlineStr">
        <is>
          <t>IT</t>
        </is>
      </c>
      <c r="C70" t="inlineStr">
        <is>
          <t>Tito Caffi — registo cientifico ORCID (Università Cattolica del Sacro Cuore)</t>
        </is>
      </c>
      <c r="D70" t="inlineStr">
        <is>
          <t>https://orcid.org/0000-0001-9929-4130</t>
        </is>
      </c>
      <c r="E70" t="inlineStr">
        <is>
          <t>acompanhar a producao cientifica de Tito Caffi (Università Cattolica del Sacro Cuore) em vite / peronospora — alimenta T6 (pesquisadores), T5 (ciencia)</t>
        </is>
      </c>
      <c r="F70" t="inlineStr">
        <is>
          <t>claude-code (missao ITALY-200-SOURCES-DISCOVERY, 2026-09-14)</t>
        </is>
      </c>
      <c r="G70" t="inlineStr">
        <is>
          <t>ORCID public API — afiliacao italiana atual: Università Cattolica del Sacro Cuore</t>
        </is>
      </c>
      <c r="H70" t="inlineStr">
        <is>
          <t>ORCID 0000-0001-9929-4130 · afiliacao atual Università Cattolica del Sacro Cuore · CANDIDATA validada em 2026-09-14; SOURCE_ID nao atribuido (nasce na porta canonica)</t>
        </is>
      </c>
    </row>
    <row r="71">
      <c r="A71" t="inlineStr">
        <is>
          <t>CIENCIA</t>
        </is>
      </c>
      <c r="B71" t="inlineStr">
        <is>
          <t>IT</t>
        </is>
      </c>
      <c r="C71" t="inlineStr">
        <is>
          <t>UNIBO DISTAL — Dipartimento di Scienze e Tecnologie Agro-Alimentari</t>
        </is>
      </c>
      <c r="D71" t="inlineStr">
        <is>
          <t>https://distal.unibo.it/it</t>
        </is>
      </c>
      <c r="E71" t="inlineStr">
        <is>
          <t>fonte cientifica de Universita di Bologna sobre agraria, patologia, entomologia, agronomia — alimenta T5 (ciencia), T6 (pesquisadores), T1 (cultura e producao)</t>
        </is>
      </c>
      <c r="F71" t="inlineStr">
        <is>
          <t>claude-code (missao ITALY-200-SOURCES-DISCOVERY, 2026-09-14)</t>
        </is>
      </c>
      <c r="G71" t="inlineStr">
        <is>
          <t>descoberta por familia de fonte 'universita' e verificada por sonda HTTP</t>
        </is>
      </c>
      <c r="H71" t="inlineStr">
        <is>
          <t>CANDIDATA validada em 2026-09-14; SOURCE_ID nao atribuido (nasce na porta canonica)</t>
        </is>
      </c>
    </row>
    <row r="72">
      <c r="A72" t="inlineStr">
        <is>
          <t>CIENCIA</t>
        </is>
      </c>
      <c r="B72" t="inlineStr">
        <is>
          <t>IT</t>
        </is>
      </c>
      <c r="C72" t="inlineStr">
        <is>
          <t>UNIUD DI4A — Dipartimento di Scienze Agroalimentari Ambientali e Animali</t>
        </is>
      </c>
      <c r="D72" t="inlineStr">
        <is>
          <t>https://www.di4a.uniud.it/it</t>
        </is>
      </c>
      <c r="E72" t="inlineStr">
        <is>
          <t>fonte cientifica de Universita di Udine sobre vite, flavescenza, agronomia — alimenta T5 (ciencia), T6 (pesquisadores), T3 (praga, doenca e infestanti)</t>
        </is>
      </c>
      <c r="F72" t="inlineStr">
        <is>
          <t>claude-code (missao ITALY-200-SOURCES-DISCOVERY, 2026-09-14)</t>
        </is>
      </c>
      <c r="G72" t="inlineStr">
        <is>
          <t>descoberta por familia de fonte 'universita' e verificada por sonda HTTP</t>
        </is>
      </c>
      <c r="H72" t="inlineStr">
        <is>
          <t>CANDIDATA validada em 2026-09-14; SOURCE_ID nao atribuido (nasce na porta canonica)</t>
        </is>
      </c>
    </row>
    <row r="73">
      <c r="A73" t="inlineStr">
        <is>
          <t>CIENCIA</t>
        </is>
      </c>
      <c r="B73" t="inlineStr">
        <is>
          <t>IT</t>
        </is>
      </c>
      <c r="C73" t="inlineStr">
        <is>
          <t>Anita Nencioni — registo cientifico ORCID (Consiglio per la ricerca in agricoltura e l’analisi dell’economia agraria)</t>
        </is>
      </c>
      <c r="D73" t="inlineStr">
        <is>
          <t>https://orcid.org/0000-0003-1585-0529</t>
        </is>
      </c>
      <c r="E73" t="inlineStr">
        <is>
          <t>acompanhar a producao cientifica de Anita Nencioni (Consiglio per la ricerca in agricoltura e l’analisi dell’economia agraria) em olivo / Xylella fastidiosa — alimenta T6 (pesquisadores), T5 (ciencia)</t>
        </is>
      </c>
      <c r="F73" t="inlineStr">
        <is>
          <t>claude-code (missao ITALY-200-SOURCES-DISCOVERY, 2026-09-14)</t>
        </is>
      </c>
      <c r="G73" t="inlineStr">
        <is>
          <t>ORCID public API — afiliacao italiana atual: Consiglio per la ricerca in agricoltura e l’analisi dell’economia agraria</t>
        </is>
      </c>
      <c r="H73" t="inlineStr">
        <is>
          <t>ORCID 0000-0003-1585-0529 · afiliacao atual Consiglio per la ricerca in agricoltura e l’analisi dell’economia agraria · CANDIDATA validada em 2026-09-14; SOURCE_ID nao atribuido (nasce na porta canonica)</t>
        </is>
      </c>
    </row>
    <row r="74">
      <c r="A74" t="inlineStr">
        <is>
          <t>CIENCIA</t>
        </is>
      </c>
      <c r="B74" t="inlineStr">
        <is>
          <t>IT</t>
        </is>
      </c>
      <c r="C74" t="inlineStr">
        <is>
          <t>Paolo Boccacci — registo cientifico ORCID (Consiglio Nazionale delle Ricerche)</t>
        </is>
      </c>
      <c r="D74" t="inlineStr">
        <is>
          <t>https://orcid.org/0000-0001-8574-0478</t>
        </is>
      </c>
      <c r="E74" t="inlineStr">
        <is>
          <t>acompanhar a producao cientifica de Paolo Boccacci (Consiglio Nazionale delle Ricerche) em nocciolo / frutticoltura — alimenta T6 (pesquisadores), T5 (ciencia)</t>
        </is>
      </c>
      <c r="F74" t="inlineStr">
        <is>
          <t>claude-code (missao ITALY-200-SOURCES-DISCOVERY, 2026-09-14)</t>
        </is>
      </c>
      <c r="G74" t="inlineStr">
        <is>
          <t>ORCID public API — afiliacao italiana atual: Consiglio Nazionale delle Ricerche</t>
        </is>
      </c>
      <c r="H74" t="inlineStr">
        <is>
          <t>ORCID 0000-0001-8574-0478 · afiliacao atual Consiglio Nazionale delle Ricerche · CANDIDATA validada em 2026-09-14; SOURCE_ID nao atribuido (nasce na porta canonica)</t>
        </is>
      </c>
    </row>
    <row r="75">
      <c r="A75" t="inlineStr">
        <is>
          <t>CIENCIA</t>
        </is>
      </c>
      <c r="B75" t="inlineStr">
        <is>
          <t>IT</t>
        </is>
      </c>
      <c r="C75" t="inlineStr">
        <is>
          <t>Rosa Francaviglia — registo cientifico ORCID (Consiglio per la ricerca in agricoltura e l'analisi dell'economia agraria (CREA))</t>
        </is>
      </c>
      <c r="D75" t="inlineStr">
        <is>
          <t>https://orcid.org/0000-0002-4362-5428</t>
        </is>
      </c>
      <c r="E75" t="inlineStr">
        <is>
          <t>acompanhar a producao cientifica de Rosa Francaviglia (Consiglio per la ricerca in agricoltura e l'analisi dell'economia agraria (CREA)) em suolo / carbonio organico — alimenta T6 (pesquisadores), T5 (ciencia)</t>
        </is>
      </c>
      <c r="F75" t="inlineStr">
        <is>
          <t>claude-code (missao ITALY-200-SOURCES-DISCOVERY, 2026-09-14)</t>
        </is>
      </c>
      <c r="G75" t="inlineStr">
        <is>
          <t>ORCID public API — afiliacao italiana atual: Consiglio per la ricerca in agricoltura e l'analisi dell'economia agraria (CREA)</t>
        </is>
      </c>
      <c r="H75" t="inlineStr">
        <is>
          <t>ORCID 0000-0002-4362-5428 · afiliacao atual Consiglio per la ricerca in agricoltura e l'analisi dell'economia agraria (CREA) · CANDIDATA validada em 2026-09-14; SOURCE_ID nao atribuido (nasce na porta canonica)</t>
        </is>
      </c>
    </row>
    <row r="76">
      <c r="A76" t="inlineStr">
        <is>
          <t>CIENCIA</t>
        </is>
      </c>
      <c r="B76" t="inlineStr">
        <is>
          <t>IT</t>
        </is>
      </c>
      <c r="C76" t="inlineStr">
        <is>
          <t>UNITUS DAFNE — Dipartimento di Scienze Agrarie e Forestali</t>
        </is>
      </c>
      <c r="D76" t="inlineStr">
        <is>
          <t>https://www.unitus.it/it/dipartimento/dafne</t>
        </is>
      </c>
      <c r="E76" t="inlineStr">
        <is>
          <t>fonte cientifica de Universita della Tuscia sobre agraria, nocciolo, difesa — alimenta T5 (ciencia), T6 (pesquisadores), T1 (cultura e producao)</t>
        </is>
      </c>
      <c r="F76" t="inlineStr">
        <is>
          <t>claude-code (missao ITALY-200-SOURCES-DISCOVERY, 2026-09-14)</t>
        </is>
      </c>
      <c r="G76" t="inlineStr">
        <is>
          <t>descoberta por familia de fonte 'universita' e verificada por sonda HTTP</t>
        </is>
      </c>
      <c r="H76" t="inlineStr">
        <is>
          <t>CANDIDATA validada em 2026-09-14; SOURCE_ID nao atribuido (nasce na porta canonica)</t>
        </is>
      </c>
    </row>
    <row r="77">
      <c r="A77" t="inlineStr">
        <is>
          <t>CIENCIA</t>
        </is>
      </c>
      <c r="B77" t="inlineStr">
        <is>
          <t>IT</t>
        </is>
      </c>
      <c r="C77" t="inlineStr">
        <is>
          <t>AIR UNIMI — Archivio Istituzionale della Ricerca</t>
        </is>
      </c>
      <c r="D77" t="inlineStr">
        <is>
          <t>https://air.unimi.it/</t>
        </is>
      </c>
      <c r="E77" t="inlineStr">
        <is>
          <t>fonte cientifica de Universita degli Studi di Milano sobre repositorio scientifico — alimenta T5 (ciencia), T6 (pesquisadores)</t>
        </is>
      </c>
      <c r="F77" t="inlineStr">
        <is>
          <t>claude-code (missao ITALY-200-SOURCES-DISCOVERY, 2026-09-14)</t>
        </is>
      </c>
      <c r="G77" t="inlineStr">
        <is>
          <t>descoberta por familia de fonte 'repositorio' e verificada por sonda HTTP</t>
        </is>
      </c>
      <c r="H77" t="inlineStr">
        <is>
          <t>CANDIDATA validada em 2026-09-14; SOURCE_ID nao atribuido (nasce na porta canonica)</t>
        </is>
      </c>
    </row>
    <row r="78">
      <c r="A78" t="inlineStr">
        <is>
          <t>CIENCIA</t>
        </is>
      </c>
      <c r="B78" t="inlineStr">
        <is>
          <t>IT</t>
        </is>
      </c>
      <c r="C78" t="inlineStr">
        <is>
          <t>Marco Perfetto — registo cientifico ORCID (University of Milan)</t>
        </is>
      </c>
      <c r="D78" t="inlineStr">
        <is>
          <t>https://orcid.org/0000-0001-9370-2500</t>
        </is>
      </c>
      <c r="E78" t="inlineStr">
        <is>
          <t>acompanhar a producao cientifica de Marco Perfetto (University of Milan) em agricoltura rigenerativa / cover crop — alimenta T6 (pesquisadores), T5 (ciencia)</t>
        </is>
      </c>
      <c r="F78" t="inlineStr">
        <is>
          <t>claude-code (missao ITALY-200-SOURCES-DISCOVERY, 2026-09-14)</t>
        </is>
      </c>
      <c r="G78" t="inlineStr">
        <is>
          <t>ORCID public API — afiliacao italiana atual: University of Milan</t>
        </is>
      </c>
      <c r="H78" t="inlineStr">
        <is>
          <t>ORCID 0000-0001-9370-2500 · afiliacao atual University of Milan · CANDIDATA validada em 2026-09-14; SOURCE_ID nao atribuido (nasce na porta canonica)</t>
        </is>
      </c>
    </row>
    <row r="79">
      <c r="A79" t="inlineStr">
        <is>
          <t>CIENCIA</t>
        </is>
      </c>
      <c r="B79" t="inlineStr">
        <is>
          <t>IT</t>
        </is>
      </c>
      <c r="C79" t="inlineStr">
        <is>
          <t>UNIMI DiSAA — Dipartimento di Scienze Agrarie e Ambientali</t>
        </is>
      </c>
      <c r="D79" t="inlineStr">
        <is>
          <t>https://disaa.unimi.it/</t>
        </is>
      </c>
      <c r="E79" t="inlineStr">
        <is>
          <t>fonte cientifica de Universita degli Studi di Milano sobre agronomia, difesa, riso, mais — alimenta T5 (ciencia), T6 (pesquisadores), T1 (cultura e producao)</t>
        </is>
      </c>
      <c r="F79" t="inlineStr">
        <is>
          <t>claude-code (missao ITALY-200-SOURCES-DISCOVERY, 2026-09-14)</t>
        </is>
      </c>
      <c r="G79" t="inlineStr">
        <is>
          <t>descoberta por familia de fonte 'universita' e verificada por sonda HTTP</t>
        </is>
      </c>
      <c r="H79" t="inlineStr">
        <is>
          <t>endereco corrigido: endereco canonizado para o destino final · CANDIDATA validada em 2026-09-14; SOURCE_ID nao atribuido (nasce na porta canonica)</t>
        </is>
      </c>
    </row>
    <row r="80">
      <c r="A80" t="inlineStr">
        <is>
          <t>CIENCIA</t>
        </is>
      </c>
      <c r="B80" t="inlineStr">
        <is>
          <t>IT</t>
        </is>
      </c>
      <c r="C80" t="inlineStr">
        <is>
          <t>UNIVPM D3A — Dipartimento di Scienze Agrarie Alimentari e Ambientali</t>
        </is>
      </c>
      <c r="D80" t="inlineStr">
        <is>
          <t>https://www.d3a.univpm.it/</t>
        </is>
      </c>
      <c r="E80" t="inlineStr">
        <is>
          <t>fonte cientifica de Universita Politecnica delle Marche sobre agraria, agronomia — alimenta T5 (ciencia), T6 (pesquisadores), T1 (cultura e producao)</t>
        </is>
      </c>
      <c r="F80" t="inlineStr">
        <is>
          <t>claude-code (missao ITALY-200-SOURCES-DISCOVERY, 2026-09-14)</t>
        </is>
      </c>
      <c r="G80" t="inlineStr">
        <is>
          <t>descoberta por familia de fonte 'universita' e verificada por sonda HTTP</t>
        </is>
      </c>
      <c r="H80" t="inlineStr">
        <is>
          <t>CANDIDATA validada em 2026-09-14; SOURCE_ID nao atribuido (nasce na porta canonica)</t>
        </is>
      </c>
    </row>
    <row r="81">
      <c r="A81" t="inlineStr">
        <is>
          <t>CIENCIA</t>
        </is>
      </c>
      <c r="B81" t="inlineStr">
        <is>
          <t>IT</t>
        </is>
      </c>
      <c r="C81" t="inlineStr">
        <is>
          <t>sara ruschioni — registo cientifico ORCID (Marche Polytechnic University)</t>
        </is>
      </c>
      <c r="D81" t="inlineStr">
        <is>
          <t>https://orcid.org/0000-0003-2965-6364</t>
        </is>
      </c>
      <c r="E81" t="inlineStr">
        <is>
          <t>acompanhar a producao cientifica de sara ruschioni (Marche Polytechnic University) em mais / Ostrinia nubilalis — alimenta T6 (pesquisadores), T5 (ciencia)</t>
        </is>
      </c>
      <c r="F81" t="inlineStr">
        <is>
          <t>claude-code (missao ITALY-200-SOURCES-DISCOVERY, 2026-09-14)</t>
        </is>
      </c>
      <c r="G81" t="inlineStr">
        <is>
          <t>ORCID public API — afiliacao italiana atual: Marche Polytechnic University</t>
        </is>
      </c>
      <c r="H81" t="inlineStr">
        <is>
          <t>ORCID 0000-0003-2965-6364 · afiliacao atual Marche Polytechnic University · CANDIDATA validada em 2026-09-14; SOURCE_ID nao atribuido (nasce na porta canonica)</t>
        </is>
      </c>
    </row>
    <row r="82">
      <c r="A82" t="inlineStr">
        <is>
          <t>CIENCIA</t>
        </is>
      </c>
      <c r="B82" t="inlineStr">
        <is>
          <t>IT</t>
        </is>
      </c>
      <c r="C82" t="inlineStr">
        <is>
          <t>CNR IBBR — Istituto di Bioscienze e Biorisorse</t>
        </is>
      </c>
      <c r="D82" t="inlineStr">
        <is>
          <t>https://www.ibbr.cnr.it/</t>
        </is>
      </c>
      <c r="E82" t="inlineStr">
        <is>
          <t>fonte cientifica de CNR sobre germoplasma, genetica vegetale — alimenta T5 (ciencia), T1 (cultura e producao)</t>
        </is>
      </c>
      <c r="F82" t="inlineStr">
        <is>
          <t>claude-code (missao ITALY-200-SOURCES-DISCOVERY, 2026-09-14)</t>
        </is>
      </c>
      <c r="G82" t="inlineStr">
        <is>
          <t>descoberta por familia de fonte 'istituto_cnr' e verificada por sonda HTTP</t>
        </is>
      </c>
      <c r="H82" t="inlineStr">
        <is>
          <t>CANDIDATA validada em 2026-09-14; SOURCE_ID nao atribuido (nasce na porta canonica)</t>
        </is>
      </c>
    </row>
    <row r="83">
      <c r="A83" t="inlineStr">
        <is>
          <t>CIENCIA</t>
        </is>
      </c>
      <c r="B83" t="inlineStr">
        <is>
          <t>IT</t>
        </is>
      </c>
      <c r="C83" t="inlineStr">
        <is>
          <t>CNR IPSP — Istituto per la Protezione Sostenibile delle Piante</t>
        </is>
      </c>
      <c r="D83" t="inlineStr">
        <is>
          <t>http://www.ipsp.cnr.it/</t>
        </is>
      </c>
      <c r="E83" t="inlineStr">
        <is>
          <t>fonte cientifica de CNR sobre patologia vegetale, entomologia, biocontrollo — alimenta T3 (praga, doenca e infestanti), T5 (ciencia), T6 (pesquisadores)</t>
        </is>
      </c>
      <c r="F83" t="inlineStr">
        <is>
          <t>claude-code (missao ITALY-200-SOURCES-DISCOVERY, 2026-09-14)</t>
        </is>
      </c>
      <c r="G83" t="inlineStr">
        <is>
          <t>descoberta por familia de fonte 'istituto_cnr' e verificada por sonda HTTP</t>
        </is>
      </c>
      <c r="H83" t="inlineStr">
        <is>
          <t>endereco corrigido: certificado TLS expirado e de outro host; o endereco HTTP serve o instituto · so' responde em HTTP: o certificado do host esta' invalido · CANDIDATA validada em 2026-09-14; SOURCE_ID nao atribuido (nasce na porta canonica)</t>
        </is>
      </c>
    </row>
    <row r="84">
      <c r="A84" t="inlineStr">
        <is>
          <t>CIENCIA</t>
        </is>
      </c>
      <c r="B84" t="inlineStr">
        <is>
          <t>IT</t>
        </is>
      </c>
      <c r="C84" t="inlineStr">
        <is>
          <t>CNR IRET — Istituto di Ricerca sugli Ecosistemi Terrestri</t>
        </is>
      </c>
      <c r="D84" t="inlineStr">
        <is>
          <t>https://www.iret.cnr.it/</t>
        </is>
      </c>
      <c r="E84" t="inlineStr">
        <is>
          <t>fonte cientifica de CNR sobre ecosistemi, suolo — alimenta T2 (clima/acqua/suolo), T5 (ciencia)</t>
        </is>
      </c>
      <c r="F84" t="inlineStr">
        <is>
          <t>claude-code (missao ITALY-200-SOURCES-DISCOVERY, 2026-09-14)</t>
        </is>
      </c>
      <c r="G84" t="inlineStr">
        <is>
          <t>descoberta por familia de fonte 'istituto_cnr' e verificada por sonda HTTP</t>
        </is>
      </c>
      <c r="H84" t="inlineStr">
        <is>
          <t>CANDIDATA validada em 2026-09-14; SOURCE_ID nao atribuido (nasce na porta canonica)</t>
        </is>
      </c>
    </row>
    <row r="85">
      <c r="A85" t="inlineStr">
        <is>
          <t>CIENCIA</t>
        </is>
      </c>
      <c r="B85" t="inlineStr">
        <is>
          <t>IT</t>
        </is>
      </c>
      <c r="C85" t="inlineStr">
        <is>
          <t>Francesco Nardi — registo cientifico ORCID (University of Siena)</t>
        </is>
      </c>
      <c r="D85" t="inlineStr">
        <is>
          <t>https://orcid.org/0000-0003-0271-9855</t>
        </is>
      </c>
      <c r="E85" t="inlineStr">
        <is>
          <t>acompanhar a producao cientifica de Francesco Nardi (University of Siena) em Popillia japonica — alimenta T6 (pesquisadores), T5 (ciencia)</t>
        </is>
      </c>
      <c r="F85" t="inlineStr">
        <is>
          <t>claude-code (missao ITALY-200-SOURCES-DISCOVERY, 2026-09-14)</t>
        </is>
      </c>
      <c r="G85" t="inlineStr">
        <is>
          <t>ORCID public API — afiliacao italiana atual: University of Siena</t>
        </is>
      </c>
      <c r="H85" t="inlineStr">
        <is>
          <t>ORCID 0000-0003-0271-9855 · afiliacao atual University of Siena · CANDIDATA validada em 2026-09-14; SOURCE_ID nao atribuido (nasce na porta canonica)</t>
        </is>
      </c>
    </row>
    <row r="86">
      <c r="A86" t="inlineStr">
        <is>
          <t>CIENCIA</t>
        </is>
      </c>
      <c r="B86" t="inlineStr">
        <is>
          <t>IT</t>
        </is>
      </c>
      <c r="C86" t="inlineStr">
        <is>
          <t>Graziella Amendola — registo cientifico ORCID (National Institute of Health)</t>
        </is>
      </c>
      <c r="D86" t="inlineStr">
        <is>
          <t>https://orcid.org/0000-0001-5461-0312</t>
        </is>
      </c>
      <c r="E86" t="inlineStr">
        <is>
          <t>acompanhar a producao cientifica de Graziella Amendola (National Institute of Health) em residui di fitofarmaci — alimenta T6 (pesquisadores), T5 (ciencia)</t>
        </is>
      </c>
      <c r="F86" t="inlineStr">
        <is>
          <t>claude-code (missao ITALY-200-SOURCES-DISCOVERY, 2026-09-14)</t>
        </is>
      </c>
      <c r="G86" t="inlineStr">
        <is>
          <t>ORCID public API — afiliacao italiana atual: National Institute of Health</t>
        </is>
      </c>
      <c r="H86" t="inlineStr">
        <is>
          <t>ORCID 0000-0001-5461-0312 · afiliacao atual National Institute of Health · CANDIDATA validada em 2026-09-14; SOURCE_ID nao atribuido (nasce na porta canonica)</t>
        </is>
      </c>
    </row>
    <row r="87">
      <c r="A87" t="inlineStr">
        <is>
          <t>CIENCIA</t>
        </is>
      </c>
      <c r="B87" t="inlineStr">
        <is>
          <t>IT</t>
        </is>
      </c>
      <c r="C87" t="inlineStr">
        <is>
          <t>Journal of Plant Pathology</t>
        </is>
      </c>
      <c r="D87" t="inlineStr">
        <is>
          <t>https://link.springer.com/journal/42161</t>
        </is>
      </c>
      <c r="E87" t="inlineStr">
        <is>
          <t>fonte cientifica de SIPaV / Springer sobre journal, patologia vegetale — alimenta T3 (praga, doenca e infestanti), T5 (ciencia)</t>
        </is>
      </c>
      <c r="F87" t="inlineStr">
        <is>
          <t>claude-code (missao ITALY-200-SOURCES-DISCOVERY, 2026-09-14)</t>
        </is>
      </c>
      <c r="G87" t="inlineStr">
        <is>
          <t>descoberta por familia de fonte 'journal' e verificada por sonda HTTP</t>
        </is>
      </c>
      <c r="H87" t="inlineStr">
        <is>
          <t>CANDIDATA validada em 2026-09-14; SOURCE_ID nao atribuido (nasce na porta canonica)</t>
        </is>
      </c>
    </row>
    <row r="88">
      <c r="A88" t="inlineStr">
        <is>
          <t>CIENCIA</t>
        </is>
      </c>
      <c r="B88" t="inlineStr">
        <is>
          <t>IT</t>
        </is>
      </c>
      <c r="C88" t="inlineStr">
        <is>
          <t>Luca Finetti — registo cientifico ORCID (University of Ferrara)</t>
        </is>
      </c>
      <c r="D88" t="inlineStr">
        <is>
          <t>https://orcid.org/0000-0001-5558-9156</t>
        </is>
      </c>
      <c r="E88" t="inlineStr">
        <is>
          <t>acompanhar a producao cientifica de Luca Finetti (University of Ferrara) em cimice asiatica / Halyomorpha halys — alimenta T6 (pesquisadores), T5 (ciencia)</t>
        </is>
      </c>
      <c r="F88" t="inlineStr">
        <is>
          <t>claude-code (missao ITALY-200-SOURCES-DISCOVERY, 2026-09-14)</t>
        </is>
      </c>
      <c r="G88" t="inlineStr">
        <is>
          <t>ORCID public API — afiliacao italiana atual: University of Ferrara</t>
        </is>
      </c>
      <c r="H88" t="inlineStr">
        <is>
          <t>ORCID 0000-0001-5558-9156 · afiliacao atual University of Ferrara · CANDIDATA validada em 2026-09-14; SOURCE_ID nao atribuido (nasce na porta canonica)</t>
        </is>
      </c>
    </row>
    <row r="89">
      <c r="A89" t="inlineStr">
        <is>
          <t>CIENCIA</t>
        </is>
      </c>
      <c r="B89" t="inlineStr">
        <is>
          <t>IT</t>
        </is>
      </c>
      <c r="C89" t="inlineStr">
        <is>
          <t>Agroinnova — Centro di Competenza per l'Innovazione in campo agro-ambientale</t>
        </is>
      </c>
      <c r="D89" t="inlineStr">
        <is>
          <t>https://www.agroinnova.unito.it/</t>
        </is>
      </c>
      <c r="E89" t="inlineStr">
        <is>
          <t>fonte cientifica de Universita di Torino sobre patologia vegetale, difesa, sostenibilita — alimenta T3 (praga, doenca e infestanti), T5 (ciencia), T6 (pesquisadores)</t>
        </is>
      </c>
      <c r="F89" t="inlineStr">
        <is>
          <t>claude-code (missao ITALY-200-SOURCES-DISCOVERY, 2026-09-14)</t>
        </is>
      </c>
      <c r="G89" t="inlineStr">
        <is>
          <t>descoberta por familia de fonte 'centro_ricerca' e verificada por sonda HTTP</t>
        </is>
      </c>
      <c r="H89" t="inlineStr">
        <is>
          <t>CANDIDATA validada em 2026-09-14; SOURCE_ID nao atribuido (nasce na porta canonica)</t>
        </is>
      </c>
    </row>
    <row r="90">
      <c r="A90" t="inlineStr">
        <is>
          <t>CIENCIA</t>
        </is>
      </c>
      <c r="B90" t="inlineStr">
        <is>
          <t>IT</t>
        </is>
      </c>
      <c r="C90" t="inlineStr">
        <is>
          <t>Chiara D'ERRICO — registo cientifico ORCID (Istituto per la Protezione Sostenibile delle Piante IPSP - CNR)</t>
        </is>
      </c>
      <c r="D90" t="inlineStr">
        <is>
          <t>https://orcid.org/0000-0003-0546-9900</t>
        </is>
      </c>
      <c r="E90" t="inlineStr">
        <is>
          <t>acompanhar a producao cientifica de Chiara D'ERRICO (Istituto per la Protezione Sostenibile delle Piante IPSP - CNR) em vite / flavescenza dorata / Scaphoideus — alimenta T6 (pesquisadores), T5 (ciencia)</t>
        </is>
      </c>
      <c r="F90" t="inlineStr">
        <is>
          <t>claude-code (missao ITALY-200-SOURCES-DISCOVERY, 2026-09-14)</t>
        </is>
      </c>
      <c r="G90" t="inlineStr">
        <is>
          <t>ORCID public API — afiliacao italiana atual: Istituto per la Protezione Sostenibile delle Piante IPSP - CNR</t>
        </is>
      </c>
      <c r="H90" t="inlineStr">
        <is>
          <t>ORCID 0000-0003-0546-9900 · afiliacao atual Istituto per la Protezione Sostenibile delle Piante IPSP - CNR · CANDIDATA validada em 2026-09-14; SOURCE_ID nao atribuido (nasce na porta canonica)</t>
        </is>
      </c>
    </row>
    <row r="91">
      <c r="A91" t="inlineStr">
        <is>
          <t>CIENCIA</t>
        </is>
      </c>
      <c r="B91" t="inlineStr">
        <is>
          <t>IT</t>
        </is>
      </c>
      <c r="C91" t="inlineStr">
        <is>
          <t>Daniele Daffonchio — registo cientifico ORCID (University of Turin)</t>
        </is>
      </c>
      <c r="D91" t="inlineStr">
        <is>
          <t>https://orcid.org/0000-0003-0947-925X</t>
        </is>
      </c>
      <c r="E91" t="inlineStr">
        <is>
          <t>acompanhar a producao cientifica de Daniele Daffonchio (University of Turin) em Popillia japonica — alimenta T6 (pesquisadores), T5 (ciencia)</t>
        </is>
      </c>
      <c r="F91" t="inlineStr">
        <is>
          <t>claude-code (missao ITALY-200-SOURCES-DISCOVERY, 2026-09-14)</t>
        </is>
      </c>
      <c r="G91" t="inlineStr">
        <is>
          <t>ORCID public API — afiliacao italiana atual: University of Turin</t>
        </is>
      </c>
      <c r="H91" t="inlineStr">
        <is>
          <t>ORCID 0000-0003-0947-925X · afiliacao atual University of Turin · CANDIDATA validada em 2026-09-14; SOURCE_ID nao atribuido (nasce na porta canonica)</t>
        </is>
      </c>
    </row>
    <row r="92">
      <c r="A92" t="inlineStr">
        <is>
          <t>CIENCIA</t>
        </is>
      </c>
      <c r="B92" t="inlineStr">
        <is>
          <t>IT</t>
        </is>
      </c>
      <c r="C92" t="inlineStr">
        <is>
          <t>Fondazione Agrion — Fondazione per la ricerca l'innovazione e lo sviluppo tecnologico dell'agricoltura piemontese</t>
        </is>
      </c>
      <c r="D92" t="inlineStr">
        <is>
          <t>https://www.agrion.it/</t>
        </is>
      </c>
      <c r="E92" t="inlineStr">
        <is>
          <t>fonte cientifica de Fondazione Agrion sobre frutticoltura, viticoltura, sperimentazione — alimenta T5 (ciencia), T3 (praga, doenca e infestanti), T1 (cultura e producao)</t>
        </is>
      </c>
      <c r="F92" t="inlineStr">
        <is>
          <t>claude-code (missao ITALY-200-SOURCES-DISCOVERY, 2026-09-14)</t>
        </is>
      </c>
      <c r="G92" t="inlineStr">
        <is>
          <t>descoberta por familia de fonte 'ente_ricerca' e verificada por sonda HTTP</t>
        </is>
      </c>
      <c r="H92" t="inlineStr">
        <is>
          <t>CANDIDATA validada em 2026-09-14; SOURCE_ID nao atribuido (nasce na porta canonica)</t>
        </is>
      </c>
    </row>
    <row r="93">
      <c r="A93" t="inlineStr">
        <is>
          <t>CIENCIA</t>
        </is>
      </c>
      <c r="B93" t="inlineStr">
        <is>
          <t>IT</t>
        </is>
      </c>
      <c r="C93" t="inlineStr">
        <is>
          <t>IRIS UNITO — Archivio istituzionale</t>
        </is>
      </c>
      <c r="D93" t="inlineStr">
        <is>
          <t>https://iris.unito.it/</t>
        </is>
      </c>
      <c r="E93" t="inlineStr">
        <is>
          <t>fonte cientifica de Universita di Torino sobre repositorio scientifico — alimenta T5 (ciencia), T6 (pesquisadores)</t>
        </is>
      </c>
      <c r="F93" t="inlineStr">
        <is>
          <t>claude-code (missao ITALY-200-SOURCES-DISCOVERY, 2026-09-14)</t>
        </is>
      </c>
      <c r="G93" t="inlineStr">
        <is>
          <t>descoberta por familia de fonte 'repositorio' e verificada por sonda HTTP</t>
        </is>
      </c>
      <c r="H93" t="inlineStr">
        <is>
          <t>CANDIDATA validada em 2026-09-14; SOURCE_ID nao atribuido (nasce na porta canonica)</t>
        </is>
      </c>
    </row>
    <row r="94">
      <c r="A94" t="inlineStr">
        <is>
          <t>CIENCIA</t>
        </is>
      </c>
      <c r="B94" t="inlineStr">
        <is>
          <t>IT</t>
        </is>
      </c>
      <c r="C94" t="inlineStr">
        <is>
          <t>Lorenzo Baglieri — registo cientifico ORCID (Politecnico di Torino)</t>
        </is>
      </c>
      <c r="D94" t="inlineStr">
        <is>
          <t>https://orcid.org/0000-0002-5022-5326</t>
        </is>
      </c>
      <c r="E94" t="inlineStr">
        <is>
          <t>acompanhar a producao cientifica de Lorenzo Baglieri (Politecnico di Torino) em agricoltura di precisione — alimenta T6 (pesquisadores), T5 (ciencia)</t>
        </is>
      </c>
      <c r="F94" t="inlineStr">
        <is>
          <t>claude-code (missao ITALY-200-SOURCES-DISCOVERY, 2026-09-14)</t>
        </is>
      </c>
      <c r="G94" t="inlineStr">
        <is>
          <t>ORCID public API — afiliacao italiana atual: Politecnico di Torino</t>
        </is>
      </c>
      <c r="H94" t="inlineStr">
        <is>
          <t>ORCID 0000-0002-5022-5326 · afiliacao atual Politecnico di Torino · CANDIDATA validada em 2026-09-14; SOURCE_ID nao atribuido (nasce na porta canonica)</t>
        </is>
      </c>
    </row>
    <row r="95">
      <c r="A95" t="inlineStr">
        <is>
          <t>CIENCIA</t>
        </is>
      </c>
      <c r="B95" t="inlineStr">
        <is>
          <t>IT</t>
        </is>
      </c>
      <c r="C95" t="inlineStr">
        <is>
          <t>Vera Pavese — registo cientifico ORCID (University of Turin)</t>
        </is>
      </c>
      <c r="D95" t="inlineStr">
        <is>
          <t>https://orcid.org/0000-0002-6863-3950</t>
        </is>
      </c>
      <c r="E95" t="inlineStr">
        <is>
          <t>acompanhar a producao cientifica de Vera Pavese (University of Turin) em nocciolo / frutticoltura — alimenta T6 (pesquisadores), T5 (ciencia)</t>
        </is>
      </c>
      <c r="F95" t="inlineStr">
        <is>
          <t>claude-code (missao ITALY-200-SOURCES-DISCOVERY, 2026-09-14)</t>
        </is>
      </c>
      <c r="G95" t="inlineStr">
        <is>
          <t>ORCID public API — afiliacao italiana atual: University of Turin</t>
        </is>
      </c>
      <c r="H95" t="inlineStr">
        <is>
          <t>ORCID 0000-0002-6863-3950 · afiliacao atual University of Turin · CANDIDATA validada em 2026-09-14; SOURCE_ID nao atribuido (nasce na porta canonica)</t>
        </is>
      </c>
    </row>
    <row r="96">
      <c r="A96" t="inlineStr">
        <is>
          <t>CIENCIA</t>
        </is>
      </c>
      <c r="B96" t="inlineStr">
        <is>
          <t>IT</t>
        </is>
      </c>
      <c r="C96" t="inlineStr">
        <is>
          <t>CNR ISPA — Istituto di Scienze delle Produzioni Alimentari</t>
        </is>
      </c>
      <c r="D96" t="inlineStr">
        <is>
          <t>https://www.ispa.cnr.it/</t>
        </is>
      </c>
      <c r="E96" t="inlineStr">
        <is>
          <t>fonte cientifica de CNR sobre micotossine, sicurezza alimentare, Fusarium — alimenta T3 (praga, doenca e infestanti), T5 (ciencia)</t>
        </is>
      </c>
      <c r="F96" t="inlineStr">
        <is>
          <t>claude-code (missao ITALY-200-SOURCES-DISCOVERY, 2026-09-14)</t>
        </is>
      </c>
      <c r="G96" t="inlineStr">
        <is>
          <t>descoberta por familia de fonte 'istituto_cnr' e verificada por sonda HTTP</t>
        </is>
      </c>
      <c r="H96" t="inlineStr">
        <is>
          <t>CANDIDATA validada em 2026-09-14; SOURCE_ID nao atribuido (nasce na porta canonica)</t>
        </is>
      </c>
    </row>
    <row r="97">
      <c r="A97" t="inlineStr">
        <is>
          <t>CIENCIA</t>
        </is>
      </c>
      <c r="B97" t="inlineStr">
        <is>
          <t>IT</t>
        </is>
      </c>
      <c r="C97" t="inlineStr">
        <is>
          <t>Marwa Mourou — registo cientifico ORCID (Università degli Studi di Bari Aldo Moro)</t>
        </is>
      </c>
      <c r="D97" t="inlineStr">
        <is>
          <t>https://orcid.org/0000-0002-9925-3520</t>
        </is>
      </c>
      <c r="E97" t="inlineStr">
        <is>
          <t>acompanhar a producao cientifica de Marwa Mourou (Università degli Studi di Bari Aldo Moro) em olivo / Xylella fastidiosa — alimenta T6 (pesquisadores), T5 (ciencia)</t>
        </is>
      </c>
      <c r="F97" t="inlineStr">
        <is>
          <t>claude-code (missao ITALY-200-SOURCES-DISCOVERY, 2026-09-14)</t>
        </is>
      </c>
      <c r="G97" t="inlineStr">
        <is>
          <t>ORCID public API — afiliacao italiana atual: Università degli Studi di Bari Aldo Moro</t>
        </is>
      </c>
      <c r="H97" t="inlineStr">
        <is>
          <t>ORCID 0000-0002-9925-3520 · afiliacao atual Università degli Studi di Bari Aldo Moro · CANDIDATA validada em 2026-09-14; SOURCE_ID nao atribuido (nasce na porta canonica)</t>
        </is>
      </c>
    </row>
    <row r="98">
      <c r="A98" t="inlineStr">
        <is>
          <t>CIENCIA</t>
        </is>
      </c>
      <c r="B98" t="inlineStr">
        <is>
          <t>IT</t>
        </is>
      </c>
      <c r="C98" t="inlineStr">
        <is>
          <t>UNIBA DiSSPA — Dipartimento di Scienze del Suolo della Pianta e degli Alimenti</t>
        </is>
      </c>
      <c r="D98" t="inlineStr">
        <is>
          <t>https://www.uniba.it/it/ricerca/dipartimenti/disspa</t>
        </is>
      </c>
      <c r="E98" t="inlineStr">
        <is>
          <t>fonte cientifica de Universita di Bari Aldo Moro sobre patologia, Xylella, olivo, vite — alimenta T5 (ciencia), T6 (pesquisadores), T3 (praga, doenca e infestanti)</t>
        </is>
      </c>
      <c r="F98" t="inlineStr">
        <is>
          <t>claude-code (missao ITALY-200-SOURCES-DISCOVERY, 2026-09-14)</t>
        </is>
      </c>
      <c r="G98" t="inlineStr">
        <is>
          <t>descoberta por familia de fonte 'universita' e verificada por sonda HTTP</t>
        </is>
      </c>
      <c r="H98" t="inlineStr">
        <is>
          <t>CANDIDATA validada em 2026-09-14; SOURCE_ID nao atribuido (nasce na porta canonica)</t>
        </is>
      </c>
    </row>
    <row r="99">
      <c r="A99" t="inlineStr">
        <is>
          <t>CIENCIA</t>
        </is>
      </c>
      <c r="B99" t="inlineStr">
        <is>
          <t>IT</t>
        </is>
      </c>
      <c r="C99" t="inlineStr">
        <is>
          <t>Andrea Lentini — registo cientifico ORCID (Università degli Studi di Sassari)</t>
        </is>
      </c>
      <c r="D99" t="inlineStr">
        <is>
          <t>https://orcid.org/0000-0003-2089-1026</t>
        </is>
      </c>
      <c r="E99" t="inlineStr">
        <is>
          <t>acompanhar a producao cientifica de Andrea Lentini (Università degli Studi di Sassari) em mais / Ostrinia nubilalis — alimenta T6 (pesquisadores), T5 (ciencia)</t>
        </is>
      </c>
      <c r="F99" t="inlineStr">
        <is>
          <t>claude-code (missao ITALY-200-SOURCES-DISCOVERY, 2026-09-14)</t>
        </is>
      </c>
      <c r="G99" t="inlineStr">
        <is>
          <t>ORCID public API — afiliacao italiana atual: Università degli Studi di Sassari</t>
        </is>
      </c>
      <c r="H99" t="inlineStr">
        <is>
          <t>ORCID 0000-0003-2089-1026 · afiliacao atual Università degli Studi di Sassari · CANDIDATA validada em 2026-09-14; SOURCE_ID nao atribuido (nasce na porta canonica)</t>
        </is>
      </c>
    </row>
    <row r="100">
      <c r="A100" t="inlineStr">
        <is>
          <t>CIENCIA</t>
        </is>
      </c>
      <c r="B100" t="inlineStr">
        <is>
          <t>IT</t>
        </is>
      </c>
      <c r="C100" t="inlineStr">
        <is>
          <t>Aparna S Balan — registo cientifico ORCID (University of Palermo)</t>
        </is>
      </c>
      <c r="D100" t="inlineStr">
        <is>
          <t>https://orcid.org/0009-0001-5306-0125</t>
        </is>
      </c>
      <c r="E100" t="inlineStr">
        <is>
          <t>acompanhar a producao cientifica de Aparna S Balan (University of Palermo) em olivo / Xylella fastidiosa — alimenta T6 (pesquisadores), T5 (ciencia)</t>
        </is>
      </c>
      <c r="F100" t="inlineStr">
        <is>
          <t>claude-code (missao ITALY-200-SOURCES-DISCOVERY, 2026-09-14)</t>
        </is>
      </c>
      <c r="G100" t="inlineStr">
        <is>
          <t>ORCID public API — afiliacao italiana atual: University of Palermo</t>
        </is>
      </c>
      <c r="H100" t="inlineStr">
        <is>
          <t>ORCID 0009-0001-5306-0125 · afiliacao atual University of Palermo · CANDIDATA validada em 2026-09-14; SOURCE_ID nao atribuido (nasce na porta canonica)</t>
        </is>
      </c>
    </row>
    <row r="101">
      <c r="A101" t="inlineStr">
        <is>
          <t>CIENCIA</t>
        </is>
      </c>
      <c r="B101" t="inlineStr">
        <is>
          <t>IT</t>
        </is>
      </c>
      <c r="C101" t="inlineStr">
        <is>
          <t>ROBERTO RIZZO — registo cientifico ORCID (CREA - Research Centre for Plant Protection and Certification)</t>
        </is>
      </c>
      <c r="D101" t="inlineStr">
        <is>
          <t>https://orcid.org/0000-0003-1628-643X</t>
        </is>
      </c>
      <c r="E101" t="inlineStr">
        <is>
          <t>acompanhar a producao cientifica de ROBERTO RIZZO (CREA - Research Centre for Plant Protection and Certification) em olivo / Bactrocera oleae — alimenta T6 (pesquisadores), T5 (ciencia)</t>
        </is>
      </c>
      <c r="F101" t="inlineStr">
        <is>
          <t>claude-code (missao ITALY-200-SOURCES-DISCOVERY, 2026-09-14)</t>
        </is>
      </c>
      <c r="G101" t="inlineStr">
        <is>
          <t>ORCID public API — afiliacao italiana atual: CREA - Research Centre for Plant Protection and Certification</t>
        </is>
      </c>
      <c r="H101" t="inlineStr">
        <is>
          <t>ORCID 0000-0003-1628-643X · afiliacao atual CREA - Research Centre for Plant Protection and Certification · CANDIDATA validada em 2026-09-14; SOURCE_ID nao atribuido (nasce na porta canonica)</t>
        </is>
      </c>
    </row>
    <row r="102">
      <c r="A102" t="inlineStr">
        <is>
          <t>CIENCIA</t>
        </is>
      </c>
      <c r="B102" t="inlineStr">
        <is>
          <t>IT</t>
        </is>
      </c>
      <c r="C102" t="inlineStr">
        <is>
          <t>Roberta Maria Gravagno — registo cientifico ORCID (University of Catania)</t>
        </is>
      </c>
      <c r="D102" t="inlineStr">
        <is>
          <t>https://orcid.org/0009-0005-2447-3608</t>
        </is>
      </c>
      <c r="E102" t="inlineStr">
        <is>
          <t>acompanhar a producao cientifica de Roberta Maria Gravagno (University of Catania) em vite / peronospora — alimenta T6 (pesquisadores), T5 (ciencia)</t>
        </is>
      </c>
      <c r="F102" t="inlineStr">
        <is>
          <t>claude-code (missao ITALY-200-SOURCES-DISCOVERY, 2026-09-14)</t>
        </is>
      </c>
      <c r="G102" t="inlineStr">
        <is>
          <t>ORCID public API — afiliacao italiana atual: University of Catania</t>
        </is>
      </c>
      <c r="H102" t="inlineStr">
        <is>
          <t>ORCID 0009-0005-2447-3608 · afiliacao atual University of Catania · CANDIDATA validada em 2026-09-14; SOURCE_ID nao atribuido (nasce na porta canonica)</t>
        </is>
      </c>
    </row>
    <row r="103">
      <c r="A103" t="inlineStr">
        <is>
          <t>CIENCIA</t>
        </is>
      </c>
      <c r="B103" t="inlineStr">
        <is>
          <t>IT</t>
        </is>
      </c>
      <c r="C103" t="inlineStr">
        <is>
          <t>UNICT Di3A — Dipartimento di Agricoltura Alimentazione e Ambiente</t>
        </is>
      </c>
      <c r="D103" t="inlineStr">
        <is>
          <t>https://www.di3a.unict.it/</t>
        </is>
      </c>
      <c r="E103" t="inlineStr">
        <is>
          <t>fonte cientifica de Universita di Catania sobre agrumi, difesa, agronomia — alimenta T5 (ciencia), T6 (pesquisadores), T3 (praga, doenca e infestanti)</t>
        </is>
      </c>
      <c r="F103" t="inlineStr">
        <is>
          <t>claude-code (missao ITALY-200-SOURCES-DISCOVERY, 2026-09-14)</t>
        </is>
      </c>
      <c r="G103" t="inlineStr">
        <is>
          <t>descoberta por familia de fonte 'universita' e verificada por sonda HTTP</t>
        </is>
      </c>
      <c r="H103" t="inlineStr">
        <is>
          <t>CANDIDATA validada em 2026-09-14; SOURCE_ID nao atribuido (nasce na porta canonica)</t>
        </is>
      </c>
    </row>
    <row r="104">
      <c r="A104" t="inlineStr">
        <is>
          <t>CIENCIA</t>
        </is>
      </c>
      <c r="B104" t="inlineStr">
        <is>
          <t>IT</t>
        </is>
      </c>
      <c r="C104" t="inlineStr">
        <is>
          <t>UNIPA SAAF — Dipartimento Scienze Agrarie Alimentari e Forestali</t>
        </is>
      </c>
      <c r="D104" t="inlineStr">
        <is>
          <t>https://www.unipa.it/dipartimenti/saaf/</t>
        </is>
      </c>
      <c r="E104" t="inlineStr">
        <is>
          <t>fonte cientifica de Universita di Palermo sobre agraria, vite, olivo — alimenta T5 (ciencia), T6 (pesquisadores), T1 (cultura e producao)</t>
        </is>
      </c>
      <c r="F104" t="inlineStr">
        <is>
          <t>claude-code (missao ITALY-200-SOURCES-DISCOVERY, 2026-09-14)</t>
        </is>
      </c>
      <c r="G104" t="inlineStr">
        <is>
          <t>descoberta por familia de fonte 'universita' e verificada por sonda HTTP</t>
        </is>
      </c>
      <c r="H104" t="inlineStr">
        <is>
          <t>CANDIDATA validada em 2026-09-14; SOURCE_ID nao atribuido (nasce na porta canonica)</t>
        </is>
      </c>
    </row>
    <row r="105">
      <c r="A105" t="inlineStr">
        <is>
          <t>CIENCIA</t>
        </is>
      </c>
      <c r="B105" t="inlineStr">
        <is>
          <t>IT</t>
        </is>
      </c>
      <c r="C105" t="inlineStr">
        <is>
          <t>Advances in Horticultural Science</t>
        </is>
      </c>
      <c r="D105" t="inlineStr">
        <is>
          <t>https://oaj.fupress.net/index.php/ahs</t>
        </is>
      </c>
      <c r="E105" t="inlineStr">
        <is>
          <t>fonte cientifica de Firenze University Press sobre journal, orticoltura — alimenta T5 (ciencia), T1 (cultura e producao)</t>
        </is>
      </c>
      <c r="F105" t="inlineStr">
        <is>
          <t>claude-code (missao ITALY-200-SOURCES-DISCOVERY, 2026-09-14)</t>
        </is>
      </c>
      <c r="G105" t="inlineStr">
        <is>
          <t>descoberta por familia de fonte 'journal' e verificada por sonda HTTP</t>
        </is>
      </c>
      <c r="H105" t="inlineStr">
        <is>
          <t>CANDIDATA validada em 2026-09-14; SOURCE_ID nao atribuido (nasce na porta canonica)</t>
        </is>
      </c>
    </row>
    <row r="106">
      <c r="A106" t="inlineStr">
        <is>
          <t>CIENCIA</t>
        </is>
      </c>
      <c r="B106" t="inlineStr">
        <is>
          <t>IT</t>
        </is>
      </c>
      <c r="C106" t="inlineStr">
        <is>
          <t>FLORE UNIFI — Archivio istituzionale della ricerca</t>
        </is>
      </c>
      <c r="D106" t="inlineStr">
        <is>
          <t>https://flore.unifi.it/</t>
        </is>
      </c>
      <c r="E106" t="inlineStr">
        <is>
          <t>fonte cientifica de Universita di Firenze sobre repositorio scientifico — alimenta T5 (ciencia), T6 (pesquisadores)</t>
        </is>
      </c>
      <c r="F106" t="inlineStr">
        <is>
          <t>claude-code (missao ITALY-200-SOURCES-DISCOVERY, 2026-09-14)</t>
        </is>
      </c>
      <c r="G106" t="inlineStr">
        <is>
          <t>descoberta por familia de fonte 'repositorio' e verificada por sonda HTTP</t>
        </is>
      </c>
      <c r="H106" t="inlineStr">
        <is>
          <t>CANDIDATA validada em 2026-09-14; SOURCE_ID nao atribuido (nasce na porta canonica)</t>
        </is>
      </c>
    </row>
    <row r="107">
      <c r="A107" t="inlineStr">
        <is>
          <t>CIENCIA</t>
        </is>
      </c>
      <c r="B107" t="inlineStr">
        <is>
          <t>IT</t>
        </is>
      </c>
      <c r="C107" t="inlineStr">
        <is>
          <t>Leonardo Caproni — registo cientifico ORCID (Scuola Superiore Sant'Anna)</t>
        </is>
      </c>
      <c r="D107" t="inlineStr">
        <is>
          <t>https://orcid.org/0000-0002-7129-8575</t>
        </is>
      </c>
      <c r="E107" t="inlineStr">
        <is>
          <t>acompanhar a producao cientifica de Leonardo Caproni (Scuola Superiore Sant'Anna) em nocciolo / frutticoltura — alimenta T6 (pesquisadores), T5 (ciencia)</t>
        </is>
      </c>
      <c r="F107" t="inlineStr">
        <is>
          <t>claude-code (missao ITALY-200-SOURCES-DISCOVERY, 2026-09-14)</t>
        </is>
      </c>
      <c r="G107" t="inlineStr">
        <is>
          <t>ORCID public API — afiliacao italiana atual: Scuola Superiore Sant'Anna</t>
        </is>
      </c>
      <c r="H107" t="inlineStr">
        <is>
          <t>ORCID 0000-0002-7129-8575 · afiliacao atual Scuola Superiore Sant'Anna · CANDIDATA validada em 2026-09-14; SOURCE_ID nao atribuido (nasce na porta canonica)</t>
        </is>
      </c>
    </row>
    <row r="108">
      <c r="A108" t="inlineStr">
        <is>
          <t>CIENCIA</t>
        </is>
      </c>
      <c r="B108" t="inlineStr">
        <is>
          <t>IT</t>
        </is>
      </c>
      <c r="C108" t="inlineStr">
        <is>
          <t>Marco Mancini — registo cientifico ORCID (University of Florence)</t>
        </is>
      </c>
      <c r="D108" t="inlineStr">
        <is>
          <t>https://orcid.org/0000-0002-1454-4995</t>
        </is>
      </c>
      <c r="E108" t="inlineStr">
        <is>
          <t>acompanhar a producao cientifica de Marco Mancini (University of Florence) em agrometeorologia / modelli colturali — alimenta T6 (pesquisadores), T5 (ciencia)</t>
        </is>
      </c>
      <c r="F108" t="inlineStr">
        <is>
          <t>claude-code (missao ITALY-200-SOURCES-DISCOVERY, 2026-09-14)</t>
        </is>
      </c>
      <c r="G108" t="inlineStr">
        <is>
          <t>ORCID public API — afiliacao italiana atual: University of Florence</t>
        </is>
      </c>
      <c r="H108" t="inlineStr">
        <is>
          <t>ORCID 0000-0002-1454-4995 · afiliacao atual University of Florence · CANDIDATA validada em 2026-09-14; SOURCE_ID nao atribuido (nasce na porta canonica)</t>
        </is>
      </c>
    </row>
    <row r="109">
      <c r="A109" t="inlineStr">
        <is>
          <t>CIENCIA</t>
        </is>
      </c>
      <c r="B109" t="inlineStr">
        <is>
          <t>IT</t>
        </is>
      </c>
      <c r="C109" t="inlineStr">
        <is>
          <t>Phytopathologia Mediterranea</t>
        </is>
      </c>
      <c r="D109" t="inlineStr">
        <is>
          <t>https://oajournals.fupress.net/index.php/pm</t>
        </is>
      </c>
      <c r="E109" t="inlineStr">
        <is>
          <t>fonte cientifica de Firenze University Press / Mediterranean Phytopathological Union sobre journal, patologia mediterranea — alimenta T3 (praga, doenca e infestanti), T5 (ciencia)</t>
        </is>
      </c>
      <c r="F109" t="inlineStr">
        <is>
          <t>claude-code (missao ITALY-200-SOURCES-DISCOVERY, 2026-09-14)</t>
        </is>
      </c>
      <c r="G109" t="inlineStr">
        <is>
          <t>descoberta por familia de fonte 'journal' e verificada por sonda HTTP</t>
        </is>
      </c>
      <c r="H109" t="inlineStr">
        <is>
          <t>CANDIDATA validada em 2026-09-14; SOURCE_ID nao atribuido (nasce na porta canonica)</t>
        </is>
      </c>
    </row>
    <row r="110">
      <c r="A110" t="inlineStr">
        <is>
          <t>CIENCIA</t>
        </is>
      </c>
      <c r="B110" t="inlineStr">
        <is>
          <t>IT</t>
        </is>
      </c>
      <c r="C110" t="inlineStr">
        <is>
          <t>Roberto Ferrise — registo cientifico ORCID (University of Florence)</t>
        </is>
      </c>
      <c r="D110" t="inlineStr">
        <is>
          <t>https://orcid.org/0000-0001-8236-7823</t>
        </is>
      </c>
      <c r="E110" t="inlineStr">
        <is>
          <t>acompanhar a producao cientifica de Roberto Ferrise (University of Florence) em agrometeorologia / modelli colturali — alimenta T6 (pesquisadores), T5 (ciencia)</t>
        </is>
      </c>
      <c r="F110" t="inlineStr">
        <is>
          <t>claude-code (missao ITALY-200-SOURCES-DISCOVERY, 2026-09-14)</t>
        </is>
      </c>
      <c r="G110" t="inlineStr">
        <is>
          <t>ORCID public API — afiliacao italiana atual: University of Florence</t>
        </is>
      </c>
      <c r="H110" t="inlineStr">
        <is>
          <t>ORCID 0000-0001-8236-7823 · afiliacao atual University of Florence · CANDIDATA validada em 2026-09-14; SOURCE_ID nao atribuido (nasce na porta canonica)</t>
        </is>
      </c>
    </row>
    <row r="111">
      <c r="A111" t="inlineStr">
        <is>
          <t>CIENCIA</t>
        </is>
      </c>
      <c r="B111" t="inlineStr">
        <is>
          <t>IT</t>
        </is>
      </c>
      <c r="C111" t="inlineStr">
        <is>
          <t>Scuola Superiore Sant'Anna — Istituto di Scienze delle Produzioni Vegetali</t>
        </is>
      </c>
      <c r="D111" t="inlineStr">
        <is>
          <t>https://www.santannapisa.it/it/istituto/produzioni-vegetali</t>
        </is>
      </c>
      <c r="E111" t="inlineStr">
        <is>
          <t>fonte cientifica de Scuola Superiore Sant'Anna Pisa sobre agricoltura sostenibile, precision farming — alimenta T5 (ciencia), T6 (pesquisadores), T1 (cultura e producao)</t>
        </is>
      </c>
      <c r="F111" t="inlineStr">
        <is>
          <t>claude-code (missao ITALY-200-SOURCES-DISCOVERY, 2026-09-14)</t>
        </is>
      </c>
      <c r="G111" t="inlineStr">
        <is>
          <t>descoberta por familia de fonte 'universita' e verificada por sonda HTTP</t>
        </is>
      </c>
      <c r="H111" t="inlineStr">
        <is>
          <t>endereco corrigido: slug do instituto mudou · CANDIDATA validada em 2026-09-14; SOURCE_ID nao atribuido (nasce na porta canonica)</t>
        </is>
      </c>
    </row>
    <row r="112">
      <c r="A112" t="inlineStr">
        <is>
          <t>CIENCIA</t>
        </is>
      </c>
      <c r="B112" t="inlineStr">
        <is>
          <t>IT</t>
        </is>
      </c>
      <c r="C112" t="inlineStr">
        <is>
          <t>UNIFI DAGRI — Dipartimento di Scienze e Tecnologie Agrarie Alimentari Ambientali e Forestali</t>
        </is>
      </c>
      <c r="D112" t="inlineStr">
        <is>
          <t>https://www.dagri.unifi.it/</t>
        </is>
      </c>
      <c r="E112" t="inlineStr">
        <is>
          <t>fonte cientifica de Universita di Firenze sobre agraria, olivo, vite — alimenta T5 (ciencia), T6 (pesquisadores), T1 (cultura e producao)</t>
        </is>
      </c>
      <c r="F112" t="inlineStr">
        <is>
          <t>claude-code (missao ITALY-200-SOURCES-DISCOVERY, 2026-09-14)</t>
        </is>
      </c>
      <c r="G112" t="inlineStr">
        <is>
          <t>descoberta por familia de fonte 'universita' e verificada por sonda HTTP</t>
        </is>
      </c>
      <c r="H112" t="inlineStr">
        <is>
          <t>CANDIDATA validada em 2026-09-14; SOURCE_ID nao atribuido (nasce na porta canonica)</t>
        </is>
      </c>
    </row>
    <row r="113">
      <c r="A113" t="inlineStr">
        <is>
          <t>CIENCIA</t>
        </is>
      </c>
      <c r="B113" t="inlineStr">
        <is>
          <t>IT</t>
        </is>
      </c>
      <c r="C113" t="inlineStr">
        <is>
          <t>UNIPI DiSAAA-a — Dipartimento di Scienze Agrarie Alimentari e Agro-ambientali</t>
        </is>
      </c>
      <c r="D113" t="inlineStr">
        <is>
          <t>https://www.agr.unipi.it/</t>
        </is>
      </c>
      <c r="E113" t="inlineStr">
        <is>
          <t>fonte cientifica de Universita di Pisa sobre agraria, agronomia, difesa — alimenta T5 (ciencia), T6 (pesquisadores), T1 (cultura e producao)</t>
        </is>
      </c>
      <c r="F113" t="inlineStr">
        <is>
          <t>claude-code (missao ITALY-200-SOURCES-DISCOVERY, 2026-09-14)</t>
        </is>
      </c>
      <c r="G113" t="inlineStr">
        <is>
          <t>descoberta por familia de fonte 'universita' e verificada por sonda HTTP</t>
        </is>
      </c>
      <c r="H113" t="inlineStr">
        <is>
          <t>cadeia TLS incompleta no servidor; validado com o intermediario obtido por AIA · CANDIDATA validada em 2026-09-14; SOURCE_ID nao atribuido (nasce na porta canonica)</t>
        </is>
      </c>
    </row>
    <row r="114">
      <c r="A114" t="inlineStr">
        <is>
          <t>CIENCIA</t>
        </is>
      </c>
      <c r="B114" t="inlineStr">
        <is>
          <t>IT</t>
        </is>
      </c>
      <c r="C114" t="inlineStr">
        <is>
          <t>Anna Aldrighetti — registo cientifico ORCID (University of Trento)</t>
        </is>
      </c>
      <c r="D114" t="inlineStr">
        <is>
          <t>https://orcid.org/0000-0002-9018-3343</t>
        </is>
      </c>
      <c r="E114" t="inlineStr">
        <is>
          <t>acompanhar a producao cientifica de Anna Aldrighetti (University of Trento) em vite / peronospora — alimenta T6 (pesquisadores), T5 (ciencia)</t>
        </is>
      </c>
      <c r="F114" t="inlineStr">
        <is>
          <t>claude-code (missao ITALY-200-SOURCES-DISCOVERY, 2026-09-14)</t>
        </is>
      </c>
      <c r="G114" t="inlineStr">
        <is>
          <t>ORCID public API — afiliacao italiana atual: University of Trento</t>
        </is>
      </c>
      <c r="H114" t="inlineStr">
        <is>
          <t>ORCID 0000-0002-9018-3343 · afiliacao atual University of Trento · CANDIDATA validada em 2026-09-14; SOURCE_ID nao atribuido (nasce na porta canonica)</t>
        </is>
      </c>
    </row>
    <row r="115">
      <c r="A115" t="inlineStr">
        <is>
          <t>CIENCIA</t>
        </is>
      </c>
      <c r="B115" t="inlineStr">
        <is>
          <t>IT</t>
        </is>
      </c>
      <c r="C115" t="inlineStr">
        <is>
          <t>Centro di Sperimentazione Laimburg</t>
        </is>
      </c>
      <c r="D115" t="inlineStr">
        <is>
          <t>https://www.laimburg.it/</t>
        </is>
      </c>
      <c r="E115" t="inlineStr">
        <is>
          <t>fonte cientifica de Provincia autonoma di Bolzano sobre sperimentazione, melo, vite, difesa — alimenta T5 (ciencia), T3 (praga, doenca e infestanti), T1 (cultura e producao)</t>
        </is>
      </c>
      <c r="F115" t="inlineStr">
        <is>
          <t>claude-code (missao ITALY-200-SOURCES-DISCOVERY, 2026-09-14)</t>
        </is>
      </c>
      <c r="G115" t="inlineStr">
        <is>
          <t>descoberta por familia de fonte 'ente_ricerca' e verificada por sonda HTTP</t>
        </is>
      </c>
      <c r="H115" t="inlineStr">
        <is>
          <t>CANDIDATA validada em 2026-09-14; SOURCE_ID nao atribuido (nasce na porta canonica)</t>
        </is>
      </c>
    </row>
    <row r="116">
      <c r="A116" t="inlineStr">
        <is>
          <t>CIENCIA</t>
        </is>
      </c>
      <c r="B116" t="inlineStr">
        <is>
          <t>IT</t>
        </is>
      </c>
      <c r="C116" t="inlineStr">
        <is>
          <t>Gerardo Puopolo — registo cientifico ORCID (University of Trento)</t>
        </is>
      </c>
      <c r="D116" t="inlineStr">
        <is>
          <t>https://orcid.org/0000-0002-4864-4396</t>
        </is>
      </c>
      <c r="E116" t="inlineStr">
        <is>
          <t>acompanhar a producao cientifica de Gerardo Puopolo (University of Trento) em biocontrollo / antagonisti — alimenta T6 (pesquisadores), T5 (ciencia)</t>
        </is>
      </c>
      <c r="F116" t="inlineStr">
        <is>
          <t>claude-code (missao ITALY-200-SOURCES-DISCOVERY, 2026-09-14)</t>
        </is>
      </c>
      <c r="G116" t="inlineStr">
        <is>
          <t>ORCID public API — afiliacao italiana atual: University of Trento</t>
        </is>
      </c>
      <c r="H116" t="inlineStr">
        <is>
          <t>ORCID 0000-0002-4864-4396 · afiliacao atual University of Trento · CANDIDATA validada em 2026-09-14; SOURCE_ID nao atribuido (nasce na porta canonica)</t>
        </is>
      </c>
    </row>
    <row r="117">
      <c r="A117" t="inlineStr">
        <is>
          <t>CIENCIA</t>
        </is>
      </c>
      <c r="B117" t="inlineStr">
        <is>
          <t>IT</t>
        </is>
      </c>
      <c r="C117" t="inlineStr">
        <is>
          <t>Gianfranco ANFORA — registo cientifico ORCID (University of Trento)</t>
        </is>
      </c>
      <c r="D117" t="inlineStr">
        <is>
          <t>https://orcid.org/0000-0003-2545-1409</t>
        </is>
      </c>
      <c r="E117" t="inlineStr">
        <is>
          <t>acompanhar a producao cientifica de Gianfranco ANFORA (University of Trento) em cimice asiatica / Halyomorpha halys — alimenta T6 (pesquisadores), T5 (ciencia)</t>
        </is>
      </c>
      <c r="F117" t="inlineStr">
        <is>
          <t>claude-code (missao ITALY-200-SOURCES-DISCOVERY, 2026-09-14)</t>
        </is>
      </c>
      <c r="G117" t="inlineStr">
        <is>
          <t>ORCID public API — afiliacao italiana atual: University of Trento</t>
        </is>
      </c>
      <c r="H117" t="inlineStr">
        <is>
          <t>ORCID 0000-0003-2545-1409 · afiliacao atual University of Trento · CANDIDATA validada em 2026-09-14; SOURCE_ID nao atribuido (nasce na porta canonica)</t>
        </is>
      </c>
    </row>
    <row r="118">
      <c r="A118" t="inlineStr">
        <is>
          <t>CIENCIA</t>
        </is>
      </c>
      <c r="B118" t="inlineStr">
        <is>
          <t>IT</t>
        </is>
      </c>
      <c r="C118" t="inlineStr">
        <is>
          <t>Libera Universita di Bolzano — Facolta di Scienze agrarie ambientali e alimentari</t>
        </is>
      </c>
      <c r="D118" t="inlineStr">
        <is>
          <t>https://www.unibz.it/it/faculties/agricultural-environmental-food-sciences/</t>
        </is>
      </c>
      <c r="E118" t="inlineStr">
        <is>
          <t>fonte cientifica de Libera Universita di Bolzano sobre frutticoltura, melo, montagna — alimenta T5 (ciencia), T6 (pesquisadores), T1 (cultura e producao)</t>
        </is>
      </c>
      <c r="F118" t="inlineStr">
        <is>
          <t>claude-code (missao ITALY-200-SOURCES-DISCOVERY, 2026-09-14)</t>
        </is>
      </c>
      <c r="G118" t="inlineStr">
        <is>
          <t>descoberta por familia de fonte 'universita' e verificada por sonda HTTP</t>
        </is>
      </c>
      <c r="H118" t="inlineStr">
        <is>
          <t>CANDIDATA validada em 2026-09-14; SOURCE_ID nao atribuido (nasce na porta canonica)</t>
        </is>
      </c>
    </row>
    <row r="119">
      <c r="A119" t="inlineStr">
        <is>
          <t>CIENCIA</t>
        </is>
      </c>
      <c r="B119" t="inlineStr">
        <is>
          <t>IT</t>
        </is>
      </c>
      <c r="C119" t="inlineStr">
        <is>
          <t>Paolo Grazieschi — registo cientifico ORCID (Fondazione Bruno Kessler)</t>
        </is>
      </c>
      <c r="D119" t="inlineStr">
        <is>
          <t>https://orcid.org/0009-0009-6027-471X</t>
        </is>
      </c>
      <c r="E119" t="inlineStr">
        <is>
          <t>acompanhar a producao cientifica de Paolo Grazieschi (Fondazione Bruno Kessler) em agricoltura di precisione — alimenta T6 (pesquisadores), T5 (ciencia)</t>
        </is>
      </c>
      <c r="F119" t="inlineStr">
        <is>
          <t>claude-code (missao ITALY-200-SOURCES-DISCOVERY, 2026-09-14)</t>
        </is>
      </c>
      <c r="G119" t="inlineStr">
        <is>
          <t>ORCID public API — afiliacao italiana atual: Fondazione Bruno Kessler</t>
        </is>
      </c>
      <c r="H119" t="inlineStr">
        <is>
          <t>ORCID 0009-0009-6027-471X · afiliacao atual Fondazione Bruno Kessler · CANDIDATA validada em 2026-09-14; SOURCE_ID nao atribuido (nasce na porta canonica)</t>
        </is>
      </c>
    </row>
    <row r="120">
      <c r="A120" t="inlineStr">
        <is>
          <t>CIENCIA</t>
        </is>
      </c>
      <c r="B120" t="inlineStr">
        <is>
          <t>IT</t>
        </is>
      </c>
      <c r="C120" t="inlineStr">
        <is>
          <t>Emilio Balducci — registo cientifico ORCID (University of Perugia)</t>
        </is>
      </c>
      <c r="D120" t="inlineStr">
        <is>
          <t>https://orcid.org/0000-0002-8656-7870</t>
        </is>
      </c>
      <c r="E120" t="inlineStr">
        <is>
          <t>acompanhar a producao cientifica de Emilio Balducci (University of Perugia) em grano duro / Fusarium / micotossine — alimenta T6 (pesquisadores), T5 (ciencia)</t>
        </is>
      </c>
      <c r="F120" t="inlineStr">
        <is>
          <t>claude-code (missao ITALY-200-SOURCES-DISCOVERY, 2026-09-14)</t>
        </is>
      </c>
      <c r="G120" t="inlineStr">
        <is>
          <t>ORCID public API — afiliacao italiana atual: University of Perugia</t>
        </is>
      </c>
      <c r="H120" t="inlineStr">
        <is>
          <t>ORCID 0000-0002-8656-7870 · afiliacao atual University of Perugia · CANDIDATA validada em 2026-09-14; SOURCE_ID nao atribuido (nasce na porta canonica)</t>
        </is>
      </c>
    </row>
    <row r="121">
      <c r="A121" t="inlineStr">
        <is>
          <t>CIENCIA</t>
        </is>
      </c>
      <c r="B121" t="inlineStr">
        <is>
          <t>IT</t>
        </is>
      </c>
      <c r="C121" t="inlineStr">
        <is>
          <t>UNIPG DSA3 — Dipartimento di Scienze Agrarie Alimentari e Ambientali</t>
        </is>
      </c>
      <c r="D121" t="inlineStr">
        <is>
          <t>https://dsa3.unipg.it/</t>
        </is>
      </c>
      <c r="E121" t="inlineStr">
        <is>
          <t>fonte cientifica de Universita di Perugia sobre agraria, agronomia, difesa — alimenta T5 (ciencia), T6 (pesquisadores), T1 (cultura e producao)</t>
        </is>
      </c>
      <c r="F121" t="inlineStr">
        <is>
          <t>claude-code (missao ITALY-200-SOURCES-DISCOVERY, 2026-09-14)</t>
        </is>
      </c>
      <c r="G121" t="inlineStr">
        <is>
          <t>descoberta por familia de fonte 'universita' e verificada por sonda HTTP</t>
        </is>
      </c>
      <c r="H121" t="inlineStr">
        <is>
          <t>endereco corrigido: o host com www nao resolve · CANDIDATA validada em 2026-09-14; SOURCE_ID nao atribuido (nasce na porta canonica)</t>
        </is>
      </c>
    </row>
    <row r="122">
      <c r="A122" t="inlineStr">
        <is>
          <t>CIENCIA</t>
        </is>
      </c>
      <c r="B122" t="inlineStr">
        <is>
          <t>IT</t>
        </is>
      </c>
      <c r="C122" t="inlineStr">
        <is>
          <t>Dumitru Scutelnic — registo cientifico ORCID (University of Verona)</t>
        </is>
      </c>
      <c r="D122" t="inlineStr">
        <is>
          <t>https://orcid.org/0000-0001-6935-7540</t>
        </is>
      </c>
      <c r="E122" t="inlineStr">
        <is>
          <t>acompanhar a producao cientifica de Dumitru Scutelnic (University of Verona) em agricoltura di precisione — alimenta T6 (pesquisadores), T5 (ciencia)</t>
        </is>
      </c>
      <c r="F122" t="inlineStr">
        <is>
          <t>claude-code (missao ITALY-200-SOURCES-DISCOVERY, 2026-09-14)</t>
        </is>
      </c>
      <c r="G122" t="inlineStr">
        <is>
          <t>ORCID public API — afiliacao italiana atual: University of Verona</t>
        </is>
      </c>
      <c r="H122" t="inlineStr">
        <is>
          <t>ORCID 0000-0001-6935-7540 · afiliacao atual University of Verona · CANDIDATA validada em 2026-09-14; SOURCE_ID nao atribuido (nasce na porta canonica)</t>
        </is>
      </c>
    </row>
    <row r="123">
      <c r="A123" t="inlineStr">
        <is>
          <t>CIENCIA</t>
        </is>
      </c>
      <c r="B123" t="inlineStr">
        <is>
          <t>IT</t>
        </is>
      </c>
      <c r="C123" t="inlineStr">
        <is>
          <t>Giulia Mandalà — registo cientifico ORCID (Verona University )</t>
        </is>
      </c>
      <c r="D123" t="inlineStr">
        <is>
          <t>https://orcid.org/0000-0001-7697-8310</t>
        </is>
      </c>
      <c r="E123" t="inlineStr">
        <is>
          <t>acompanhar a producao cientifica de Giulia Mandalà (Verona University ) em grano duro / Fusarium / micotossine — alimenta T6 (pesquisadores), T5 (ciencia)</t>
        </is>
      </c>
      <c r="F123" t="inlineStr">
        <is>
          <t>claude-code (missao ITALY-200-SOURCES-DISCOVERY, 2026-09-14)</t>
        </is>
      </c>
      <c r="G123" t="inlineStr">
        <is>
          <t xml:space="preserve">ORCID public API — afiliacao italiana atual: Verona University </t>
        </is>
      </c>
      <c r="H123" t="inlineStr">
        <is>
          <t>ORCID 0000-0001-7697-8310 · afiliacao atual Verona University  · CANDIDATA validada em 2026-09-14; SOURCE_ID nao atribuido (nasce na porta canonica)</t>
        </is>
      </c>
    </row>
    <row r="124">
      <c r="A124" t="inlineStr">
        <is>
          <t>CIENCIA</t>
        </is>
      </c>
      <c r="B124" t="inlineStr">
        <is>
          <t>IT</t>
        </is>
      </c>
      <c r="C124" t="inlineStr">
        <is>
          <t>IRIS UNIPD — Archivio della ricerca</t>
        </is>
      </c>
      <c r="D124" t="inlineStr">
        <is>
          <t>https://www.research.unipd.it/</t>
        </is>
      </c>
      <c r="E124" t="inlineStr">
        <is>
          <t>fonte cientifica de Universita di Padova sobre repositorio scientifico — alimenta T5 (ciencia), T6 (pesquisadores)</t>
        </is>
      </c>
      <c r="F124" t="inlineStr">
        <is>
          <t>claude-code (missao ITALY-200-SOURCES-DISCOVERY, 2026-09-14)</t>
        </is>
      </c>
      <c r="G124" t="inlineStr">
        <is>
          <t>descoberta por familia de fonte 'repositorio' e verificada por sonda HTTP</t>
        </is>
      </c>
      <c r="H124" t="inlineStr">
        <is>
          <t>CANDIDATA validada em 2026-09-14; SOURCE_ID nao atribuido (nasce na porta canonica)</t>
        </is>
      </c>
    </row>
    <row r="125">
      <c r="A125" t="inlineStr">
        <is>
          <t>CIENCIA</t>
        </is>
      </c>
      <c r="B125" t="inlineStr">
        <is>
          <t>IT</t>
        </is>
      </c>
      <c r="C125" t="inlineStr">
        <is>
          <t>Leonardo Cera — registo cientifico ORCID (University of Padua)</t>
        </is>
      </c>
      <c r="D125" t="inlineStr">
        <is>
          <t>https://orcid.org/0009-0005-6118-7432</t>
        </is>
      </c>
      <c r="E125" t="inlineStr">
        <is>
          <t>acompanhar a producao cientifica de Leonardo Cera (University of Padua) em vite / flavescenza dorata / Scaphoideus — alimenta T6 (pesquisadores), T5 (ciencia)</t>
        </is>
      </c>
      <c r="F125" t="inlineStr">
        <is>
          <t>claude-code (missao ITALY-200-SOURCES-DISCOVERY, 2026-09-14)</t>
        </is>
      </c>
      <c r="G125" t="inlineStr">
        <is>
          <t>ORCID public API — afiliacao italiana atual: University of Padua</t>
        </is>
      </c>
      <c r="H125" t="inlineStr">
        <is>
          <t>ORCID 0009-0005-6118-7432 · afiliacao atual University of Padua · CANDIDATA validada em 2026-09-14; SOURCE_ID nao atribuido (nasce na porta canonica)</t>
        </is>
      </c>
    </row>
    <row r="126">
      <c r="A126" t="inlineStr">
        <is>
          <t>CIENCIA</t>
        </is>
      </c>
      <c r="B126" t="inlineStr">
        <is>
          <t>IT</t>
        </is>
      </c>
      <c r="C126" t="inlineStr">
        <is>
          <t>Luca Mazzon — registo cientifico ORCID (Università degli Studi di Padova)</t>
        </is>
      </c>
      <c r="D126" t="inlineStr">
        <is>
          <t>https://orcid.org/0000-0002-8459-893X</t>
        </is>
      </c>
      <c r="E126" t="inlineStr">
        <is>
          <t>acompanhar a producao cientifica de Luca Mazzon (Università degli Studi di Padova) em olivo / Bactrocera oleae — alimenta T6 (pesquisadores), T5 (ciencia)</t>
        </is>
      </c>
      <c r="F126" t="inlineStr">
        <is>
          <t>claude-code (missao ITALY-200-SOURCES-DISCOVERY, 2026-09-14)</t>
        </is>
      </c>
      <c r="G126" t="inlineStr">
        <is>
          <t>ORCID public API — afiliacao italiana atual: Università degli Studi di Padova</t>
        </is>
      </c>
      <c r="H126" t="inlineStr">
        <is>
          <t>ORCID 0000-0002-8459-893X · afiliacao atual Università degli Studi di Padova · CANDIDATA validada em 2026-09-14; SOURCE_ID nao atribuido (nasce na porta canonica)</t>
        </is>
      </c>
    </row>
    <row r="127">
      <c r="A127" t="inlineStr">
        <is>
          <t>CIENCIA</t>
        </is>
      </c>
      <c r="B127" t="inlineStr">
        <is>
          <t>IT</t>
        </is>
      </c>
      <c r="C127" t="inlineStr">
        <is>
          <t>UNIPD DAFNAE — Dipartimento di Agronomia Animali Alimenti Risorse Naturali e Ambiente</t>
        </is>
      </c>
      <c r="D127" t="inlineStr">
        <is>
          <t>https://www.dafnae.unipd.it/</t>
        </is>
      </c>
      <c r="E127" t="inlineStr">
        <is>
          <t>fonte cientifica de Universita di Padova sobre agronomia, entomologia, patologia — alimenta T5 (ciencia), T6 (pesquisadores), T3 (praga, doenca e infestanti)</t>
        </is>
      </c>
      <c r="F127" t="inlineStr">
        <is>
          <t>claude-code (missao ITALY-200-SOURCES-DISCOVERY, 2026-09-14)</t>
        </is>
      </c>
      <c r="G127" t="inlineStr">
        <is>
          <t>descoberta por familia de fonte 'universita' e verificada por sonda HTTP</t>
        </is>
      </c>
      <c r="H127" t="inlineStr">
        <is>
          <t>CANDIDATA validada em 2026-09-14; SOURCE_ID nao atribuido (nasce na porta canonica)</t>
        </is>
      </c>
    </row>
    <row r="128">
      <c r="A128" t="inlineStr">
        <is>
          <t>CIENCIA</t>
        </is>
      </c>
      <c r="B128" t="inlineStr">
        <is>
          <t>IT</t>
        </is>
      </c>
      <c r="C128" t="inlineStr">
        <is>
          <t>UNIVR Dipartimento di Biotecnologie</t>
        </is>
      </c>
      <c r="D128" t="inlineStr">
        <is>
          <t>https://www.dbt.univr.it/</t>
        </is>
      </c>
      <c r="E128" t="inlineStr">
        <is>
          <t>fonte cientifica de Universita di Verona sobre biotecnologie, vite — alimenta T5 (ciencia), T6 (pesquisadores)</t>
        </is>
      </c>
      <c r="F128" t="inlineStr">
        <is>
          <t>claude-code (missao ITALY-200-SOURCES-DISCOVERY, 2026-09-14)</t>
        </is>
      </c>
      <c r="G128" t="inlineStr">
        <is>
          <t>descoberta por familia de fonte 'universita' e verificada por sonda HTTP</t>
        </is>
      </c>
      <c r="H128" t="inlineStr">
        <is>
          <t>CANDIDATA validada em 2026-09-14; SOURCE_ID nao atribuido (nasce na porta canonica)</t>
        </is>
      </c>
    </row>
    <row r="129">
      <c r="A129" t="inlineStr">
        <is>
          <t>FACEBOOK</t>
        </is>
      </c>
      <c r="B129" t="inlineStr">
        <is>
          <t>IT</t>
        </is>
      </c>
      <c r="C129" t="inlineStr">
        <is>
          <t>ARTA Abruzzo — Facebook ufficiale</t>
        </is>
      </c>
      <c r="D129" t="inlineStr">
        <is>
          <t>https://www.facebook.com/arpaabruzzo</t>
        </is>
      </c>
      <c r="E129" t="inlineStr">
        <is>
          <t>pagina oficial de ARTA Abruzzo sobre ambiente, monitoraggio — alimenta T2 (clima/acqua/suolo), T12 (politica e ambiente agricola)</t>
        </is>
      </c>
      <c r="F129" t="inlineStr">
        <is>
          <t>claude-code (missao ITALY-200-SOURCES-DISCOVERY, 2026-09-14)</t>
        </is>
      </c>
      <c r="G129" t="inlineStr">
        <is>
          <t>declarado no site oficial do dono: https://www.artaabruzzo.it/</t>
        </is>
      </c>
      <c r="H129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30">
      <c r="A130" t="inlineStr">
        <is>
          <t>FACEBOOK</t>
        </is>
      </c>
      <c r="B130" t="inlineStr">
        <is>
          <t>IT</t>
        </is>
      </c>
      <c r="C130" t="inlineStr">
        <is>
          <t>Consorzio Tutela Vini d'Abruzzo — Facebook ufficiale</t>
        </is>
      </c>
      <c r="D130" t="inlineStr">
        <is>
          <t>https://www.facebook.com/vinidabruzzo</t>
        </is>
      </c>
      <c r="E130" t="inlineStr">
        <is>
          <t>pagina oficial de Consorzio Tutela Vini d'Abruzzo sobre vino, DOC — alimenta T10 (mercado e industria), T1 (cultura e producao)</t>
        </is>
      </c>
      <c r="F130" t="inlineStr">
        <is>
          <t>claude-code (missao ITALY-200-SOURCES-DISCOVERY, 2026-09-14)</t>
        </is>
      </c>
      <c r="G130" t="inlineStr">
        <is>
          <t>declarado no site oficial do dono: https://www.vinidabruzzo.it/</t>
        </is>
      </c>
      <c r="H130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31">
      <c r="A131" t="inlineStr">
        <is>
          <t>FACEBOOK</t>
        </is>
      </c>
      <c r="B131" t="inlineStr">
        <is>
          <t>IT</t>
        </is>
      </c>
      <c r="C131" t="inlineStr">
        <is>
          <t>ARSAC Calabria — Azienda Regionale per lo Sviluppo dell'Agricoltura Calabrese — Facebook ufficiale</t>
        </is>
      </c>
      <c r="D131" t="inlineStr">
        <is>
          <t>https://www.facebook.com/ArsacRegioneCalabria</t>
        </is>
      </c>
      <c r="E131" t="inlineStr">
        <is>
          <t>pagina oficial de Regione Calabria sobre assistenza tecnica, divulgazione, fitosanitario — alimenta T1 (cultura e producao), T7 (rede tecnica), T3 (praga, doenca e infestanti)</t>
        </is>
      </c>
      <c r="F131" t="inlineStr">
        <is>
          <t>claude-code (missao ITALY-200-SOURCES-DISCOVERY, 2026-09-14)</t>
        </is>
      </c>
      <c r="G131" t="inlineStr">
        <is>
          <t>declarado no site oficial do dono: https://www.arsac.calabria.it/</t>
        </is>
      </c>
      <c r="H131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32">
      <c r="A132" t="inlineStr">
        <is>
          <t>FACEBOOK</t>
        </is>
      </c>
      <c r="B132" t="inlineStr">
        <is>
          <t>IT</t>
        </is>
      </c>
      <c r="C132" t="inlineStr">
        <is>
          <t>CRPV — Centro Ricerche Produzioni Vegetali — Facebook ufficiale</t>
        </is>
      </c>
      <c r="D132" t="inlineStr">
        <is>
          <t>https://www.facebook.com/rinovaeducazionecomunicazione</t>
        </is>
      </c>
      <c r="E132" t="inlineStr">
        <is>
          <t>pagina oficial de CRPV sobre sperimentazione, ortofrutta, difesa — alimenta T5 (ciencia), T3 (praga, doenca e infestanti), T1 (cultura e producao)</t>
        </is>
      </c>
      <c r="F132" t="inlineStr">
        <is>
          <t>claude-code (missao ITALY-200-SOURCES-DISCOVERY, 2026-09-14)</t>
        </is>
      </c>
      <c r="G132" t="inlineStr">
        <is>
          <t>declarado no site oficial do dono: https://www.crpv.it/</t>
        </is>
      </c>
      <c r="H132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33">
      <c r="A133" t="inlineStr">
        <is>
          <t>FACEBOOK</t>
        </is>
      </c>
      <c r="B133" t="inlineStr">
        <is>
          <t>IT</t>
        </is>
      </c>
      <c r="C133" t="inlineStr">
        <is>
          <t>Caviro — Facebook ufficiale</t>
        </is>
      </c>
      <c r="D133" t="inlineStr">
        <is>
          <t>https://www.facebook.com/GruppoCaviro</t>
        </is>
      </c>
      <c r="E133" t="inlineStr">
        <is>
          <t>pagina oficial de Caviro sobre cooperativa vitivinicola, economia circolare — alimenta T10 (mercado e industria), T1 (cultura e producao)</t>
        </is>
      </c>
      <c r="F133" t="inlineStr">
        <is>
          <t>claude-code (missao ITALY-200-SOURCES-DISCOVERY, 2026-09-14)</t>
        </is>
      </c>
      <c r="G133" t="inlineStr">
        <is>
          <t>declarado no site oficial do dono: https://www.caviro.com/</t>
        </is>
      </c>
      <c r="H133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34">
      <c r="A134" t="inlineStr">
        <is>
          <t>FACEBOOK</t>
        </is>
      </c>
      <c r="B134" t="inlineStr">
        <is>
          <t>IT</t>
        </is>
      </c>
      <c r="C134" t="inlineStr">
        <is>
          <t>Cifo — Facebook ufficiale</t>
        </is>
      </c>
      <c r="D134" t="inlineStr">
        <is>
          <t>https://www.facebook.com/Cifo1965</t>
        </is>
      </c>
      <c r="E134" t="inlineStr">
        <is>
          <t>pagina oficial de Cifo sobre nutrizione vegetale — alimenta T9 (concorrentes), T10 (mercado e industria)</t>
        </is>
      </c>
      <c r="F134" t="inlineStr">
        <is>
          <t>claude-code (missao ITALY-200-SOURCES-DISCOVERY, 2026-09-14)</t>
        </is>
      </c>
      <c r="G134" t="inlineStr">
        <is>
          <t>declarado no site oficial do dono: https://www.cifo.it/</t>
        </is>
      </c>
      <c r="H134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35">
      <c r="A135" t="inlineStr">
        <is>
          <t>FACEBOOK</t>
        </is>
      </c>
      <c r="B135" t="inlineStr">
        <is>
          <t>IT</t>
        </is>
      </c>
      <c r="C135" t="inlineStr">
        <is>
          <t>ARPA Lazio — Facebook ufficiale</t>
        </is>
      </c>
      <c r="D135" t="inlineStr">
        <is>
          <t>https://www.facebook.com/arpalazio</t>
        </is>
      </c>
      <c r="E135" t="inlineStr">
        <is>
          <t>pagina oficial de ARPA Lazio sobre ambiente, aria, acque — alimenta T2 (clima/acqua/suolo), T12 (politica e ambiente agricola)</t>
        </is>
      </c>
      <c r="F135" t="inlineStr">
        <is>
          <t>claude-code (missao ITALY-200-SOURCES-DISCOVERY, 2026-09-14)</t>
        </is>
      </c>
      <c r="G135" t="inlineStr">
        <is>
          <t>declarado no site oficial do dono: https://www.arpalazio.it/</t>
        </is>
      </c>
      <c r="H135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36">
      <c r="A136" t="inlineStr">
        <is>
          <t>FACEBOOK</t>
        </is>
      </c>
      <c r="B136" t="inlineStr">
        <is>
          <t>IT</t>
        </is>
      </c>
      <c r="C136" t="inlineStr">
        <is>
          <t>ARSIAL — Agenzia Regionale Sviluppo Innovazione Agricoltura Lazio — Facebook ufficiale</t>
        </is>
      </c>
      <c r="D136" t="inlineStr">
        <is>
          <t>https://www.facebook.com/ARSIALregionelazio</t>
        </is>
      </c>
      <c r="E136" t="inlineStr">
        <is>
          <t>pagina oficial de Regione Lazio sobre sviluppo agricolo, biodiversita, assistenza — alimenta T1 (cultura e producao), T7 (rede tecnica), T3 (praga, doenca e infestanti)</t>
        </is>
      </c>
      <c r="F136" t="inlineStr">
        <is>
          <t>claude-code (missao ITALY-200-SOURCES-DISCOVERY, 2026-09-14)</t>
        </is>
      </c>
      <c r="G136" t="inlineStr">
        <is>
          <t>declarado no site oficial do dono: https://www.arsial.it/</t>
        </is>
      </c>
      <c r="H136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37">
      <c r="A137" t="inlineStr">
        <is>
          <t>FACEBOOK</t>
        </is>
      </c>
      <c r="B137" t="inlineStr">
        <is>
          <t>IT</t>
        </is>
      </c>
      <c r="C137" t="inlineStr">
        <is>
          <t>ARPA Liguria — Facebook ufficiale</t>
        </is>
      </c>
      <c r="D137" t="inlineStr">
        <is>
          <t>https://www.facebook.com/ArpaLiguria</t>
        </is>
      </c>
      <c r="E137" t="inlineStr">
        <is>
          <t>pagina oficial de ARPAL sobre meteo, ambiente, allerta — alimenta T2 (clima/acqua/suolo), T12 (politica e ambiente agricola)</t>
        </is>
      </c>
      <c r="F137" t="inlineStr">
        <is>
          <t>claude-code (missao ITALY-200-SOURCES-DISCOVERY, 2026-09-14)</t>
        </is>
      </c>
      <c r="G137" t="inlineStr">
        <is>
          <t>declarado no site oficial do dono: https://www.arpal.liguria.it/</t>
        </is>
      </c>
      <c r="H137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38">
      <c r="A138" t="inlineStr">
        <is>
          <t>FACEBOOK</t>
        </is>
      </c>
      <c r="B138" t="inlineStr">
        <is>
          <t>IT</t>
        </is>
      </c>
      <c r="C138" t="inlineStr">
        <is>
          <t>Agriligurianet — Regione Liguria agricoltura — Facebook ufficiale</t>
        </is>
      </c>
      <c r="D138" t="inlineStr">
        <is>
          <t>https://www.facebook.com/agriligurianet</t>
        </is>
      </c>
      <c r="E138" t="inlineStr">
        <is>
          <t>pagina oficial de Regione Liguria sobre agricoltura ligure, floricoltura, fitosanitario — alimenta T1 (cultura e producao), T3 (praga, doenca e infestanti), T7 (rede tecnica)</t>
        </is>
      </c>
      <c r="F138" t="inlineStr">
        <is>
          <t>claude-code (missao ITALY-200-SOURCES-DISCOVERY, 2026-09-14)</t>
        </is>
      </c>
      <c r="G138" t="inlineStr">
        <is>
          <t>declarado no site oficial do dono: https://www.agriligurianet.it/</t>
        </is>
      </c>
      <c r="H138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39">
      <c r="A139" t="inlineStr">
        <is>
          <t>FACEBOOK</t>
        </is>
      </c>
      <c r="B139" t="inlineStr">
        <is>
          <t>IT</t>
        </is>
      </c>
      <c r="C139" t="inlineStr">
        <is>
          <t>Confagricoltura Lombardia — Facebook ufficiale</t>
        </is>
      </c>
      <c r="D139" t="inlineStr">
        <is>
          <t>https://www.facebook.com/lombardiaconfagricoltura</t>
        </is>
      </c>
      <c r="E139" t="inlineStr">
        <is>
          <t>pagina oficial de Confagricoltura sobre organizzazione agricola regionale — alimenta T12 (politica e ambiente agricola), T7 (rede tecnica)</t>
        </is>
      </c>
      <c r="F139" t="inlineStr">
        <is>
          <t>claude-code (missao ITALY-200-SOURCES-DISCOVERY, 2026-09-14)</t>
        </is>
      </c>
      <c r="G139" t="inlineStr">
        <is>
          <t>declarado no site oficial do dono: https://www.confagricolturalombardia.it/</t>
        </is>
      </c>
      <c r="H139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40">
      <c r="A140" t="inlineStr">
        <is>
          <t>FACEBOOK</t>
        </is>
      </c>
      <c r="B140" t="inlineStr">
        <is>
          <t>IT</t>
        </is>
      </c>
      <c r="C140" t="inlineStr">
        <is>
          <t>Agroinnova — Centro di Competenza per l'Innovazione in campo agro-ambientale — Facebook ufficiale</t>
        </is>
      </c>
      <c r="D140" t="inlineStr">
        <is>
          <t>https://www.facebook.com/unito.it</t>
        </is>
      </c>
      <c r="E140" t="inlineStr">
        <is>
          <t>pagina oficial de Universita di Torino sobre patologia vegetale, difesa, sostenibilita — alimenta T3 (praga, doenca e infestanti), T5 (ciencia), T6 (pesquisadores)</t>
        </is>
      </c>
      <c r="F140" t="inlineStr">
        <is>
          <t>claude-code (missao ITALY-200-SOURCES-DISCOVERY, 2026-09-14)</t>
        </is>
      </c>
      <c r="G140" t="inlineStr">
        <is>
          <t>declarado no site oficial do dono: https://www.agroinnova.unito.it/</t>
        </is>
      </c>
      <c r="H140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41">
      <c r="A141" t="inlineStr">
        <is>
          <t>FACEBOOK</t>
        </is>
      </c>
      <c r="B141" t="inlineStr">
        <is>
          <t>IT</t>
        </is>
      </c>
      <c r="C141" t="inlineStr">
        <is>
          <t>Agrilevante — Facebook ufficiale</t>
        </is>
      </c>
      <c r="D141" t="inlineStr">
        <is>
          <t>https://www.facebook.com/Agrilevante</t>
        </is>
      </c>
      <c r="E141" t="inlineStr">
        <is>
          <t>pagina oficial de FederUnacoma sobre fiera meccanizzazione mediterraneo — alimenta T11 (eventos), T10 (mercado e industria)</t>
        </is>
      </c>
      <c r="F141" t="inlineStr">
        <is>
          <t>claude-code (missao ITALY-200-SOURCES-DISCOVERY, 2026-09-14)</t>
        </is>
      </c>
      <c r="G141" t="inlineStr">
        <is>
          <t>declarado no site oficial do dono: https://www.agrilevante.eu/</t>
        </is>
      </c>
      <c r="H141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42">
      <c r="A142" t="inlineStr">
        <is>
          <t>FACEBOOK</t>
        </is>
      </c>
      <c r="B142" t="inlineStr">
        <is>
          <t>IT</t>
        </is>
      </c>
      <c r="C142" t="inlineStr">
        <is>
          <t>Consorzio Tutela Pecorino Romano — Facebook ufficiale</t>
        </is>
      </c>
      <c r="D142" t="inlineStr">
        <is>
          <t>https://www.facebook.com/ConsorzioPecorinoRomanoDOP</t>
        </is>
      </c>
      <c r="E142" t="inlineStr">
        <is>
          <t>pagina oficial de Consorzio Pecorino Romano sobre DOP, ovino — alimenta T10 (mercado e industria)</t>
        </is>
      </c>
      <c r="F142" t="inlineStr">
        <is>
          <t>claude-code (missao ITALY-200-SOURCES-DISCOVERY, 2026-09-14)</t>
        </is>
      </c>
      <c r="G142" t="inlineStr">
        <is>
          <t>declarado no site oficial do dono: https://www.pecorinoromano.com/</t>
        </is>
      </c>
      <c r="H142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43">
      <c r="A143" t="inlineStr">
        <is>
          <t>FACEBOOK</t>
        </is>
      </c>
      <c r="B143" t="inlineStr">
        <is>
          <t>IT</t>
        </is>
      </c>
      <c r="C143" t="inlineStr">
        <is>
          <t>CIA Toscana — Facebook ufficiale</t>
        </is>
      </c>
      <c r="D143" t="inlineStr">
        <is>
          <t>https://www.facebook.com/ciatoscana</t>
        </is>
      </c>
      <c r="E143" t="inlineStr">
        <is>
          <t>pagina oficial de CIA Agricoltori Italiani sobre organizzazione agricola regionale — alimenta T12 (politica e ambiente agricola), T7 (rede tecnica)</t>
        </is>
      </c>
      <c r="F143" t="inlineStr">
        <is>
          <t>claude-code (missao ITALY-200-SOURCES-DISCOVERY, 2026-09-14)</t>
        </is>
      </c>
      <c r="G143" t="inlineStr">
        <is>
          <t>declarado no site oficial do dono: https://www.ciatoscana.eu/</t>
        </is>
      </c>
      <c r="H143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44">
      <c r="A144" t="inlineStr">
        <is>
          <t>FACEBOOK</t>
        </is>
      </c>
      <c r="B144" t="inlineStr">
        <is>
          <t>IT</t>
        </is>
      </c>
      <c r="C144" t="inlineStr">
        <is>
          <t>Consorzio Vino Chianti Classico — Facebook ufficiale</t>
        </is>
      </c>
      <c r="D144" t="inlineStr">
        <is>
          <t>https://www.facebook.com/chianticlassico.it</t>
        </is>
      </c>
      <c r="E144" t="inlineStr">
        <is>
          <t>pagina oficial de Consorzio Vino Chianti Classico sobre vino, DOCG, viticoltura — alimenta T10 (mercado e industria), T1 (cultura e producao)</t>
        </is>
      </c>
      <c r="F144" t="inlineStr">
        <is>
          <t>claude-code (missao ITALY-200-SOURCES-DISCOVERY, 2026-09-14)</t>
        </is>
      </c>
      <c r="G144" t="inlineStr">
        <is>
          <t>declarado no site oficial do dono: https://www.chianticlassico.com/</t>
        </is>
      </c>
      <c r="H144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45">
      <c r="A145" t="inlineStr">
        <is>
          <t>FACEBOOK</t>
        </is>
      </c>
      <c r="B145" t="inlineStr">
        <is>
          <t>IT</t>
        </is>
      </c>
      <c r="C145" t="inlineStr">
        <is>
          <t>APPA Trento — Agenzia provinciale protezione ambiente — Facebook ufficiale</t>
        </is>
      </c>
      <c r="D145" t="inlineStr">
        <is>
          <t>https://www.facebook.com/provincia.autonoma.trento</t>
        </is>
      </c>
      <c r="E145" t="inlineStr">
        <is>
          <t>pagina oficial de Provincia autonoma di Trento sobre ambiente, acque — alimenta T2 (clima/acqua/suolo), T12 (politica e ambiente agricola)</t>
        </is>
      </c>
      <c r="F145" t="inlineStr">
        <is>
          <t>claude-code (missao ITALY-200-SOURCES-DISCOVERY, 2026-09-14)</t>
        </is>
      </c>
      <c r="G145" t="inlineStr">
        <is>
          <t>declarado no site oficial do dono: https://appa.provincia.tn.it/</t>
        </is>
      </c>
      <c r="H145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46">
      <c r="A146" t="inlineStr">
        <is>
          <t>FACEBOOK</t>
        </is>
      </c>
      <c r="B146" t="inlineStr">
        <is>
          <t>IT</t>
        </is>
      </c>
      <c r="C146" t="inlineStr">
        <is>
          <t>Agriumbria — Facebook ufficiale</t>
        </is>
      </c>
      <c r="D146" t="inlineStr">
        <is>
          <t>https://www.facebook.com/agriumbria</t>
        </is>
      </c>
      <c r="E146" t="inlineStr">
        <is>
          <t>pagina oficial de Umbriafiere sobre fiera agricoltura, zootecnia — alimenta T11 (eventos), T1 (cultura e producao)</t>
        </is>
      </c>
      <c r="F146" t="inlineStr">
        <is>
          <t>claude-code (missao ITALY-200-SOURCES-DISCOVERY, 2026-09-14)</t>
        </is>
      </c>
      <c r="G146" t="inlineStr">
        <is>
          <t>declarado no site oficial do dono: https://www.agriumbria.eu/</t>
        </is>
      </c>
      <c r="H146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47">
      <c r="A147" t="inlineStr">
        <is>
          <t>FACEBOOK</t>
        </is>
      </c>
      <c r="B147" t="inlineStr">
        <is>
          <t>IT</t>
        </is>
      </c>
      <c r="C147" t="inlineStr">
        <is>
          <t>Consorzio Tutela Prosecco DOC — Facebook ufficiale</t>
        </is>
      </c>
      <c r="D147" t="inlineStr">
        <is>
          <t>https://www.facebook.com/ConeglianoValdobbiadeneProseccoDOCG</t>
        </is>
      </c>
      <c r="E147" t="inlineStr">
        <is>
          <t>pagina oficial de Consorzio Tutela Prosecco DOC sobre vino, DOC, viticoltura — alimenta T10 (mercado e industria), T1 (cultura e producao)</t>
        </is>
      </c>
      <c r="F147" t="inlineStr">
        <is>
          <t>claude-code (missao ITALY-200-SOURCES-DISCOVERY, 2026-09-14)</t>
        </is>
      </c>
      <c r="G147" t="inlineStr">
        <is>
          <t>declarado no site oficial do dono: https://www.prosecco.it/</t>
        </is>
      </c>
      <c r="H147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48">
      <c r="A148" t="inlineStr">
        <is>
          <t>FACEBOOK</t>
        </is>
      </c>
      <c r="B148" t="inlineStr">
        <is>
          <t>IT</t>
        </is>
      </c>
      <c r="C148" t="inlineStr">
        <is>
          <t>Consorzio Tutela Vini Valpolicella — Facebook ufficiale</t>
        </is>
      </c>
      <c r="D148" t="inlineStr">
        <is>
          <t>https://www.facebook.com/valpolicella.wines</t>
        </is>
      </c>
      <c r="E148" t="inlineStr">
        <is>
          <t>pagina oficial de Consorzio Tutela Vini Valpolicella sobre vino, DOC, viticoltura — alimenta T10 (mercado e industria), T1 (cultura e producao)</t>
        </is>
      </c>
      <c r="F148" t="inlineStr">
        <is>
          <t>claude-code (missao ITALY-200-SOURCES-DISCOVERY, 2026-09-14)</t>
        </is>
      </c>
      <c r="G148" t="inlineStr">
        <is>
          <t>declarado no site oficial do dono: https://www.consorziovalpolicella.it/</t>
        </is>
      </c>
      <c r="H148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49">
      <c r="A149" t="inlineStr">
        <is>
          <t>IMPRENSA</t>
        </is>
      </c>
      <c r="B149" t="inlineStr">
        <is>
          <t>IT</t>
        </is>
      </c>
      <c r="C149" t="inlineStr">
        <is>
          <t>AgroNotizie — Image Line</t>
        </is>
      </c>
      <c r="D149" t="inlineStr">
        <is>
          <t>https://agronotizie.imagelinenetwork.com/</t>
        </is>
      </c>
      <c r="E149" t="inlineStr">
        <is>
          <t>veiculo/boletim de Image Line sobre notizie agricole, difesa, fitofarmaci — alimenta T1 (cultura e producao), T3 (praga, doenca e infestanti), T4 (regulatorio), T10 (mercado e industria)</t>
        </is>
      </c>
      <c r="F149" t="inlineStr">
        <is>
          <t>claude-code (missao ITALY-200-SOURCES-DISCOVERY, 2026-09-14)</t>
        </is>
      </c>
      <c r="G149" t="inlineStr">
        <is>
          <t>descoberta por familia de fonte 'imprensa_tecnica' e verificada por sonda HTTP</t>
        </is>
      </c>
      <c r="H149" t="inlineStr">
        <is>
          <t>CANDIDATA validada em 2026-09-14; SOURCE_ID nao atribuido (nasce na porta canonica)</t>
        </is>
      </c>
    </row>
    <row r="150">
      <c r="A150" t="inlineStr">
        <is>
          <t>IMPRENSA</t>
        </is>
      </c>
      <c r="B150" t="inlineStr">
        <is>
          <t>IT</t>
        </is>
      </c>
      <c r="C150" t="inlineStr">
        <is>
          <t>Italiafruit News</t>
        </is>
      </c>
      <c r="D150" t="inlineStr">
        <is>
          <t>https://www.italiafruit.net/</t>
        </is>
      </c>
      <c r="E150" t="inlineStr">
        <is>
          <t>veiculo/boletim de Italiafruit News sobre ortofrutta, mercato, filiera — alimenta T10 (mercado e industria), T1 (cultura e producao)</t>
        </is>
      </c>
      <c r="F150" t="inlineStr">
        <is>
          <t>claude-code (missao ITALY-200-SOURCES-DISCOVERY, 2026-09-14)</t>
        </is>
      </c>
      <c r="G150" t="inlineStr">
        <is>
          <t>descoberta por familia de fonte 'imprensa_setorial' e verificada por sonda HTTP</t>
        </is>
      </c>
      <c r="H150" t="inlineStr">
        <is>
          <t>CANDIDATA validada em 2026-09-14; SOURCE_ID nao atribuido (nasce na porta canonica)</t>
        </is>
      </c>
    </row>
    <row r="151">
      <c r="A151" t="inlineStr">
        <is>
          <t>IMPRENSA</t>
        </is>
      </c>
      <c r="B151" t="inlineStr">
        <is>
          <t>IT</t>
        </is>
      </c>
      <c r="C151" t="inlineStr">
        <is>
          <t>Rivista di Frutticoltura e di Ortofloricoltura</t>
        </is>
      </c>
      <c r="D151" t="inlineStr">
        <is>
          <t>https://www.rivistafrutticoltura.it/</t>
        </is>
      </c>
      <c r="E151" t="inlineStr">
        <is>
          <t>veiculo/boletim de Edagricole sobre frutticoltura, ortofloricoltura — alimenta T1 (cultura e producao), T5 (ciencia)</t>
        </is>
      </c>
      <c r="F151" t="inlineStr">
        <is>
          <t>claude-code (missao ITALY-200-SOURCES-DISCOVERY, 2026-09-14)</t>
        </is>
      </c>
      <c r="G151" t="inlineStr">
        <is>
          <t>descoberta por familia de fonte 'imprensa_tecnica' e verificada por sonda HTTP</t>
        </is>
      </c>
      <c r="H151" t="inlineStr">
        <is>
          <t>CANDIDATA validada em 2026-09-14; SOURCE_ID nao atribuido (nasce na porta canonica)</t>
        </is>
      </c>
    </row>
    <row r="152">
      <c r="A152" t="inlineStr">
        <is>
          <t>IMPRENSA</t>
        </is>
      </c>
      <c r="B152" t="inlineStr">
        <is>
          <t>IT</t>
        </is>
      </c>
      <c r="C152" t="inlineStr">
        <is>
          <t>Terra e Vita — Edagricole</t>
        </is>
      </c>
      <c r="D152" t="inlineStr">
        <is>
          <t>https://terraevita.edagricole.it/</t>
        </is>
      </c>
      <c r="E152" t="inlineStr">
        <is>
          <t>veiculo/boletim de Edagricole — New Business Media sobre rivista tecnica, seminativi, difesa — alimenta T1 (cultura e producao), T3 (praga, doenca e infestanti), T10 (mercado e industria)</t>
        </is>
      </c>
      <c r="F152" t="inlineStr">
        <is>
          <t>claude-code (missao ITALY-200-SOURCES-DISCOVERY, 2026-09-14)</t>
        </is>
      </c>
      <c r="G152" t="inlineStr">
        <is>
          <t>descoberta por familia de fonte 'imprensa_tecnica' e verificada por sonda HTTP</t>
        </is>
      </c>
      <c r="H152" t="inlineStr">
        <is>
          <t>CANDIDATA validada em 2026-09-14; SOURCE_ID nao atribuido (nasce na porta canonica)</t>
        </is>
      </c>
    </row>
    <row r="153">
      <c r="A153" t="inlineStr">
        <is>
          <t>IMPRENSA</t>
        </is>
      </c>
      <c r="B153" t="inlineStr">
        <is>
          <t>IT</t>
        </is>
      </c>
      <c r="C153" t="inlineStr">
        <is>
          <t>Agricoltura Moderna</t>
        </is>
      </c>
      <c r="D153" t="inlineStr">
        <is>
          <t>https://agricolturamoderna.it/</t>
        </is>
      </c>
      <c r="E153" t="inlineStr">
        <is>
          <t>veiculo/boletim de Agricoltura Moderna sobre notizie agricole, tecnica — alimenta T1 (cultura e producao), T10 (mercado e industria)</t>
        </is>
      </c>
      <c r="F153" t="inlineStr">
        <is>
          <t>claude-code (missao ITALY-200-SOURCES-DISCOVERY, 2026-09-14)</t>
        </is>
      </c>
      <c r="G153" t="inlineStr">
        <is>
          <t>descoberta por familia de fonte 'imprensa_setorial' e verificada por sonda HTTP</t>
        </is>
      </c>
      <c r="H153" t="inlineStr">
        <is>
          <t>CANDIDATA validada em 2026-09-14; SOURCE_ID nao atribuido (nasce na porta canonica)</t>
        </is>
      </c>
    </row>
    <row r="154">
      <c r="A154" t="inlineStr">
        <is>
          <t>IMPRENSA</t>
        </is>
      </c>
      <c r="B154" t="inlineStr">
        <is>
          <t>IT</t>
        </is>
      </c>
      <c r="C154" t="inlineStr">
        <is>
          <t>Agrifoodtoday</t>
        </is>
      </c>
      <c r="D154" t="inlineStr">
        <is>
          <t>https://www.agrifoodtoday.it/</t>
        </is>
      </c>
      <c r="E154" t="inlineStr">
        <is>
          <t>veiculo/boletim de Citynews sobre agroalimentare, mercato — alimenta T10 (mercado e industria), T12 (politica e ambiente agricola)</t>
        </is>
      </c>
      <c r="F154" t="inlineStr">
        <is>
          <t>claude-code (missao ITALY-200-SOURCES-DISCOVERY, 2026-09-14)</t>
        </is>
      </c>
      <c r="G154" t="inlineStr">
        <is>
          <t>descoberta por familia de fonte 'imprensa_setorial' e verificada por sonda HTTP</t>
        </is>
      </c>
      <c r="H154" t="inlineStr">
        <is>
          <t>CANDIDATA validada em 2026-09-14; SOURCE_ID nao atribuido (nasce na porta canonica)</t>
        </is>
      </c>
    </row>
    <row r="155">
      <c r="A155" t="inlineStr">
        <is>
          <t>IMPRENSA</t>
        </is>
      </c>
      <c r="B155" t="inlineStr">
        <is>
          <t>IT</t>
        </is>
      </c>
      <c r="C155" t="inlineStr">
        <is>
          <t>Agrisole — Il Sole 24 Ore</t>
        </is>
      </c>
      <c r="D155" t="inlineStr">
        <is>
          <t>https://www.ilsole24ore.com/</t>
        </is>
      </c>
      <c r="E155" t="inlineStr">
        <is>
          <t>veiculo/boletim de Il Sole 24 Ore sobre economia agricola, mercati — alimenta T10 (mercado e industria), T12 (politica e ambiente agricola)</t>
        </is>
      </c>
      <c r="F155" t="inlineStr">
        <is>
          <t>claude-code (missao ITALY-200-SOURCES-DISCOVERY, 2026-09-14)</t>
        </is>
      </c>
      <c r="G155" t="inlineStr">
        <is>
          <t>descoberta por familia de fonte 'imprensa_generalista' e verificada por sonda HTTP</t>
        </is>
      </c>
      <c r="H155" t="inlineStr">
        <is>
          <t>endereco corrigido: caminho devolve 404; raiz responde · CANDIDATA validada em 2026-09-14; SOURCE_ID nao atribuido (nasce na porta canonica)</t>
        </is>
      </c>
    </row>
    <row r="156">
      <c r="A156" t="inlineStr">
        <is>
          <t>IMPRENSA</t>
        </is>
      </c>
      <c r="B156" t="inlineStr">
        <is>
          <t>IT</t>
        </is>
      </c>
      <c r="C156" t="inlineStr">
        <is>
          <t>Agrisole — quotidiano agricolo del Sole 24 Ore</t>
        </is>
      </c>
      <c r="D156" t="inlineStr">
        <is>
          <t>https://www.agrisole.ilsole24ore.com/</t>
        </is>
      </c>
      <c r="E156" t="inlineStr">
        <is>
          <t>veiculo/boletim de Il Sole 24 Ore sobre economia agricola, mercati, policy — alimenta T10 (mercado e industria), T12 (politica e ambiente agricola)</t>
        </is>
      </c>
      <c r="F156" t="inlineStr">
        <is>
          <t>claude-code (missao ITALY-200-SOURCES-DISCOVERY, 2026-09-14)</t>
        </is>
      </c>
      <c r="G156" t="inlineStr">
        <is>
          <t>descoberta por familia de fonte 'imprensa_setorial' e verificada por sonda HTTP</t>
        </is>
      </c>
      <c r="H156" t="inlineStr">
        <is>
          <t>CANDIDATA validada em 2026-09-14; SOURCE_ID nao atribuido (nasce na porta canonica)</t>
        </is>
      </c>
    </row>
    <row r="157">
      <c r="A157" t="inlineStr">
        <is>
          <t>IMPRENSA</t>
        </is>
      </c>
      <c r="B157" t="inlineStr">
        <is>
          <t>IT</t>
        </is>
      </c>
      <c r="C157" t="inlineStr">
        <is>
          <t>AgroNews / Terra e Gusto ANSA</t>
        </is>
      </c>
      <c r="D157" t="inlineStr">
        <is>
          <t>https://www.ansa.it/canale_terraegusto/</t>
        </is>
      </c>
      <c r="E157" t="inlineStr">
        <is>
          <t>veiculo/boletim de ANSA sobre agroalimentare, notizie — alimenta T10 (mercado e industria), T12 (politica e ambiente agricola)</t>
        </is>
      </c>
      <c r="F157" t="inlineStr">
        <is>
          <t>claude-code (missao ITALY-200-SOURCES-DISCOVERY, 2026-09-14)</t>
        </is>
      </c>
      <c r="G157" t="inlineStr">
        <is>
          <t>descoberta por familia de fonte 'imprensa_generalista' e verificada por sonda HTTP</t>
        </is>
      </c>
      <c r="H157" t="inlineStr">
        <is>
          <t>CANDIDATA validada em 2026-09-14; SOURCE_ID nao atribuido (nasce na porta canonica)</t>
        </is>
      </c>
    </row>
    <row r="158">
      <c r="A158" t="inlineStr">
        <is>
          <t>IMPRENSA</t>
        </is>
      </c>
      <c r="B158" t="inlineStr">
        <is>
          <t>IT</t>
        </is>
      </c>
      <c r="C158" t="inlineStr">
        <is>
          <t>Agroalimentare News</t>
        </is>
      </c>
      <c r="D158" t="inlineStr">
        <is>
          <t>https://www.agroalimentarenews.com/</t>
        </is>
      </c>
      <c r="E158" t="inlineStr">
        <is>
          <t>veiculo/boletim de Agroalimentare News sobre agroalimentare, notizie — alimenta T10 (mercado e industria), T1 (cultura e producao)</t>
        </is>
      </c>
      <c r="F158" t="inlineStr">
        <is>
          <t>claude-code (missao ITALY-200-SOURCES-DISCOVERY, 2026-09-14)</t>
        </is>
      </c>
      <c r="G158" t="inlineStr">
        <is>
          <t>descoberta por familia de fonte 'imprensa_setorial' e verificada por sonda HTTP</t>
        </is>
      </c>
      <c r="H158" t="inlineStr">
        <is>
          <t>CANDIDATA validada em 2026-09-14; SOURCE_ID nao atribuido (nasce na porta canonica)</t>
        </is>
      </c>
    </row>
    <row r="159">
      <c r="A159" t="inlineStr">
        <is>
          <t>IMPRENSA</t>
        </is>
      </c>
      <c r="B159" t="inlineStr">
        <is>
          <t>IT</t>
        </is>
      </c>
      <c r="C159" t="inlineStr">
        <is>
          <t>FreshPlaza Italia</t>
        </is>
      </c>
      <c r="D159" t="inlineStr">
        <is>
          <t>https://www.freshplaza.it/</t>
        </is>
      </c>
      <c r="E159" t="inlineStr">
        <is>
          <t>veiculo/boletim de FreshPlaza sobre ortofrutta, mercato internazionale — alimenta T10 (mercado e industria), T1 (cultura e producao)</t>
        </is>
      </c>
      <c r="F159" t="inlineStr">
        <is>
          <t>claude-code (missao ITALY-200-SOURCES-DISCOVERY, 2026-09-14)</t>
        </is>
      </c>
      <c r="G159" t="inlineStr">
        <is>
          <t>descoberta por familia de fonte 'imprensa_setorial' e verificada por sonda HTTP</t>
        </is>
      </c>
      <c r="H159" t="inlineStr">
        <is>
          <t>CANDIDATA validada em 2026-09-14; SOURCE_ID nao atribuido (nasce na porta canonica)</t>
        </is>
      </c>
    </row>
    <row r="160">
      <c r="A160" t="inlineStr">
        <is>
          <t>IMPRENSA</t>
        </is>
      </c>
      <c r="B160" t="inlineStr">
        <is>
          <t>IT</t>
        </is>
      </c>
      <c r="C160" t="inlineStr">
        <is>
          <t>Il Corriere Vinicolo</t>
        </is>
      </c>
      <c r="D160" t="inlineStr">
        <is>
          <t>https://www.corrierevinicolo.com/</t>
        </is>
      </c>
      <c r="E160" t="inlineStr">
        <is>
          <t>veiculo/boletim de Unione Italiana Vini sobre vino, mercato, statistiche — alimenta T10 (mercado e industria), T1 (cultura e producao)</t>
        </is>
      </c>
      <c r="F160" t="inlineStr">
        <is>
          <t>claude-code (missao ITALY-200-SOURCES-DISCOVERY, 2026-09-14)</t>
        </is>
      </c>
      <c r="G160" t="inlineStr">
        <is>
          <t>descoberta por familia de fonte 'imprensa_setorial' e verificada por sonda HTTP</t>
        </is>
      </c>
      <c r="H160" t="inlineStr">
        <is>
          <t>CANDIDATA validada em 2026-09-14; SOURCE_ID nao atribuido (nasce na porta canonica)</t>
        </is>
      </c>
    </row>
    <row r="161">
      <c r="A161" t="inlineStr">
        <is>
          <t>IMPRENSA</t>
        </is>
      </c>
      <c r="B161" t="inlineStr">
        <is>
          <t>IT</t>
        </is>
      </c>
      <c r="C161" t="inlineStr">
        <is>
          <t>Il Fatto Alimentare</t>
        </is>
      </c>
      <c r="D161" t="inlineStr">
        <is>
          <t>https://www.ilfattoalimentare.it/</t>
        </is>
      </c>
      <c r="E161" t="inlineStr">
        <is>
          <t>veiculo/boletim de Il Fatto Alimentare sobre sicurezza alimentare, consumatori — alimenta T10 (mercado e industria), T4 (regulatorio)</t>
        </is>
      </c>
      <c r="F161" t="inlineStr">
        <is>
          <t>claude-code (missao ITALY-200-SOURCES-DISCOVERY, 2026-09-14)</t>
        </is>
      </c>
      <c r="G161" t="inlineStr">
        <is>
          <t>descoberta por familia de fonte 'imprensa_setorial' e verificada por sonda HTTP</t>
        </is>
      </c>
      <c r="H161" t="inlineStr">
        <is>
          <t>CANDIDATA validada em 2026-09-14; SOURCE_ID nao atribuido (nasce na porta canonica)</t>
        </is>
      </c>
    </row>
    <row r="162">
      <c r="A162" t="inlineStr">
        <is>
          <t>IMPRENSA</t>
        </is>
      </c>
      <c r="B162" t="inlineStr">
        <is>
          <t>IT</t>
        </is>
      </c>
      <c r="C162" t="inlineStr">
        <is>
          <t>Mangimi &amp; Alimenti</t>
        </is>
      </c>
      <c r="D162" t="inlineStr">
        <is>
          <t>https://www.mangimiealimenti.it/</t>
        </is>
      </c>
      <c r="E162" t="inlineStr">
        <is>
          <t>veiculo/boletim de Mangimi &amp; Alimenti sobre mangimi, zootecnia, filiera — alimenta T10 (mercado e industria), T1 (cultura e producao)</t>
        </is>
      </c>
      <c r="F162" t="inlineStr">
        <is>
          <t>claude-code (missao ITALY-200-SOURCES-DISCOVERY, 2026-09-14)</t>
        </is>
      </c>
      <c r="G162" t="inlineStr">
        <is>
          <t>descoberta por familia de fonte 'imprensa_setorial' e verificada por sonda HTTP</t>
        </is>
      </c>
      <c r="H162" t="inlineStr">
        <is>
          <t>CANDIDATA validada em 2026-09-14; SOURCE_ID nao atribuido (nasce na porta canonica)</t>
        </is>
      </c>
    </row>
    <row r="163">
      <c r="A163" t="inlineStr">
        <is>
          <t>IMPRENSA</t>
        </is>
      </c>
      <c r="B163" t="inlineStr">
        <is>
          <t>IT</t>
        </is>
      </c>
      <c r="C163" t="inlineStr">
        <is>
          <t>Myfruit.it</t>
        </is>
      </c>
      <c r="D163" t="inlineStr">
        <is>
          <t>https://www.myfruit.it/</t>
        </is>
      </c>
      <c r="E163" t="inlineStr">
        <is>
          <t>veiculo/boletim de Myfruit sobre ortofrutta, mercato — alimenta T10 (mercado e industria), T1 (cultura e producao)</t>
        </is>
      </c>
      <c r="F163" t="inlineStr">
        <is>
          <t>claude-code (missao ITALY-200-SOURCES-DISCOVERY, 2026-09-14)</t>
        </is>
      </c>
      <c r="G163" t="inlineStr">
        <is>
          <t>descoberta por familia de fonte 'imprensa_setorial' e verificada por sonda HTTP</t>
        </is>
      </c>
      <c r="H163" t="inlineStr">
        <is>
          <t>CANDIDATA validada em 2026-09-14; SOURCE_ID nao atribuido (nasce na porta canonica)</t>
        </is>
      </c>
    </row>
    <row r="164">
      <c r="A164" t="inlineStr">
        <is>
          <t>IMPRENSA</t>
        </is>
      </c>
      <c r="B164" t="inlineStr">
        <is>
          <t>IT</t>
        </is>
      </c>
      <c r="C164" t="inlineStr">
        <is>
          <t>Noi Siamo Agricoltura — sito</t>
        </is>
      </c>
      <c r="D164" t="inlineStr">
        <is>
          <t>https://www.noisiamoagricoltura.com/</t>
        </is>
      </c>
      <c r="E164" t="inlineStr">
        <is>
          <t>veiculo/boletim de Noi Siamo Agricoltura sobre community agricoltori, notizie — alimenta T8 (agricultores e influenciadores), T1 (cultura e producao)</t>
        </is>
      </c>
      <c r="F164" t="inlineStr">
        <is>
          <t>claude-code (missao ITALY-200-SOURCES-DISCOVERY, 2026-09-14)</t>
        </is>
      </c>
      <c r="G164" t="inlineStr">
        <is>
          <t>descoberta por familia de fonte 'creator' e verificada por sonda HTTP</t>
        </is>
      </c>
      <c r="H164" t="inlineStr">
        <is>
          <t>CANDIDATA validada em 2026-09-14; SOURCE_ID nao atribuido (nasce na porta canonica)</t>
        </is>
      </c>
    </row>
    <row r="165">
      <c r="A165" t="inlineStr">
        <is>
          <t>IMPRENSA</t>
        </is>
      </c>
      <c r="B165" t="inlineStr">
        <is>
          <t>IT</t>
        </is>
      </c>
      <c r="C165" t="inlineStr">
        <is>
          <t>Olio Officina</t>
        </is>
      </c>
      <c r="D165" t="inlineStr">
        <is>
          <t>https://www.olioofficina.it/</t>
        </is>
      </c>
      <c r="E165" t="inlineStr">
        <is>
          <t>veiculo/boletim de Olio Officina sobre olio, cultura olivicola — alimenta T1 (cultura e producao), T10 (mercado e industria)</t>
        </is>
      </c>
      <c r="F165" t="inlineStr">
        <is>
          <t>claude-code (missao ITALY-200-SOURCES-DISCOVERY, 2026-09-14)</t>
        </is>
      </c>
      <c r="G165" t="inlineStr">
        <is>
          <t>descoberta por familia de fonte 'imprensa_setorial' e verificada por sonda HTTP</t>
        </is>
      </c>
      <c r="H165" t="inlineStr">
        <is>
          <t>CANDIDATA validada em 2026-09-14; SOURCE_ID nao atribuido (nasce na porta canonica)</t>
        </is>
      </c>
    </row>
    <row r="166">
      <c r="A166" t="inlineStr">
        <is>
          <t>IMPRENSA</t>
        </is>
      </c>
      <c r="B166" t="inlineStr">
        <is>
          <t>IT</t>
        </is>
      </c>
      <c r="C166" t="inlineStr">
        <is>
          <t>Olivo e Olio — Edagricole</t>
        </is>
      </c>
      <c r="D166" t="inlineStr">
        <is>
          <t>https://olivoeolio.edagricole.it/</t>
        </is>
      </c>
      <c r="E166" t="inlineStr">
        <is>
          <t>veiculo/boletim de Edagricole — New Business Media sobre olivo, olio, difesa — alimenta T1 (cultura e producao), T3 (praga, doenca e infestanti)</t>
        </is>
      </c>
      <c r="F166" t="inlineStr">
        <is>
          <t>claude-code (missao ITALY-200-SOURCES-DISCOVERY, 2026-09-14)</t>
        </is>
      </c>
      <c r="G166" t="inlineStr">
        <is>
          <t>descoberta por familia de fonte 'imprensa_tecnica' e verificada por sonda HTTP</t>
        </is>
      </c>
      <c r="H166" t="inlineStr">
        <is>
          <t>CANDIDATA validada em 2026-09-14; SOURCE_ID nao atribuido (nasce na porta canonica)</t>
        </is>
      </c>
    </row>
    <row r="167">
      <c r="A167" t="inlineStr">
        <is>
          <t>IMPRENSA</t>
        </is>
      </c>
      <c r="B167" t="inlineStr">
        <is>
          <t>IT</t>
        </is>
      </c>
      <c r="C167" t="inlineStr">
        <is>
          <t>OlivoNews — giornale di olivicoltura</t>
        </is>
      </c>
      <c r="D167" t="inlineStr">
        <is>
          <t>https://www.olivonews.it/</t>
        </is>
      </c>
      <c r="E167" t="inlineStr">
        <is>
          <t>veiculo/boletim de OlivoNews sobre olivo, olio, tecnica — alimenta T1 (cultura e producao), T3 (praga, doenca e infestanti), T10 (mercado e industria)</t>
        </is>
      </c>
      <c r="F167" t="inlineStr">
        <is>
          <t>claude-code (missao ITALY-200-SOURCES-DISCOVERY, 2026-09-14)</t>
        </is>
      </c>
      <c r="G167" t="inlineStr">
        <is>
          <t>descoberta por familia de fonte 'imprensa_tecnica' e verificada por sonda HTTP</t>
        </is>
      </c>
      <c r="H167" t="inlineStr">
        <is>
          <t>CANDIDATA validada em 2026-09-14; SOURCE_ID nao atribuido (nasce na porta canonica)</t>
        </is>
      </c>
    </row>
    <row r="168">
      <c r="A168" t="inlineStr">
        <is>
          <t>IMPRENSA</t>
        </is>
      </c>
      <c r="B168" t="inlineStr">
        <is>
          <t>IT</t>
        </is>
      </c>
      <c r="C168" t="inlineStr">
        <is>
          <t>Pianeta PSR</t>
        </is>
      </c>
      <c r="D168" t="inlineStr">
        <is>
          <t>https://www.pianetapsr.it/</t>
        </is>
      </c>
      <c r="E168" t="inlineStr">
        <is>
          <t>veiculo/boletim de Rete Rurale Nazionale / MASAF sobre PSR, politica agricola, CAP — alimenta T12 (politica e ambiente agricola), T10 (mercado e industria)</t>
        </is>
      </c>
      <c r="F168" t="inlineStr">
        <is>
          <t>claude-code (missao ITALY-200-SOURCES-DISCOVERY, 2026-09-14)</t>
        </is>
      </c>
      <c r="G168" t="inlineStr">
        <is>
          <t>descoberta por familia de fonte 'imprensa_tecnica' e verificada por sonda HTTP</t>
        </is>
      </c>
      <c r="H168" t="inlineStr">
        <is>
          <t>CANDIDATA validada em 2026-09-14; SOURCE_ID nao atribuido (nasce na porta canonica)</t>
        </is>
      </c>
    </row>
    <row r="169">
      <c r="A169" t="inlineStr">
        <is>
          <t>IMPRENSA</t>
        </is>
      </c>
      <c r="B169" t="inlineStr">
        <is>
          <t>IT</t>
        </is>
      </c>
      <c r="C169" t="inlineStr">
        <is>
          <t>Rivista di Agraria</t>
        </is>
      </c>
      <c r="D169" t="inlineStr">
        <is>
          <t>https://www.rivistadiagraria.org/</t>
        </is>
      </c>
      <c r="E169" t="inlineStr">
        <is>
          <t>veiculo/boletim de Rivista di Agraria sobre divulgazione agraria — alimenta T1 (cultura e producao), T5 (ciencia), T12 (politica e ambiente agricola)</t>
        </is>
      </c>
      <c r="F169" t="inlineStr">
        <is>
          <t>claude-code (missao ITALY-200-SOURCES-DISCOVERY, 2026-09-14)</t>
        </is>
      </c>
      <c r="G169" t="inlineStr">
        <is>
          <t>descoberta por familia de fonte 'imprensa_tecnica' e verificada por sonda HTTP</t>
        </is>
      </c>
      <c r="H169" t="inlineStr">
        <is>
          <t>CANDIDATA validada em 2026-09-14; SOURCE_ID nao atribuido (nasce na porta canonica)</t>
        </is>
      </c>
    </row>
    <row r="170">
      <c r="A170" t="inlineStr">
        <is>
          <t>IMPRENSA</t>
        </is>
      </c>
      <c r="B170" t="inlineStr">
        <is>
          <t>IT</t>
        </is>
      </c>
      <c r="C170" t="inlineStr">
        <is>
          <t>Ruminantia — web magazine dei ruminanti</t>
        </is>
      </c>
      <c r="D170" t="inlineStr">
        <is>
          <t>https://www.ruminantia.it/</t>
        </is>
      </c>
      <c r="E170" t="inlineStr">
        <is>
          <t>veiculo/boletim de Ruminantia sobre bovini, latte, zootecnia — alimenta T10 (mercado e industria), T1 (cultura e producao), T7 (rede tecnica)</t>
        </is>
      </c>
      <c r="F170" t="inlineStr">
        <is>
          <t>claude-code (missao ITALY-200-SOURCES-DISCOVERY, 2026-09-14)</t>
        </is>
      </c>
      <c r="G170" t="inlineStr">
        <is>
          <t>descoberta por familia de fonte 'imprensa_tecnica' e verificada por sonda HTTP</t>
        </is>
      </c>
      <c r="H170" t="inlineStr">
        <is>
          <t>CANDIDATA validada em 2026-09-14; SOURCE_ID nao atribuido (nasce na porta canonica)</t>
        </is>
      </c>
    </row>
    <row r="171">
      <c r="A171" t="inlineStr">
        <is>
          <t>IMPRENSA</t>
        </is>
      </c>
      <c r="B171" t="inlineStr">
        <is>
          <t>IT</t>
        </is>
      </c>
      <c r="C171" t="inlineStr">
        <is>
          <t>Teatro Naturale</t>
        </is>
      </c>
      <c r="D171" t="inlineStr">
        <is>
          <t>https://www.teatronaturale.it/</t>
        </is>
      </c>
      <c r="E171" t="inlineStr">
        <is>
          <t>veiculo/boletim de Teatro Naturale sobre olivo, olio, tecnica — alimenta T1 (cultura e producao), T3 (praga, doenca e infestanti), T10 (mercado e industria)</t>
        </is>
      </c>
      <c r="F171" t="inlineStr">
        <is>
          <t>claude-code (missao ITALY-200-SOURCES-DISCOVERY, 2026-09-14)</t>
        </is>
      </c>
      <c r="G171" t="inlineStr">
        <is>
          <t>descoberta por familia de fonte 'imprensa_tecnica' e verificada por sonda HTTP</t>
        </is>
      </c>
      <c r="H171" t="inlineStr">
        <is>
          <t>CANDIDATA validada em 2026-09-14; SOURCE_ID nao atribuido (nasce na porta canonica)</t>
        </is>
      </c>
    </row>
    <row r="172">
      <c r="A172" t="inlineStr">
        <is>
          <t>IMPRENSA</t>
        </is>
      </c>
      <c r="B172" t="inlineStr">
        <is>
          <t>IT</t>
        </is>
      </c>
      <c r="C172" t="inlineStr">
        <is>
          <t>Agrisicilia</t>
        </is>
      </c>
      <c r="D172" t="inlineStr">
        <is>
          <t>https://www.agrisicilia.it/</t>
        </is>
      </c>
      <c r="E172" t="inlineStr">
        <is>
          <t>veiculo/boletim de Agrisicilia sobre agricoltura siciliana, agrumi — alimenta T1 (cultura e producao), T10 (mercado e industria), T12 (politica e ambiente agricola)</t>
        </is>
      </c>
      <c r="F172" t="inlineStr">
        <is>
          <t>claude-code (missao ITALY-200-SOURCES-DISCOVERY, 2026-09-14)</t>
        </is>
      </c>
      <c r="G172" t="inlineStr">
        <is>
          <t>descoberta por familia de fonte 'imprensa_setorial' e verificada por sonda HTTP</t>
        </is>
      </c>
      <c r="H172" t="inlineStr">
        <is>
          <t>CANDIDATA validada em 2026-09-14; SOURCE_ID nao atribuido (nasce na porta canonica)</t>
        </is>
      </c>
    </row>
    <row r="173">
      <c r="A173" t="inlineStr">
        <is>
          <t>IMPRENSA</t>
        </is>
      </c>
      <c r="B173" t="inlineStr">
        <is>
          <t>IT</t>
        </is>
      </c>
      <c r="C173" t="inlineStr">
        <is>
          <t>Georgofili INFO — notiziario</t>
        </is>
      </c>
      <c r="D173" t="inlineStr">
        <is>
          <t>https://www.georgofili.info/</t>
        </is>
      </c>
      <c r="E173" t="inlineStr">
        <is>
          <t>veiculo/boletim de Accademia dei Georgofili sobre notiziario tecnico, divulgazione — alimenta T5 (ciencia), T12 (politica e ambiente agricola), T11 (eventos)</t>
        </is>
      </c>
      <c r="F173" t="inlineStr">
        <is>
          <t>claude-code (missao ITALY-200-SOURCES-DISCOVERY, 2026-09-14)</t>
        </is>
      </c>
      <c r="G173" t="inlineStr">
        <is>
          <t>descoberta por familia de fonte 'imprensa_tecnica' e verificada por sonda HTTP</t>
        </is>
      </c>
      <c r="H173" t="inlineStr">
        <is>
          <t>CANDIDATA validada em 2026-09-14; SOURCE_ID nao atribuido (nasce na porta canonica)</t>
        </is>
      </c>
    </row>
    <row r="174">
      <c r="A174" t="inlineStr">
        <is>
          <t>IMPRENSA</t>
        </is>
      </c>
      <c r="B174" t="inlineStr">
        <is>
          <t>IT</t>
        </is>
      </c>
      <c r="C174" t="inlineStr">
        <is>
          <t>WineNews</t>
        </is>
      </c>
      <c r="D174" t="inlineStr">
        <is>
          <t>https://winenews.it/</t>
        </is>
      </c>
      <c r="E174" t="inlineStr">
        <is>
          <t>veiculo/boletim de WineNews sobre vino, mercato — alimenta T10 (mercado e industria), T1 (cultura e producao)</t>
        </is>
      </c>
      <c r="F174" t="inlineStr">
        <is>
          <t>claude-code (missao ITALY-200-SOURCES-DISCOVERY, 2026-09-14)</t>
        </is>
      </c>
      <c r="G174" t="inlineStr">
        <is>
          <t>descoberta por familia de fonte 'imprensa_setorial' e verificada por sonda HTTP</t>
        </is>
      </c>
      <c r="H174" t="inlineStr">
        <is>
          <t>CANDIDATA validada em 2026-09-14; SOURCE_ID nao atribuido (nasce na porta canonica)</t>
        </is>
      </c>
    </row>
    <row r="175">
      <c r="A175" t="inlineStr">
        <is>
          <t>IMPRENSA</t>
        </is>
      </c>
      <c r="B175" t="inlineStr">
        <is>
          <t>IT</t>
        </is>
      </c>
      <c r="C175" t="inlineStr">
        <is>
          <t>Zootecnica International</t>
        </is>
      </c>
      <c r="D175" t="inlineStr">
        <is>
          <t>https://www.zootecnicainternational.com/</t>
        </is>
      </c>
      <c r="E175" t="inlineStr">
        <is>
          <t>veiculo/boletim de Zootecnica International sobre avicoltura, zootecnia — alimenta T10 (mercado e industria), T1 (cultura e producao)</t>
        </is>
      </c>
      <c r="F175" t="inlineStr">
        <is>
          <t>claude-code (missao ITALY-200-SOURCES-DISCOVERY, 2026-09-14)</t>
        </is>
      </c>
      <c r="G175" t="inlineStr">
        <is>
          <t>descoberta por familia de fonte 'imprensa_setorial' e verificada por sonda HTTP</t>
        </is>
      </c>
      <c r="H175" t="inlineStr">
        <is>
          <t>CANDIDATA validada em 2026-09-14; SOURCE_ID nao atribuido (nasce na porta canonica)</t>
        </is>
      </c>
    </row>
    <row r="176">
      <c r="A176" t="inlineStr">
        <is>
          <t>INSTAGRAM</t>
        </is>
      </c>
      <c r="B176" t="inlineStr">
        <is>
          <t>IT</t>
        </is>
      </c>
      <c r="C176" t="inlineStr">
        <is>
          <t>Consorzio Tutela Vini d'Abruzzo — Instagram ufficiale</t>
        </is>
      </c>
      <c r="D176" t="inlineStr">
        <is>
          <t>https://www.instagram.com/vinidabruzzo</t>
        </is>
      </c>
      <c r="E176" t="inlineStr">
        <is>
          <t>conta oficial de Consorzio Tutela Vini d'Abruzzo sobre vino, DOC — alimenta T10 (mercado e industria), T1 (cultura e producao)</t>
        </is>
      </c>
      <c r="F176" t="inlineStr">
        <is>
          <t>claude-code (missao ITALY-200-SOURCES-DISCOVERY, 2026-09-14)</t>
        </is>
      </c>
      <c r="G176" t="inlineStr">
        <is>
          <t>declarado no site oficial do dono: https://www.vinidabruzzo.it/</t>
        </is>
      </c>
      <c r="H176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77">
      <c r="A177" t="inlineStr">
        <is>
          <t>INSTAGRAM</t>
        </is>
      </c>
      <c r="B177" t="inlineStr">
        <is>
          <t>IT</t>
        </is>
      </c>
      <c r="C177" t="inlineStr">
        <is>
          <t>CRPV — Centro Ricerche Produzioni Vegetali — Instagram ufficiale</t>
        </is>
      </c>
      <c r="D177" t="inlineStr">
        <is>
          <t>https://www.instagram.com/ri.nova.soc.coop</t>
        </is>
      </c>
      <c r="E177" t="inlineStr">
        <is>
          <t>conta oficial de CRPV sobre sperimentazione, ortofrutta, difesa — alimenta T5 (ciencia), T3 (praga, doenca e infestanti), T1 (cultura e producao)</t>
        </is>
      </c>
      <c r="F177" t="inlineStr">
        <is>
          <t>claude-code (missao ITALY-200-SOURCES-DISCOVERY, 2026-09-14)</t>
        </is>
      </c>
      <c r="G177" t="inlineStr">
        <is>
          <t>declarado no site oficial do dono: https://www.crpv.it/</t>
        </is>
      </c>
      <c r="H177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78">
      <c r="A178" t="inlineStr">
        <is>
          <t>INSTAGRAM</t>
        </is>
      </c>
      <c r="B178" t="inlineStr">
        <is>
          <t>IT</t>
        </is>
      </c>
      <c r="C178" t="inlineStr">
        <is>
          <t>Caviro — Instagram ufficiale</t>
        </is>
      </c>
      <c r="D178" t="inlineStr">
        <is>
          <t>https://www.instagram.com/gruppocaviro</t>
        </is>
      </c>
      <c r="E178" t="inlineStr">
        <is>
          <t>conta oficial de Caviro sobre cooperativa vitivinicola, economia circolare — alimenta T10 (mercado e industria), T1 (cultura e producao)</t>
        </is>
      </c>
      <c r="F178" t="inlineStr">
        <is>
          <t>claude-code (missao ITALY-200-SOURCES-DISCOVERY, 2026-09-14)</t>
        </is>
      </c>
      <c r="G178" t="inlineStr">
        <is>
          <t>declarado no site oficial do dono: https://www.caviro.com/</t>
        </is>
      </c>
      <c r="H178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79">
      <c r="A179" t="inlineStr">
        <is>
          <t>INSTAGRAM</t>
        </is>
      </c>
      <c r="B179" t="inlineStr">
        <is>
          <t>IT</t>
        </is>
      </c>
      <c r="C179" t="inlineStr">
        <is>
          <t>Cifo — Instagram ufficiale</t>
        </is>
      </c>
      <c r="D179" t="inlineStr">
        <is>
          <t>https://www.instagram.com/cifo_giardinaggio</t>
        </is>
      </c>
      <c r="E179" t="inlineStr">
        <is>
          <t>conta oficial de Cifo sobre nutrizione vegetale — alimenta T9 (concorrentes), T10 (mercado e industria)</t>
        </is>
      </c>
      <c r="F179" t="inlineStr">
        <is>
          <t>claude-code (missao ITALY-200-SOURCES-DISCOVERY, 2026-09-14)</t>
        </is>
      </c>
      <c r="G179" t="inlineStr">
        <is>
          <t>declarado no site oficial do dono: https://www.cifo.it/</t>
        </is>
      </c>
      <c r="H179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80">
      <c r="A180" t="inlineStr">
        <is>
          <t>INSTAGRAM</t>
        </is>
      </c>
      <c r="B180" t="inlineStr">
        <is>
          <t>IT</t>
        </is>
      </c>
      <c r="C180" t="inlineStr">
        <is>
          <t>Consorzio di Tutela dell'Aceto Balsamico di Modena — Instagram ufficiale</t>
        </is>
      </c>
      <c r="D180" t="inlineStr">
        <is>
          <t>https://www.instagram.com/acetobalsamicomodena</t>
        </is>
      </c>
      <c r="E180" t="inlineStr">
        <is>
          <t>conta oficial de Consorzio Aceto Balsamico di Modena sobre IGP, trasformazione — alimenta T10 (mercado e industria)</t>
        </is>
      </c>
      <c r="F180" t="inlineStr">
        <is>
          <t>claude-code (missao ITALY-200-SOURCES-DISCOVERY, 2026-09-14)</t>
        </is>
      </c>
      <c r="G180" t="inlineStr">
        <is>
          <t>declarado no site oficial do dono: https://www.consorziobalsamico.it/</t>
        </is>
      </c>
      <c r="H180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81">
      <c r="A181" t="inlineStr">
        <is>
          <t>INSTAGRAM</t>
        </is>
      </c>
      <c r="B181" t="inlineStr">
        <is>
          <t>IT</t>
        </is>
      </c>
      <c r="C181" t="inlineStr">
        <is>
          <t>ERSA FVG — Agenzia regionale per lo sviluppo rurale — Instagram ufficiale</t>
        </is>
      </c>
      <c r="D181" t="inlineStr">
        <is>
          <t>https://www.instagram.com/ersa_fvg_informa</t>
        </is>
      </c>
      <c r="E181" t="inlineStr">
        <is>
          <t>conta oficial de Regione Friuli-Venezia Giulia sobre servizio fitosanitario, vite, divulgazione — alimenta T3 (praga, doenca e infestanti), T1 (cultura e producao), T7 (rede tecnica)</t>
        </is>
      </c>
      <c r="F181" t="inlineStr">
        <is>
          <t>claude-code (missao ITALY-200-SOURCES-DISCOVERY, 2026-09-14)</t>
        </is>
      </c>
      <c r="G181" t="inlineStr">
        <is>
          <t>declarado no site oficial do dono: https://www.ersa.fvg.it/</t>
        </is>
      </c>
      <c r="H181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82">
      <c r="A182" t="inlineStr">
        <is>
          <t>INSTAGRAM</t>
        </is>
      </c>
      <c r="B182" t="inlineStr">
        <is>
          <t>IT</t>
        </is>
      </c>
      <c r="C182" t="inlineStr">
        <is>
          <t>ARSIAL — Agenzia Regionale Sviluppo Innovazione Agricoltura Lazio — Instagram ufficiale</t>
        </is>
      </c>
      <c r="D182" t="inlineStr">
        <is>
          <t>https://www.instagram.com/arsial.lazio</t>
        </is>
      </c>
      <c r="E182" t="inlineStr">
        <is>
          <t>conta oficial de Regione Lazio sobre sviluppo agricolo, biodiversita, assistenza — alimenta T1 (cultura e producao), T7 (rede tecnica), T3 (praga, doenca e infestanti)</t>
        </is>
      </c>
      <c r="F182" t="inlineStr">
        <is>
          <t>claude-code (missao ITALY-200-SOURCES-DISCOVERY, 2026-09-14)</t>
        </is>
      </c>
      <c r="G182" t="inlineStr">
        <is>
          <t>declarado no site oficial do dono: https://www.arsial.it/</t>
        </is>
      </c>
      <c r="H182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83">
      <c r="A183" t="inlineStr">
        <is>
          <t>INSTAGRAM</t>
        </is>
      </c>
      <c r="B183" t="inlineStr">
        <is>
          <t>IT</t>
        </is>
      </c>
      <c r="C183" t="inlineStr">
        <is>
          <t>ARPA Liguria — Instagram ufficiale</t>
        </is>
      </c>
      <c r="D183" t="inlineStr">
        <is>
          <t>https://www.instagram.com/arpalagenzia</t>
        </is>
      </c>
      <c r="E183" t="inlineStr">
        <is>
          <t>conta oficial de ARPAL sobre meteo, ambiente, allerta — alimenta T2 (clima/acqua/suolo), T12 (politica e ambiente agricola)</t>
        </is>
      </c>
      <c r="F183" t="inlineStr">
        <is>
          <t>claude-code (missao ITALY-200-SOURCES-DISCOVERY, 2026-09-14)</t>
        </is>
      </c>
      <c r="G183" t="inlineStr">
        <is>
          <t>declarado no site oficial do dono: https://www.arpal.liguria.it/</t>
        </is>
      </c>
      <c r="H183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84">
      <c r="A184" t="inlineStr">
        <is>
          <t>INSTAGRAM</t>
        </is>
      </c>
      <c r="B184" t="inlineStr">
        <is>
          <t>IT</t>
        </is>
      </c>
      <c r="C184" t="inlineStr">
        <is>
          <t>ARPA Lombardia — Instagram ufficiale</t>
        </is>
      </c>
      <c r="D184" t="inlineStr">
        <is>
          <t>https://www.instagram.com/arpa.lombardia</t>
        </is>
      </c>
      <c r="E184" t="inlineStr">
        <is>
          <t>conta oficial de ARPA Lombardia sobre meteo, aria, acqua, agrometeo — alimenta T2 (clima/acqua/suolo), T12 (politica e ambiente agricola)</t>
        </is>
      </c>
      <c r="F184" t="inlineStr">
        <is>
          <t>claude-code (missao ITALY-200-SOURCES-DISCOVERY, 2026-09-14)</t>
        </is>
      </c>
      <c r="G184" t="inlineStr">
        <is>
          <t>declarado no site oficial do dono: https://www.arpalombardia.it/</t>
        </is>
      </c>
      <c r="H184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85">
      <c r="A185" t="inlineStr">
        <is>
          <t>INSTAGRAM</t>
        </is>
      </c>
      <c r="B185" t="inlineStr">
        <is>
          <t>IT</t>
        </is>
      </c>
      <c r="C185" t="inlineStr">
        <is>
          <t>Confagricoltura Lombardia — Instagram ufficiale</t>
        </is>
      </c>
      <c r="D185" t="inlineStr">
        <is>
          <t>https://www.instagram.com/confagricoltura_lombardia</t>
        </is>
      </c>
      <c r="E185" t="inlineStr">
        <is>
          <t>conta oficial de Confagricoltura sobre organizzazione agricola regionale — alimenta T12 (politica e ambiente agricola), T7 (rede tecnica)</t>
        </is>
      </c>
      <c r="F185" t="inlineStr">
        <is>
          <t>claude-code (missao ITALY-200-SOURCES-DISCOVERY, 2026-09-14)</t>
        </is>
      </c>
      <c r="G185" t="inlineStr">
        <is>
          <t>declarado no site oficial do dono: https://www.confagricolturalombardia.it/</t>
        </is>
      </c>
      <c r="H185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86">
      <c r="A186" t="inlineStr">
        <is>
          <t>INSTAGRAM</t>
        </is>
      </c>
      <c r="B186" t="inlineStr">
        <is>
          <t>IT</t>
        </is>
      </c>
      <c r="C186" t="inlineStr">
        <is>
          <t>Consorzio di Bonifica Est Ticino Villoresi — Instagram ufficiale</t>
        </is>
      </c>
      <c r="D186" t="inlineStr">
        <is>
          <t>https://www.instagram.com/etvilloresi</t>
        </is>
      </c>
      <c r="E186" t="inlineStr">
        <is>
          <t>conta oficial de Consorzio Est Ticino Villoresi sobre irrigazione, risaia, acqua — alimenta T2 (clima/acqua/suolo), T1 (cultura e producao)</t>
        </is>
      </c>
      <c r="F186" t="inlineStr">
        <is>
          <t>claude-code (missao ITALY-200-SOURCES-DISCOVERY, 2026-09-14)</t>
        </is>
      </c>
      <c r="G186" t="inlineStr">
        <is>
          <t>declarado no site oficial do dono: https://www.etvilloresi.it/</t>
        </is>
      </c>
      <c r="H186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87">
      <c r="A187" t="inlineStr">
        <is>
          <t>INSTAGRAM</t>
        </is>
      </c>
      <c r="B187" t="inlineStr">
        <is>
          <t>IT</t>
        </is>
      </c>
      <c r="C187" t="inlineStr">
        <is>
          <t>Consorzio di Tutela del Grana Padano — Instagram ufficiale</t>
        </is>
      </c>
      <c r="D187" t="inlineStr">
        <is>
          <t>https://www.instagram.com/granapadano</t>
        </is>
      </c>
      <c r="E187" t="inlineStr">
        <is>
          <t>conta oficial de Consorzio Tutela Grana Padano sobre DOP, latte, filiera — alimenta T10 (mercado e industria), T1 (cultura e producao)</t>
        </is>
      </c>
      <c r="F187" t="inlineStr">
        <is>
          <t>claude-code (missao ITALY-200-SOURCES-DISCOVERY, 2026-09-14)</t>
        </is>
      </c>
      <c r="G187" t="inlineStr">
        <is>
          <t>declarado no site oficial do dono: https://www.granapadano.it/</t>
        </is>
      </c>
      <c r="H187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88">
      <c r="A188" t="inlineStr">
        <is>
          <t>INSTAGRAM</t>
        </is>
      </c>
      <c r="B188" t="inlineStr">
        <is>
          <t>IT</t>
        </is>
      </c>
      <c r="C188" t="inlineStr">
        <is>
          <t>Fondazione Minoprio — Instagram ufficiale</t>
        </is>
      </c>
      <c r="D188" t="inlineStr">
        <is>
          <t>https://www.instagram.com/fondminoprio</t>
        </is>
      </c>
      <c r="E188" t="inlineStr">
        <is>
          <t>conta oficial de Fondazione Minoprio sobre formazione, floricoltura, sperimentazione — alimenta T5 (ciencia), T7 (rede tecnica), T1 (cultura e producao)</t>
        </is>
      </c>
      <c r="F188" t="inlineStr">
        <is>
          <t>claude-code (missao ITALY-200-SOURCES-DISCOVERY, 2026-09-14)</t>
        </is>
      </c>
      <c r="G188" t="inlineStr">
        <is>
          <t>declarado no site oficial do dono: https://www.fondazioneminoprio.it/</t>
        </is>
      </c>
      <c r="H188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89">
      <c r="A189" t="inlineStr">
        <is>
          <t>INSTAGRAM</t>
        </is>
      </c>
      <c r="B189" t="inlineStr">
        <is>
          <t>IT</t>
        </is>
      </c>
      <c r="C189" t="inlineStr">
        <is>
          <t>ASSAM Marche — Agenzia Servizi Settore Agroalimentare delle Marche — Instagram ufficiale</t>
        </is>
      </c>
      <c r="D189" t="inlineStr">
        <is>
          <t>https://www.instagram.com/amapmarche</t>
        </is>
      </c>
      <c r="E189" t="inlineStr">
        <is>
          <t>conta oficial de Regione Marche sobre servizio fitosanitario, agrometeo, assistenza tecnica — alimenta T3 (praga, doenca e infestanti), T2 (clima/acqua/suolo), T7 (rede tecnica)</t>
        </is>
      </c>
      <c r="F189" t="inlineStr">
        <is>
          <t>claude-code (missao ITALY-200-SOURCES-DISCOVERY, 2026-09-14)</t>
        </is>
      </c>
      <c r="G189" t="inlineStr">
        <is>
          <t>declarado no site oficial do dono: https://www.assam.marche.it/</t>
        </is>
      </c>
      <c r="H189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90">
      <c r="A190" t="inlineStr">
        <is>
          <t>INSTAGRAM</t>
        </is>
      </c>
      <c r="B190" t="inlineStr">
        <is>
          <t>IT</t>
        </is>
      </c>
      <c r="C190" t="inlineStr">
        <is>
          <t>ARPA Piemonte — Instagram ufficiale</t>
        </is>
      </c>
      <c r="D190" t="inlineStr">
        <is>
          <t>https://www.instagram.com/arpapiemonte</t>
        </is>
      </c>
      <c r="E190" t="inlineStr">
        <is>
          <t>conta oficial de ARPA Piemonte sobre meteo, clima, agrometeorologia — alimenta T2 (clima/acqua/suolo), T12 (politica e ambiente agricola)</t>
        </is>
      </c>
      <c r="F190" t="inlineStr">
        <is>
          <t>claude-code (missao ITALY-200-SOURCES-DISCOVERY, 2026-09-14)</t>
        </is>
      </c>
      <c r="G190" t="inlineStr">
        <is>
          <t>declarado no site oficial do dono: https://www.arpa.piemonte.it/</t>
        </is>
      </c>
      <c r="H190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91">
      <c r="A191" t="inlineStr">
        <is>
          <t>INSTAGRAM</t>
        </is>
      </c>
      <c r="B191" t="inlineStr">
        <is>
          <t>IT</t>
        </is>
      </c>
      <c r="C191" t="inlineStr">
        <is>
          <t>Agrilevante — Instagram ufficiale</t>
        </is>
      </c>
      <c r="D191" t="inlineStr">
        <is>
          <t>https://www.instagram.com/agrilevantebyeima</t>
        </is>
      </c>
      <c r="E191" t="inlineStr">
        <is>
          <t>conta oficial de FederUnacoma sobre fiera meccanizzazione mediterraneo — alimenta T11 (eventos), T10 (mercado e industria)</t>
        </is>
      </c>
      <c r="F191" t="inlineStr">
        <is>
          <t>claude-code (missao ITALY-200-SOURCES-DISCOVERY, 2026-09-14)</t>
        </is>
      </c>
      <c r="G191" t="inlineStr">
        <is>
          <t>declarado no site oficial do dono: https://www.agrilevante.eu/</t>
        </is>
      </c>
      <c r="H191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92">
      <c r="A192" t="inlineStr">
        <is>
          <t>INSTAGRAM</t>
        </is>
      </c>
      <c r="B192" t="inlineStr">
        <is>
          <t>IT</t>
        </is>
      </c>
      <c r="C192" t="inlineStr">
        <is>
          <t>Consorzio Tutela Pecorino Romano — Instagram ufficiale</t>
        </is>
      </c>
      <c r="D192" t="inlineStr">
        <is>
          <t>https://www.instagram.com/consorziopecorinoromano</t>
        </is>
      </c>
      <c r="E192" t="inlineStr">
        <is>
          <t>conta oficial de Consorzio Pecorino Romano sobre DOP, ovino — alimenta T10 (mercado e industria)</t>
        </is>
      </c>
      <c r="F192" t="inlineStr">
        <is>
          <t>claude-code (missao ITALY-200-SOURCES-DISCOVERY, 2026-09-14)</t>
        </is>
      </c>
      <c r="G192" t="inlineStr">
        <is>
          <t>declarado no site oficial do dono: https://www.pecorinoromano.com/</t>
        </is>
      </c>
      <c r="H192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93">
      <c r="A193" t="inlineStr">
        <is>
          <t>INSTAGRAM</t>
        </is>
      </c>
      <c r="B193" t="inlineStr">
        <is>
          <t>IT</t>
        </is>
      </c>
      <c r="C193" t="inlineStr">
        <is>
          <t>Consorzio di Tutela Arancia Rossa di Sicilia IGP — Instagram ufficiale</t>
        </is>
      </c>
      <c r="D193" t="inlineStr">
        <is>
          <t>https://www.instagram.com/aranciarossaigp</t>
        </is>
      </c>
      <c r="E193" t="inlineStr">
        <is>
          <t>conta oficial de Consorzio Arancia Rossa di Sicilia sobre agrumi, IGP — alimenta T10 (mercado e industria), T1 (cultura e producao)</t>
        </is>
      </c>
      <c r="F193" t="inlineStr">
        <is>
          <t>claude-code (missao ITALY-200-SOURCES-DISCOVERY, 2026-09-14)</t>
        </is>
      </c>
      <c r="G193" t="inlineStr">
        <is>
          <t>declarado no site oficial do dono: https://www.tutelaaranciarossa.it/</t>
        </is>
      </c>
      <c r="H193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94">
      <c r="A194" t="inlineStr">
        <is>
          <t>INSTAGRAM</t>
        </is>
      </c>
      <c r="B194" t="inlineStr">
        <is>
          <t>IT</t>
        </is>
      </c>
      <c r="C194" t="inlineStr">
        <is>
          <t>Consorzio Vino Chianti Classico — Instagram ufficiale</t>
        </is>
      </c>
      <c r="D194" t="inlineStr">
        <is>
          <t>https://www.instagram.com/chianticlassico</t>
        </is>
      </c>
      <c r="E194" t="inlineStr">
        <is>
          <t>conta oficial de Consorzio Vino Chianti Classico sobre vino, DOCG, viticoltura — alimenta T10 (mercado e industria), T1 (cultura e producao)</t>
        </is>
      </c>
      <c r="F194" t="inlineStr">
        <is>
          <t>claude-code (missao ITALY-200-SOURCES-DISCOVERY, 2026-09-14)</t>
        </is>
      </c>
      <c r="G194" t="inlineStr">
        <is>
          <t>declarado no site oficial do dono: https://www.chianticlassico.com/</t>
        </is>
      </c>
      <c r="H194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95">
      <c r="A195" t="inlineStr">
        <is>
          <t>INSTAGRAM</t>
        </is>
      </c>
      <c r="B195" t="inlineStr">
        <is>
          <t>IT</t>
        </is>
      </c>
      <c r="C195" t="inlineStr">
        <is>
          <t>Consorzio del Vino Brunello di Montalcino — Instagram ufficiale</t>
        </is>
      </c>
      <c r="D195" t="inlineStr">
        <is>
          <t>https://www.instagram.com/brunellodimontalcino</t>
        </is>
      </c>
      <c r="E195" t="inlineStr">
        <is>
          <t>conta oficial de Consorzio Brunello di Montalcino sobre vino, DOCG — alimenta T10 (mercado e industria), T1 (cultura e producao)</t>
        </is>
      </c>
      <c r="F195" t="inlineStr">
        <is>
          <t>claude-code (missao ITALY-200-SOURCES-DISCOVERY, 2026-09-14)</t>
        </is>
      </c>
      <c r="G195" t="inlineStr">
        <is>
          <t>declarado no site oficial do dono: https://www.consorziobrunellodimontalcino.it/</t>
        </is>
      </c>
      <c r="H195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96">
      <c r="A196" t="inlineStr">
        <is>
          <t>INSTAGRAM</t>
        </is>
      </c>
      <c r="B196" t="inlineStr">
        <is>
          <t>IT</t>
        </is>
      </c>
      <c r="C196" t="inlineStr">
        <is>
          <t>APPA Trento — Agenzia provinciale protezione ambiente — Instagram ufficiale</t>
        </is>
      </c>
      <c r="D196" t="inlineStr">
        <is>
          <t>https://www.instagram.com/provinciatrento</t>
        </is>
      </c>
      <c r="E196" t="inlineStr">
        <is>
          <t>conta oficial de Provincia autonoma di Trento sobre ambiente, acque — alimenta T2 (clima/acqua/suolo), T12 (politica e ambiente agricola)</t>
        </is>
      </c>
      <c r="F196" t="inlineStr">
        <is>
          <t>claude-code (missao ITALY-200-SOURCES-DISCOVERY, 2026-09-14)</t>
        </is>
      </c>
      <c r="G196" t="inlineStr">
        <is>
          <t>declarado no site oficial do dono: https://appa.provincia.tn.it/</t>
        </is>
      </c>
      <c r="H196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97">
      <c r="A197" t="inlineStr">
        <is>
          <t>INSTAGRAM</t>
        </is>
      </c>
      <c r="B197" t="inlineStr">
        <is>
          <t>IT</t>
        </is>
      </c>
      <c r="C197" t="inlineStr">
        <is>
          <t>ARPA Valle d'Aosta — Instagram ufficiale</t>
        </is>
      </c>
      <c r="D197" t="inlineStr">
        <is>
          <t>https://www.instagram.com/arpavda</t>
        </is>
      </c>
      <c r="E197" t="inlineStr">
        <is>
          <t>conta oficial de ARPA Valle d'Aosta sobre ambiente, meteo alpino, neve — alimenta T2 (clima/acqua/suolo), T12 (politica e ambiente agricola)</t>
        </is>
      </c>
      <c r="F197" t="inlineStr">
        <is>
          <t>claude-code (missao ITALY-200-SOURCES-DISCOVERY, 2026-09-14)</t>
        </is>
      </c>
      <c r="G197" t="inlineStr">
        <is>
          <t>declarado no site oficial do dono: https://www.arpa.vda.it/</t>
        </is>
      </c>
      <c r="H197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98">
      <c r="A198" t="inlineStr">
        <is>
          <t>INSTAGRAM</t>
        </is>
      </c>
      <c r="B198" t="inlineStr">
        <is>
          <t>IT</t>
        </is>
      </c>
      <c r="C198" t="inlineStr">
        <is>
          <t>Consorzio Tutela Prosecco DOC — Instagram ufficiale</t>
        </is>
      </c>
      <c r="D198" t="inlineStr">
        <is>
          <t>https://www.instagram.com/coneglianovaldobbiadenedocg</t>
        </is>
      </c>
      <c r="E198" t="inlineStr">
        <is>
          <t>conta oficial de Consorzio Tutela Prosecco DOC sobre vino, DOC, viticoltura — alimenta T10 (mercado e industria), T1 (cultura e producao)</t>
        </is>
      </c>
      <c r="F198" t="inlineStr">
        <is>
          <t>claude-code (missao ITALY-200-SOURCES-DISCOVERY, 2026-09-14)</t>
        </is>
      </c>
      <c r="G198" t="inlineStr">
        <is>
          <t>declarado no site oficial do dono: https://www.prosecco.it/</t>
        </is>
      </c>
      <c r="H198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199">
      <c r="A199" t="inlineStr">
        <is>
          <t>INSTAGRAM</t>
        </is>
      </c>
      <c r="B199" t="inlineStr">
        <is>
          <t>IT</t>
        </is>
      </c>
      <c r="C199" t="inlineStr">
        <is>
          <t>Consorzio Tutela Vini Valpolicella — Instagram ufficiale</t>
        </is>
      </c>
      <c r="D199" t="inlineStr">
        <is>
          <t>https://www.instagram.com/valpolicellawines</t>
        </is>
      </c>
      <c r="E199" t="inlineStr">
        <is>
          <t>conta oficial de Consorzio Tutela Vini Valpolicella sobre vino, DOC, viticoltura — alimenta T10 (mercado e industria), T1 (cultura e producao)</t>
        </is>
      </c>
      <c r="F199" t="inlineStr">
        <is>
          <t>claude-code (missao ITALY-200-SOURCES-DISCOVERY, 2026-09-14)</t>
        </is>
      </c>
      <c r="G199" t="inlineStr">
        <is>
          <t>declarado no site oficial do dono: https://www.consorziovalpolicella.it/</t>
        </is>
      </c>
      <c r="H199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200">
      <c r="A200" t="inlineStr">
        <is>
          <t>INSTAGRAM</t>
        </is>
      </c>
      <c r="B200" t="inlineStr">
        <is>
          <t>IT</t>
        </is>
      </c>
      <c r="C200" t="inlineStr">
        <is>
          <t>Consorzio di Bonifica Piave — Instagram ufficiale</t>
        </is>
      </c>
      <c r="D200" t="inlineStr">
        <is>
          <t>https://www.instagram.com/consorziopiave</t>
        </is>
      </c>
      <c r="E200" t="inlineStr">
        <is>
          <t>conta oficial de Consorzio di Bonifica Piave sobre irrigazione, acqua — alimenta T2 (clima/acqua/suolo), T1 (cultura e producao)</t>
        </is>
      </c>
      <c r="F200" t="inlineStr">
        <is>
          <t>claude-code (missao ITALY-200-SOURCES-DISCOVERY, 2026-09-14)</t>
        </is>
      </c>
      <c r="G200" t="inlineStr">
        <is>
          <t>declarado no site oficial do dono: https://www.consorziopiave.it/</t>
        </is>
      </c>
      <c r="H200" t="inlineStr">
        <is>
          <t>owner provado pela declaracao do proprio dono; a plataforma nao permite prova direta a partir do datacenter (medido: Facebook devolve 200 para pagina inventada, Instagram devolve 429 para tudo) · CANDIDATA validada em 2026-09-14; SOURCE_ID nao atribuido (nasce na porta canonica)</t>
        </is>
      </c>
    </row>
    <row r="201">
      <c r="A201" t="inlineStr">
        <is>
          <t>LINKEDIN</t>
        </is>
      </c>
      <c r="B201" t="inlineStr">
        <is>
          <t>IT</t>
        </is>
      </c>
      <c r="C201" t="inlineStr">
        <is>
          <t>Valagro — Linkedin ufficiale</t>
        </is>
      </c>
      <c r="D201" t="inlineStr">
        <is>
          <t>https://www.linkedin.com/company/syngenta</t>
        </is>
      </c>
      <c r="E201" t="inlineStr">
        <is>
          <t>pagina oficial de Valagro — Syngenta Group sobre biostimolanti, nutrizione — alimenta T9 (concorrentes), T10 (mercado e industria)</t>
        </is>
      </c>
      <c r="F201" t="inlineStr">
        <is>
          <t>claude-code (missao ITALY-200-SOURCES-DISCOVERY, 2026-09-14)</t>
        </is>
      </c>
      <c r="G201" t="inlineStr">
        <is>
          <t>declarado no site oficial do dono: https://www.valagro.com/it/</t>
        </is>
      </c>
      <c r="H201" t="inlineStr">
        <is>
          <t>CANDIDATA validada em 2026-09-14; SOURCE_ID nao atribuido (nasce na porta canonica)</t>
        </is>
      </c>
    </row>
    <row r="202">
      <c r="A202" t="inlineStr">
        <is>
          <t>LINKEDIN</t>
        </is>
      </c>
      <c r="B202" t="inlineStr">
        <is>
          <t>IT</t>
        </is>
      </c>
      <c r="C202" t="inlineStr">
        <is>
          <t>CRPV — Centro Ricerche Produzioni Vegetali — Linkedin ufficiale</t>
        </is>
      </c>
      <c r="D202" t="inlineStr">
        <is>
          <t>https://www.linkedin.com/company/rinovaricerca</t>
        </is>
      </c>
      <c r="E202" t="inlineStr">
        <is>
          <t>pagina oficial de CRPV sobre sperimentazione, ortofrutta, difesa — alimenta T5 (ciencia), T3 (praga, doenca e infestanti), T1 (cultura e producao)</t>
        </is>
      </c>
      <c r="F202" t="inlineStr">
        <is>
          <t>claude-code (missao ITALY-200-SOURCES-DISCOVERY, 2026-09-14)</t>
        </is>
      </c>
      <c r="G202" t="inlineStr">
        <is>
          <t>declarado no site oficial do dono: https://www.crpv.it/</t>
        </is>
      </c>
      <c r="H202" t="inlineStr">
        <is>
          <t>CANDIDATA validada em 2026-09-14; SOURCE_ID nao atribuido (nasce na porta canonica)</t>
        </is>
      </c>
    </row>
    <row r="203">
      <c r="A203" t="inlineStr">
        <is>
          <t>LINKEDIN</t>
        </is>
      </c>
      <c r="B203" t="inlineStr">
        <is>
          <t>IT</t>
        </is>
      </c>
      <c r="C203" t="inlineStr">
        <is>
          <t>Caviro — Linkedin ufficiale</t>
        </is>
      </c>
      <c r="D203" t="inlineStr">
        <is>
          <t>https://www.linkedin.com/company/gruppocaviro</t>
        </is>
      </c>
      <c r="E203" t="inlineStr">
        <is>
          <t>pagina oficial de Caviro sobre cooperativa vitivinicola, economia circolare — alimenta T10 (mercado e industria), T1 (cultura e producao)</t>
        </is>
      </c>
      <c r="F203" t="inlineStr">
        <is>
          <t>claude-code (missao ITALY-200-SOURCES-DISCOVERY, 2026-09-14)</t>
        </is>
      </c>
      <c r="G203" t="inlineStr">
        <is>
          <t>declarado no site oficial do dono: https://www.caviro.com/</t>
        </is>
      </c>
      <c r="H203" t="inlineStr">
        <is>
          <t>CANDIDATA validada em 2026-09-14; SOURCE_ID nao atribuido (nasce na porta canonica)</t>
        </is>
      </c>
    </row>
    <row r="204">
      <c r="A204" t="inlineStr">
        <is>
          <t>LINKEDIN</t>
        </is>
      </c>
      <c r="B204" t="inlineStr">
        <is>
          <t>IT</t>
        </is>
      </c>
      <c r="C204" t="inlineStr">
        <is>
          <t>Cifo — Linkedin ufficiale</t>
        </is>
      </c>
      <c r="D204" t="inlineStr">
        <is>
          <t>https://www.linkedin.com/company/cifo-s.r.l.</t>
        </is>
      </c>
      <c r="E204" t="inlineStr">
        <is>
          <t>pagina oficial de Cifo sobre nutrizione vegetale — alimenta T9 (concorrentes), T10 (mercado e industria)</t>
        </is>
      </c>
      <c r="F204" t="inlineStr">
        <is>
          <t>claude-code (missao ITALY-200-SOURCES-DISCOVERY, 2026-09-14)</t>
        </is>
      </c>
      <c r="G204" t="inlineStr">
        <is>
          <t>declarado no site oficial do dono: https://www.cifo.it/</t>
        </is>
      </c>
      <c r="H204" t="inlineStr">
        <is>
          <t>CANDIDATA validada em 2026-09-14; SOURCE_ID nao atribuido (nasce na porta canonica)</t>
        </is>
      </c>
    </row>
    <row r="205">
      <c r="A205" t="inlineStr">
        <is>
          <t>LINKEDIN</t>
        </is>
      </c>
      <c r="B205" t="inlineStr">
        <is>
          <t>IT</t>
        </is>
      </c>
      <c r="C205" t="inlineStr">
        <is>
          <t>Fieravicola — Linkedin ufficiale</t>
        </is>
      </c>
      <c r="D205" t="inlineStr">
        <is>
          <t>https://www.linkedin.com/company/fieravicola</t>
        </is>
      </c>
      <c r="E205" t="inlineStr">
        <is>
          <t>pagina oficial de Fieravicola sobre fiera avicoltura — alimenta T11 (eventos), T10 (mercado e industria)</t>
        </is>
      </c>
      <c r="F205" t="inlineStr">
        <is>
          <t>claude-code (missao ITALY-200-SOURCES-DISCOVERY, 2026-09-14)</t>
        </is>
      </c>
      <c r="G205" t="inlineStr">
        <is>
          <t>declarado no site oficial do dono: https://www.fieravicola.com/</t>
        </is>
      </c>
      <c r="H205" t="inlineStr">
        <is>
          <t>CANDIDATA validada em 2026-09-14; SOURCE_ID nao atribuido (nasce na porta canonica)</t>
        </is>
      </c>
    </row>
    <row r="206">
      <c r="A206" t="inlineStr">
        <is>
          <t>LINKEDIN</t>
        </is>
      </c>
      <c r="B206" t="inlineStr">
        <is>
          <t>IT</t>
        </is>
      </c>
      <c r="C206" t="inlineStr">
        <is>
          <t>Macfrut — Linkedin ufficiale</t>
        </is>
      </c>
      <c r="D206" t="inlineStr">
        <is>
          <t>https://www.linkedin.com/company/macfrut-fiera</t>
        </is>
      </c>
      <c r="E206" t="inlineStr">
        <is>
          <t>pagina oficial de Cesena Fiera sobre fiera ortofrutta — alimenta T11 (eventos), T10 (mercado e industria)</t>
        </is>
      </c>
      <c r="F206" t="inlineStr">
        <is>
          <t>claude-code (missao ITALY-200-SOURCES-DISCOVERY, 2026-09-14)</t>
        </is>
      </c>
      <c r="G206" t="inlineStr">
        <is>
          <t>declarado no site oficial do dono: https://www.macfrut.com/</t>
        </is>
      </c>
      <c r="H206" t="inlineStr">
        <is>
          <t>CANDIDATA validada em 2026-09-14; SOURCE_ID nao atribuido (nasce na porta canonica)</t>
        </is>
      </c>
    </row>
    <row r="207">
      <c r="A207" t="inlineStr">
        <is>
          <t>LINKEDIN</t>
        </is>
      </c>
      <c r="B207" t="inlineStr">
        <is>
          <t>IT</t>
        </is>
      </c>
      <c r="C207" t="inlineStr">
        <is>
          <t>SANA — Salone del biologico e naturale — Linkedin ufficiale</t>
        </is>
      </c>
      <c r="D207" t="inlineStr">
        <is>
          <t>https://www.linkedin.com/company/sanafiera</t>
        </is>
      </c>
      <c r="E207" t="inlineStr">
        <is>
          <t>pagina oficial de BolognaFiere sobre fiera biologico — alimenta T11 (eventos), T10 (mercado e industria)</t>
        </is>
      </c>
      <c r="F207" t="inlineStr">
        <is>
          <t>claude-code (missao ITALY-200-SOURCES-DISCOVERY, 2026-09-14)</t>
        </is>
      </c>
      <c r="G207" t="inlineStr">
        <is>
          <t>declarado no site oficial do dono: https://www.sana.it/</t>
        </is>
      </c>
      <c r="H207" t="inlineStr">
        <is>
          <t>CANDIDATA validada em 2026-09-14; SOURCE_ID nao atribuido (nasce na porta canonica)</t>
        </is>
      </c>
    </row>
    <row r="208">
      <c r="A208" t="inlineStr">
        <is>
          <t>LINKEDIN</t>
        </is>
      </c>
      <c r="B208" t="inlineStr">
        <is>
          <t>IT</t>
        </is>
      </c>
      <c r="C208" t="inlineStr">
        <is>
          <t>Terra e Vita — Edagricole — Linkedin ufficiale</t>
        </is>
      </c>
      <c r="D208" t="inlineStr">
        <is>
          <t>https://www.linkedin.com/showcase/edagricole</t>
        </is>
      </c>
      <c r="E208" t="inlineStr">
        <is>
          <t>pagina oficial de Edagricole — New Business Media sobre rivista tecnica, seminativi, difesa — alimenta T1 (cultura e producao), T3 (praga, doenca e infestanti), T10 (mercado e industria)</t>
        </is>
      </c>
      <c r="F208" t="inlineStr">
        <is>
          <t>claude-code (missao ITALY-200-SOURCES-DISCOVERY, 2026-09-14)</t>
        </is>
      </c>
      <c r="G208" t="inlineStr">
        <is>
          <t>declarado no site oficial do dono: https://terraevita.edagricole.it/</t>
        </is>
      </c>
      <c r="H208" t="inlineStr">
        <is>
          <t>CANDIDATA validada em 2026-09-14; SOURCE_ID nao atribuido (nasce na porta canonica)</t>
        </is>
      </c>
    </row>
    <row r="209">
      <c r="A209" t="inlineStr">
        <is>
          <t>LINKEDIN</t>
        </is>
      </c>
      <c r="B209" t="inlineStr">
        <is>
          <t>IT</t>
        </is>
      </c>
      <c r="C209" t="inlineStr">
        <is>
          <t>UNIBO DISTAL — Dipartimento di Scienze e Tecnologie Agro-Alimentari — Linkedin ufficiale</t>
        </is>
      </c>
      <c r="D209" t="inlineStr">
        <is>
          <t>https://www.linkedin.com/company/department-of-agricultural-and-food-sciences</t>
        </is>
      </c>
      <c r="E209" t="inlineStr">
        <is>
          <t>pagina oficial de Universita di Bologna sobre agraria, patologia, entomologia, agronomia — alimenta T5 (ciencia), T6 (pesquisadores), T1 (cultura e producao)</t>
        </is>
      </c>
      <c r="F209" t="inlineStr">
        <is>
          <t>claude-code (missao ITALY-200-SOURCES-DISCOVERY, 2026-09-14)</t>
        </is>
      </c>
      <c r="G209" t="inlineStr">
        <is>
          <t>declarado no site oficial do dono: https://distal.unibo.it/it</t>
        </is>
      </c>
      <c r="H209" t="inlineStr">
        <is>
          <t>CANDIDATA validada em 2026-09-14; SOURCE_ID nao atribuido (nasce na porta canonica)</t>
        </is>
      </c>
    </row>
    <row r="210">
      <c r="A210" t="inlineStr">
        <is>
          <t>LINKEDIN</t>
        </is>
      </c>
      <c r="B210" t="inlineStr">
        <is>
          <t>IT</t>
        </is>
      </c>
      <c r="C210" t="inlineStr">
        <is>
          <t>ARPA Lazio — Linkedin ufficiale</t>
        </is>
      </c>
      <c r="D210" t="inlineStr">
        <is>
          <t>https://www.linkedin.com/company/arpa-lazio</t>
        </is>
      </c>
      <c r="E210" t="inlineStr">
        <is>
          <t>pagina oficial de ARPA Lazio sobre ambiente, aria, acque — alimenta T2 (clima/acqua/suolo), T12 (politica e ambiente agricola)</t>
        </is>
      </c>
      <c r="F210" t="inlineStr">
        <is>
          <t>claude-code (missao ITALY-200-SOURCES-DISCOVERY, 2026-09-14)</t>
        </is>
      </c>
      <c r="G210" t="inlineStr">
        <is>
          <t>declarado no site oficial do dono: https://www.arpalazio.it/</t>
        </is>
      </c>
      <c r="H210" t="inlineStr">
        <is>
          <t>CANDIDATA validada em 2026-09-14; SOURCE_ID nao atribuido (nasce na porta canonica)</t>
        </is>
      </c>
    </row>
    <row r="211">
      <c r="A211" t="inlineStr">
        <is>
          <t>LINKEDIN</t>
        </is>
      </c>
      <c r="B211" t="inlineStr">
        <is>
          <t>IT</t>
        </is>
      </c>
      <c r="C211" t="inlineStr">
        <is>
          <t>ARPA Lombardia — Linkedin ufficiale</t>
        </is>
      </c>
      <c r="D211" t="inlineStr">
        <is>
          <t>https://www.linkedin.com/company/arpa-lombardia</t>
        </is>
      </c>
      <c r="E211" t="inlineStr">
        <is>
          <t>pagina oficial de ARPA Lombardia sobre meteo, aria, acqua, agrometeo — alimenta T2 (clima/acqua/suolo), T12 (politica e ambiente agricola)</t>
        </is>
      </c>
      <c r="F211" t="inlineStr">
        <is>
          <t>claude-code (missao ITALY-200-SOURCES-DISCOVERY, 2026-09-14)</t>
        </is>
      </c>
      <c r="G211" t="inlineStr">
        <is>
          <t>declarado no site oficial do dono: https://www.arpalombardia.it/</t>
        </is>
      </c>
      <c r="H211" t="inlineStr">
        <is>
          <t>CANDIDATA validada em 2026-09-14; SOURCE_ID nao atribuido (nasce na porta canonica)</t>
        </is>
      </c>
    </row>
    <row r="212">
      <c r="A212" t="inlineStr">
        <is>
          <t>LINKEDIN</t>
        </is>
      </c>
      <c r="B212" t="inlineStr">
        <is>
          <t>IT</t>
        </is>
      </c>
      <c r="C212" t="inlineStr">
        <is>
          <t>Consorzio di Tutela del Grana Padano — Linkedin ufficiale</t>
        </is>
      </c>
      <c r="D212" t="inlineStr">
        <is>
          <t>https://www.linkedin.com/company/consorzio-tutela-grana-padano</t>
        </is>
      </c>
      <c r="E212" t="inlineStr">
        <is>
          <t>pagina oficial de Consorzio Tutela Grana Padano sobre DOP, latte, filiera — alimenta T10 (mercado e industria), T1 (cultura e producao)</t>
        </is>
      </c>
      <c r="F212" t="inlineStr">
        <is>
          <t>claude-code (missao ITALY-200-SOURCES-DISCOVERY, 2026-09-14)</t>
        </is>
      </c>
      <c r="G212" t="inlineStr">
        <is>
          <t>declarado no site oficial do dono: https://www.granapadano.it/</t>
        </is>
      </c>
      <c r="H212" t="inlineStr">
        <is>
          <t>CANDIDATA validada em 2026-09-14; SOURCE_ID nao atribuido (nasce na porta canonica)</t>
        </is>
      </c>
    </row>
    <row r="213">
      <c r="A213" t="inlineStr">
        <is>
          <t>LINKEDIN</t>
        </is>
      </c>
      <c r="B213" t="inlineStr">
        <is>
          <t>IT</t>
        </is>
      </c>
      <c r="C213" t="inlineStr">
        <is>
          <t>Fondazione Minoprio — Linkedin ufficiale</t>
        </is>
      </c>
      <c r="D213" t="inlineStr">
        <is>
          <t>https://www.linkedin.com/company/fondazione-minoprio</t>
        </is>
      </c>
      <c r="E213" t="inlineStr">
        <is>
          <t>pagina oficial de Fondazione Minoprio sobre formazione, floricoltura, sperimentazione — alimenta T5 (ciencia), T7 (rede tecnica), T1 (cultura e producao)</t>
        </is>
      </c>
      <c r="F213" t="inlineStr">
        <is>
          <t>claude-code (missao ITALY-200-SOURCES-DISCOVERY, 2026-09-14)</t>
        </is>
      </c>
      <c r="G213" t="inlineStr">
        <is>
          <t>declarado no site oficial do dono: https://www.fondazioneminoprio.it/</t>
        </is>
      </c>
      <c r="H213" t="inlineStr">
        <is>
          <t>CANDIDATA validada em 2026-09-14; SOURCE_ID nao atribuido (nasce na porta canonica)</t>
        </is>
      </c>
    </row>
    <row r="214">
      <c r="A214" t="inlineStr">
        <is>
          <t>LINKEDIN</t>
        </is>
      </c>
      <c r="B214" t="inlineStr">
        <is>
          <t>IT</t>
        </is>
      </c>
      <c r="C214" t="inlineStr">
        <is>
          <t>UNIMI DiSAA — Dipartimento di Scienze Agrarie e Ambientali — Linkedin ufficiale</t>
        </is>
      </c>
      <c r="D214" t="inlineStr">
        <is>
          <t>https://www.linkedin.com/company/dipartimento-di-scienze-agrarie-ambientali</t>
        </is>
      </c>
      <c r="E214" t="inlineStr">
        <is>
          <t>pagina oficial de Universita degli Studi di Milano sobre agronomia, difesa, riso, mais — alimenta T5 (ciencia), T6 (pesquisadores), T1 (cultura e producao)</t>
        </is>
      </c>
      <c r="F214" t="inlineStr">
        <is>
          <t>claude-code (missao ITALY-200-SOURCES-DISCOVERY, 2026-09-14)</t>
        </is>
      </c>
      <c r="G214" t="inlineStr">
        <is>
          <t>declarado no site oficial do dono: https://www.disaa.unimi.it/it</t>
        </is>
      </c>
      <c r="H214" t="inlineStr">
        <is>
          <t>CANDIDATA validada em 2026-09-14; SOURCE_ID nao atribuido (nasce na porta canonica)</t>
        </is>
      </c>
    </row>
    <row r="215">
      <c r="A215" t="inlineStr">
        <is>
          <t>LINKEDIN</t>
        </is>
      </c>
      <c r="B215" t="inlineStr">
        <is>
          <t>IT</t>
        </is>
      </c>
      <c r="C215" t="inlineStr">
        <is>
          <t>ARPA Marche — Linkedin ufficiale</t>
        </is>
      </c>
      <c r="D215" t="inlineStr">
        <is>
          <t>https://www.linkedin.com/company/arpa-marche</t>
        </is>
      </c>
      <c r="E215" t="inlineStr">
        <is>
          <t>pagina oficial de ARPAM sobre ambiente, meteo — alimenta T2 (clima/acqua/suolo), T12 (politica e ambiente agricola)</t>
        </is>
      </c>
      <c r="F215" t="inlineStr">
        <is>
          <t>claude-code (missao ITALY-200-SOURCES-DISCOVERY, 2026-09-14)</t>
        </is>
      </c>
      <c r="G215" t="inlineStr">
        <is>
          <t>declarado no site oficial do dono: https://www.arpa.marche.it/</t>
        </is>
      </c>
      <c r="H215" t="inlineStr">
        <is>
          <t>CANDIDATA validada em 2026-09-14; SOURCE_ID nao atribuido (nasce na porta canonica)</t>
        </is>
      </c>
    </row>
    <row r="216">
      <c r="A216" t="inlineStr">
        <is>
          <t>LINKEDIN</t>
        </is>
      </c>
      <c r="B216" t="inlineStr">
        <is>
          <t>IT</t>
        </is>
      </c>
      <c r="C216" t="inlineStr">
        <is>
          <t>ASSAM Marche — Agenzia Servizi Settore Agroalimentare delle Marche — Linkedin ufficiale</t>
        </is>
      </c>
      <c r="D216" t="inlineStr">
        <is>
          <t>https://www.linkedin.com/company/amap-marche</t>
        </is>
      </c>
      <c r="E216" t="inlineStr">
        <is>
          <t>pagina oficial de Regione Marche sobre servizio fitosanitario, agrometeo, assistenza tecnica — alimenta T3 (praga, doenca e infestanti), T2 (clima/acqua/suolo), T7 (rede tecnica)</t>
        </is>
      </c>
      <c r="F216" t="inlineStr">
        <is>
          <t>claude-code (missao ITALY-200-SOURCES-DISCOVERY, 2026-09-14)</t>
        </is>
      </c>
      <c r="G216" t="inlineStr">
        <is>
          <t>declarado no site oficial do dono: https://www.assam.marche.it/</t>
        </is>
      </c>
      <c r="H216" t="inlineStr">
        <is>
          <t>CANDIDATA validada em 2026-09-14; SOURCE_ID nao atribuido (nasce na porta canonica)</t>
        </is>
      </c>
    </row>
    <row r="217">
      <c r="A217" t="inlineStr">
        <is>
          <t>LINKEDIN</t>
        </is>
      </c>
      <c r="B217" t="inlineStr">
        <is>
          <t>IT</t>
        </is>
      </c>
      <c r="C217" t="inlineStr">
        <is>
          <t>ARPA Molise — Linkedin ufficiale</t>
        </is>
      </c>
      <c r="D217" t="inlineStr">
        <is>
          <t>https://www.linkedin.com/company/arpa-molise</t>
        </is>
      </c>
      <c r="E217" t="inlineStr">
        <is>
          <t>pagina oficial de ARPA Molise sobre ambiente, meteo — alimenta T2 (clima/acqua/suolo), T12 (politica e ambiente agricola)</t>
        </is>
      </c>
      <c r="F217" t="inlineStr">
        <is>
          <t>claude-code (missao ITALY-200-SOURCES-DISCOVERY, 2026-09-14)</t>
        </is>
      </c>
      <c r="G217" t="inlineStr">
        <is>
          <t>declarado no site oficial do dono: https://www.arpamolise.it/</t>
        </is>
      </c>
      <c r="H217" t="inlineStr">
        <is>
          <t>CANDIDATA validada em 2026-09-14; SOURCE_ID nao atribuido (nasce na porta canonica)</t>
        </is>
      </c>
    </row>
    <row r="218">
      <c r="A218" t="inlineStr">
        <is>
          <t>LINKEDIN</t>
        </is>
      </c>
      <c r="B218" t="inlineStr">
        <is>
          <t>IT</t>
        </is>
      </c>
      <c r="C218" t="inlineStr">
        <is>
          <t>Agrofarma — Federchimica — Linkedin ufficiale</t>
        </is>
      </c>
      <c r="D218" t="inlineStr">
        <is>
          <t>https://www.linkedin.com/showcase/agrofarma</t>
        </is>
      </c>
      <c r="E218" t="inlineStr">
        <is>
          <t>pagina oficial de Federchimica Agrofarma sobre agrofarmaci, industria, regolatorio — alimenta T9 (concorrentes), T10 (mercado e industria), T4 (regulatorio)</t>
        </is>
      </c>
      <c r="F218" t="inlineStr">
        <is>
          <t>claude-code (missao ITALY-200-SOURCES-DISCOVERY, 2026-09-14)</t>
        </is>
      </c>
      <c r="G218" t="inlineStr">
        <is>
          <t>declarado no site oficial do dono: https://agrofarma.federchimica.it/</t>
        </is>
      </c>
      <c r="H218" t="inlineStr">
        <is>
          <t>CANDIDATA validada em 2026-09-14; SOURCE_ID nao atribuido (nasce na porta canonica)</t>
        </is>
      </c>
    </row>
    <row r="219">
      <c r="A219" t="inlineStr">
        <is>
          <t>LINKEDIN</t>
        </is>
      </c>
      <c r="B219" t="inlineStr">
        <is>
          <t>IT</t>
        </is>
      </c>
      <c r="C219" t="inlineStr">
        <is>
          <t>Assofertilizzanti — Federchimica — Linkedin ufficiale</t>
        </is>
      </c>
      <c r="D219" t="inlineStr">
        <is>
          <t>https://www.linkedin.com/showcase/assofertilizzanti</t>
        </is>
      </c>
      <c r="E219" t="inlineStr">
        <is>
          <t>pagina oficial de Federchimica sobre fertilizzanti, nutrizione — alimenta T10 (mercado e industria), T1 (cultura e producao)</t>
        </is>
      </c>
      <c r="F219" t="inlineStr">
        <is>
          <t>claude-code (missao ITALY-200-SOURCES-DISCOVERY, 2026-09-14)</t>
        </is>
      </c>
      <c r="G219" t="inlineStr">
        <is>
          <t>declarado no site oficial do dono: https://assofertilizzanti.federchimica.it/</t>
        </is>
      </c>
      <c r="H219" t="inlineStr">
        <is>
          <t>CANDIDATA validada em 2026-09-14; SOURCE_ID nao atribuido (nasce na porta canonica)</t>
        </is>
      </c>
    </row>
    <row r="220">
      <c r="A220" t="inlineStr">
        <is>
          <t>LINKEDIN</t>
        </is>
      </c>
      <c r="B220" t="inlineStr">
        <is>
          <t>IT</t>
        </is>
      </c>
      <c r="C220" t="inlineStr">
        <is>
          <t>Assosementi — Linkedin ufficiale</t>
        </is>
      </c>
      <c r="D220" t="inlineStr">
        <is>
          <t>https://www.linkedin.com/company/assosementi</t>
        </is>
      </c>
      <c r="E220" t="inlineStr">
        <is>
          <t>pagina oficial de Assosementi sobre sementi, varieta — alimenta T1 (cultura e producao), T10 (mercado e industria)</t>
        </is>
      </c>
      <c r="F220" t="inlineStr">
        <is>
          <t>claude-code (missao ITALY-200-SOURCES-DISCOVERY, 2026-09-14)</t>
        </is>
      </c>
      <c r="G220" t="inlineStr">
        <is>
          <t>declarado no site oficial do dono: https://www.sementi.it/</t>
        </is>
      </c>
      <c r="H220" t="inlineStr">
        <is>
          <t>CANDIDATA validada em 2026-09-14; SOURCE_ID nao atribuido (nasce na porta canonica)</t>
        </is>
      </c>
    </row>
    <row r="221">
      <c r="A221" t="inlineStr">
        <is>
          <t>LINKEDIN</t>
        </is>
      </c>
      <c r="B221" t="inlineStr">
        <is>
          <t>IT</t>
        </is>
      </c>
      <c r="C221" t="inlineStr">
        <is>
          <t>CIA — Agricoltori Italiani — Linkedin ufficiale</t>
        </is>
      </c>
      <c r="D221" t="inlineStr">
        <is>
          <t>https://www.linkedin.com/company/cia-agricoltori-italiani</t>
        </is>
      </c>
      <c r="E221" t="inlineStr">
        <is>
          <t>pagina oficial de CIA sobre organizzazione agricola, policy — alimenta T12 (politica e ambiente agricola), T7 (rede tecnica)</t>
        </is>
      </c>
      <c r="F221" t="inlineStr">
        <is>
          <t>claude-code (missao ITALY-200-SOURCES-DISCOVERY, 2026-09-14)</t>
        </is>
      </c>
      <c r="G221" t="inlineStr">
        <is>
          <t>declarado no site oficial do dono: https://www.cia.it/</t>
        </is>
      </c>
      <c r="H221" t="inlineStr">
        <is>
          <t>CANDIDATA validada em 2026-09-14; SOURCE_ID nao atribuido (nasce na porta canonica)</t>
        </is>
      </c>
    </row>
    <row r="222">
      <c r="A222" t="inlineStr">
        <is>
          <t>LINKEDIN</t>
        </is>
      </c>
      <c r="B222" t="inlineStr">
        <is>
          <t>IT</t>
        </is>
      </c>
      <c r="C222" t="inlineStr">
        <is>
          <t>CNR — Consiglio Nazionale delle Ricerche — Linkedin ufficiale</t>
        </is>
      </c>
      <c r="D222" t="inlineStr">
        <is>
          <t>https://www.linkedin.com/company/283032</t>
        </is>
      </c>
      <c r="E222" t="inlineStr">
        <is>
          <t>pagina oficial de CNR sobre ricerca, istituti — alimenta T5 (ciencia), T6 (pesquisadores)</t>
        </is>
      </c>
      <c r="F222" t="inlineStr">
        <is>
          <t>claude-code (missao ITALY-200-SOURCES-DISCOVERY, 2026-09-14)</t>
        </is>
      </c>
      <c r="G222" t="inlineStr">
        <is>
          <t>declarado no site oficial do dono: https://www.cnr.it/</t>
        </is>
      </c>
      <c r="H222" t="inlineStr">
        <is>
          <t>CANDIDATA validada em 2026-09-14; SOURCE_ID nao atribuido (nasce na porta canonica)</t>
        </is>
      </c>
    </row>
    <row r="223">
      <c r="A223" t="inlineStr">
        <is>
          <t>LINKEDIN</t>
        </is>
      </c>
      <c r="B223" t="inlineStr">
        <is>
          <t>IT</t>
        </is>
      </c>
      <c r="C223" t="inlineStr">
        <is>
          <t>Certis Belchim Italia — Linkedin ufficiale</t>
        </is>
      </c>
      <c r="D223" t="inlineStr">
        <is>
          <t>https://www.linkedin.com/company/certisbelchim-italia</t>
        </is>
      </c>
      <c r="E223" t="inlineStr">
        <is>
          <t>pagina oficial de Certis Belchim sobre agrofarmaci, concorrente — alimenta T9 (concorrentes), T10 (mercado e industria)</t>
        </is>
      </c>
      <c r="F223" t="inlineStr">
        <is>
          <t>claude-code (missao ITALY-200-SOURCES-DISCOVERY, 2026-09-14)</t>
        </is>
      </c>
      <c r="G223" t="inlineStr">
        <is>
          <t>declarado no site oficial do dono: https://www.certisbelchim.it/</t>
        </is>
      </c>
      <c r="H223" t="inlineStr">
        <is>
          <t>CANDIDATA validada em 2026-09-14; SOURCE_ID nao atribuido (nasce na porta canonica)</t>
        </is>
      </c>
    </row>
    <row r="224">
      <c r="A224" t="inlineStr">
        <is>
          <t>LINKEDIN</t>
        </is>
      </c>
      <c r="B224" t="inlineStr">
        <is>
          <t>IT</t>
        </is>
      </c>
      <c r="C224" t="inlineStr">
        <is>
          <t>Coldiretti — Linkedin ufficiale</t>
        </is>
      </c>
      <c r="D224" t="inlineStr">
        <is>
          <t>https://www.linkedin.com/company/confederazione-nazionale-coldiretti</t>
        </is>
      </c>
      <c r="E224" t="inlineStr">
        <is>
          <t>pagina oficial de Coldiretti sobre organizzazione agricola, policy — alimenta T12 (politica e ambiente agricola), T7 (rede tecnica), T10 (mercado e industria)</t>
        </is>
      </c>
      <c r="F224" t="inlineStr">
        <is>
          <t>claude-code (missao ITALY-200-SOURCES-DISCOVERY, 2026-09-14)</t>
        </is>
      </c>
      <c r="G224" t="inlineStr">
        <is>
          <t>declarado no site oficial do dono: https://www.coldiretti.it/</t>
        </is>
      </c>
      <c r="H224" t="inlineStr">
        <is>
          <t>CANDIDATA validada em 2026-09-14; SOURCE_ID nao atribuido (nasce na porta canonica)</t>
        </is>
      </c>
    </row>
    <row r="225">
      <c r="A225" t="inlineStr">
        <is>
          <t>LINKEDIN</t>
        </is>
      </c>
      <c r="B225" t="inlineStr">
        <is>
          <t>IT</t>
        </is>
      </c>
      <c r="C225" t="inlineStr">
        <is>
          <t>FederUnacoma — Federazione Nazionale Costruttori Macchine per l'Agricoltura — Linkedin ufficiale</t>
        </is>
      </c>
      <c r="D225" t="inlineStr">
        <is>
          <t>https://www.linkedin.com/company/federunacoma</t>
        </is>
      </c>
      <c r="E225" t="inlineStr">
        <is>
          <t>pagina oficial de FederUnacoma sobre meccanizzazione, mercato macchine — alimenta T10 (mercado e industria), T11 (eventos)</t>
        </is>
      </c>
      <c r="F225" t="inlineStr">
        <is>
          <t>claude-code (missao ITALY-200-SOURCES-DISCOVERY, 2026-09-14)</t>
        </is>
      </c>
      <c r="G225" t="inlineStr">
        <is>
          <t>declarado no site oficial do dono: https://www.federunacoma.it/</t>
        </is>
      </c>
      <c r="H225" t="inlineStr">
        <is>
          <t>CANDIDATA validada em 2026-09-14; SOURCE_ID nao atribuido (nasce na porta canonica)</t>
        </is>
      </c>
    </row>
    <row r="226">
      <c r="A226" t="inlineStr">
        <is>
          <t>LINKEDIN</t>
        </is>
      </c>
      <c r="B226" t="inlineStr">
        <is>
          <t>IT</t>
        </is>
      </c>
      <c r="C226" t="inlineStr">
        <is>
          <t>FreshPlaza Italia — Linkedin ufficiale</t>
        </is>
      </c>
      <c r="D226" t="inlineStr">
        <is>
          <t>https://www.linkedin.com/company/1602695</t>
        </is>
      </c>
      <c r="E226" t="inlineStr">
        <is>
          <t>pagina oficial de FreshPlaza sobre ortofrutta, mercato internazionale — alimenta T10 (mercado e industria), T1 (cultura e producao)</t>
        </is>
      </c>
      <c r="F226" t="inlineStr">
        <is>
          <t>claude-code (missao ITALY-200-SOURCES-DISCOVERY, 2026-09-14)</t>
        </is>
      </c>
      <c r="G226" t="inlineStr">
        <is>
          <t>declarado no site oficial do dono: https://www.freshplaza.it/</t>
        </is>
      </c>
      <c r="H226" t="inlineStr">
        <is>
          <t>CANDIDATA validada em 2026-09-14; SOURCE_ID nao atribuido (nasce na porta canonica)</t>
        </is>
      </c>
    </row>
    <row r="227">
      <c r="A227" t="inlineStr">
        <is>
          <t>LINKEDIN</t>
        </is>
      </c>
      <c r="B227" t="inlineStr">
        <is>
          <t>IT</t>
        </is>
      </c>
      <c r="C227" t="inlineStr">
        <is>
          <t>ISPRA — Istituto Superiore per la Protezione e la Ricerca Ambientale — Linkedin ufficiale</t>
        </is>
      </c>
      <c r="D227" t="inlineStr">
        <is>
          <t>https://www.linkedin.com/company/ispra_2</t>
        </is>
      </c>
      <c r="E227" t="inlineStr">
        <is>
          <t>pagina oficial de ISPRA sobre ambiente, acque, suolo, indicatori — alimenta T2 (clima/acqua/suolo), T12 (politica e ambiente agricola)</t>
        </is>
      </c>
      <c r="F227" t="inlineStr">
        <is>
          <t>claude-code (missao ITALY-200-SOURCES-DISCOVERY, 2026-09-14)</t>
        </is>
      </c>
      <c r="G227" t="inlineStr">
        <is>
          <t>declarado no site oficial do dono: https://www.isprambiente.gov.it/</t>
        </is>
      </c>
      <c r="H227" t="inlineStr">
        <is>
          <t>CANDIDATA validada em 2026-09-14; SOURCE_ID nao atribuido (nasce na porta canonica)</t>
        </is>
      </c>
    </row>
    <row r="228">
      <c r="A228" t="inlineStr">
        <is>
          <t>LINKEDIN</t>
        </is>
      </c>
      <c r="B228" t="inlineStr">
        <is>
          <t>IT</t>
        </is>
      </c>
      <c r="C228" t="inlineStr">
        <is>
          <t>Italmopa — Associazione Industriali Mugnai d'Italia — Linkedin ufficiale</t>
        </is>
      </c>
      <c r="D228" t="inlineStr">
        <is>
          <t>https://www.linkedin.com/company/italmopa</t>
        </is>
      </c>
      <c r="E228" t="inlineStr">
        <is>
          <t>pagina oficial de Italmopa sobre grano, molini, mercato — alimenta T10 (mercado e industria), T1 (cultura e producao)</t>
        </is>
      </c>
      <c r="F228" t="inlineStr">
        <is>
          <t>claude-code (missao ITALY-200-SOURCES-DISCOVERY, 2026-09-14)</t>
        </is>
      </c>
      <c r="G228" t="inlineStr">
        <is>
          <t>declarado no site oficial do dono: https://www.italmopa.com/</t>
        </is>
      </c>
      <c r="H228" t="inlineStr">
        <is>
          <t>CANDIDATA validada em 2026-09-14; SOURCE_ID nao atribuido (nasce na porta canonica)</t>
        </is>
      </c>
    </row>
    <row r="229">
      <c r="A229" t="inlineStr">
        <is>
          <t>LINKEDIN</t>
        </is>
      </c>
      <c r="B229" t="inlineStr">
        <is>
          <t>IT</t>
        </is>
      </c>
      <c r="C229" t="inlineStr">
        <is>
          <t>Koppert Italia — Linkedin ufficiale</t>
        </is>
      </c>
      <c r="D229" t="inlineStr">
        <is>
          <t>https://www.linkedin.com/company/24658052</t>
        </is>
      </c>
      <c r="E229" t="inlineStr">
        <is>
          <t>pagina oficial de Koppert Biological Systems sobre biocontrollo, insetti utili — alimenta T9 (concorrentes), T3 (praga, doenca e infestanti)</t>
        </is>
      </c>
      <c r="F229" t="inlineStr">
        <is>
          <t>claude-code (missao ITALY-200-SOURCES-DISCOVERY, 2026-09-14)</t>
        </is>
      </c>
      <c r="G229" t="inlineStr">
        <is>
          <t>declarado no site oficial do dono: https://www.koppert.it/</t>
        </is>
      </c>
      <c r="H229" t="inlineStr">
        <is>
          <t>CANDIDATA validada em 2026-09-14; SOURCE_ID nao atribuido (nasce na porta canonica)</t>
        </is>
      </c>
    </row>
    <row r="230">
      <c r="A230" t="inlineStr">
        <is>
          <t>LINKEDIN</t>
        </is>
      </c>
      <c r="B230" t="inlineStr">
        <is>
          <t>IT</t>
        </is>
      </c>
      <c r="C230" t="inlineStr">
        <is>
          <t>Myfruit.it — Linkedin ufficiale</t>
        </is>
      </c>
      <c r="D230" t="inlineStr">
        <is>
          <t>https://www.linkedin.com/company/698415/admin/feed/posts</t>
        </is>
      </c>
      <c r="E230" t="inlineStr">
        <is>
          <t>pagina oficial de Myfruit sobre ortofrutta, mercato — alimenta T10 (mercado e industria), T1 (cultura e producao)</t>
        </is>
      </c>
      <c r="F230" t="inlineStr">
        <is>
          <t>claude-code (missao ITALY-200-SOURCES-DISCOVERY, 2026-09-14)</t>
        </is>
      </c>
      <c r="G230" t="inlineStr">
        <is>
          <t>declarado no site oficial do dono: https://www.myfruit.it/</t>
        </is>
      </c>
      <c r="H230" t="inlineStr">
        <is>
          <t>CANDIDATA validada em 2026-09-14; SOURCE_ID nao atribuido (nasce na porta canonica)</t>
        </is>
      </c>
    </row>
    <row r="231">
      <c r="A231" t="inlineStr">
        <is>
          <t>LINKEDIN</t>
        </is>
      </c>
      <c r="B231" t="inlineStr">
        <is>
          <t>IT</t>
        </is>
      </c>
      <c r="C231" t="inlineStr">
        <is>
          <t>Olio Officina — Linkedin ufficiale</t>
        </is>
      </c>
      <c r="D231" t="inlineStr">
        <is>
          <t>https://www.linkedin.com/company/olioofficina</t>
        </is>
      </c>
      <c r="E231" t="inlineStr">
        <is>
          <t>pagina oficial de Olio Officina sobre olio, cultura olivicola — alimenta T1 (cultura e producao), T10 (mercado e industria)</t>
        </is>
      </c>
      <c r="F231" t="inlineStr">
        <is>
          <t>claude-code (missao ITALY-200-SOURCES-DISCOVERY, 2026-09-14)</t>
        </is>
      </c>
      <c r="G231" t="inlineStr">
        <is>
          <t>declarado no site oficial do dono: https://www.olioofficina.it/</t>
        </is>
      </c>
      <c r="H231" t="inlineStr">
        <is>
          <t>CANDIDATA validada em 2026-09-14; SOURCE_ID nao atribuido (nasce na porta canonica)</t>
        </is>
      </c>
    </row>
    <row r="232">
      <c r="A232" t="inlineStr">
        <is>
          <t>LINKEDIN</t>
        </is>
      </c>
      <c r="B232" t="inlineStr">
        <is>
          <t>IT</t>
        </is>
      </c>
      <c r="C232" t="inlineStr">
        <is>
          <t>Rete Rurale Nazionale — Linkedin ufficiale</t>
        </is>
      </c>
      <c r="D232" t="inlineStr">
        <is>
          <t>https://www.linkedin.com/showcase/retenazionalepac</t>
        </is>
      </c>
      <c r="E232" t="inlineStr">
        <is>
          <t>pagina oficial de MASAF — Rete Rurale Nazionale sobre PSR, sviluppo rurale, CAP — alimenta T12 (politica e ambiente agricola), T7 (rede tecnica)</t>
        </is>
      </c>
      <c r="F232" t="inlineStr">
        <is>
          <t>claude-code (missao ITALY-200-SOURCES-DISCOVERY, 2026-09-14)</t>
        </is>
      </c>
      <c r="G232" t="inlineStr">
        <is>
          <t>declarado no site oficial do dono: https://www.reterurale.it/</t>
        </is>
      </c>
      <c r="H232" t="inlineStr">
        <is>
          <t>CANDIDATA validada em 2026-09-14; SOURCE_ID nao atribuido (nasce na porta canonica)</t>
        </is>
      </c>
    </row>
    <row r="233">
      <c r="A233" t="inlineStr">
        <is>
          <t>LINKEDIN</t>
        </is>
      </c>
      <c r="B233" t="inlineStr">
        <is>
          <t>IT</t>
        </is>
      </c>
      <c r="C233" t="inlineStr">
        <is>
          <t>SIA — Societa Italiana di Agronomia — Linkedin ufficiale</t>
        </is>
      </c>
      <c r="D233" t="inlineStr">
        <is>
          <t>https://www.linkedin.com/company/societ</t>
        </is>
      </c>
      <c r="E233" t="inlineStr">
        <is>
          <t>pagina oficial de Societa Italiana di Agronomia sobre agronomia, congresso — alimenta T1 (cultura e producao), T5 (ciencia)</t>
        </is>
      </c>
      <c r="F233" t="inlineStr">
        <is>
          <t>claude-code (missao ITALY-200-SOURCES-DISCOVERY, 2026-09-14)</t>
        </is>
      </c>
      <c r="G233" t="inlineStr">
        <is>
          <t>declarado no site oficial do dono: https://www.siagr.it/</t>
        </is>
      </c>
      <c r="H233" t="inlineStr">
        <is>
          <t>CANDIDATA validada em 2026-09-14; SOURCE_ID nao atribuido (nasce na porta canonica)</t>
        </is>
      </c>
    </row>
    <row r="234">
      <c r="A234" t="inlineStr">
        <is>
          <t>LINKEDIN</t>
        </is>
      </c>
      <c r="B234" t="inlineStr">
        <is>
          <t>IT</t>
        </is>
      </c>
      <c r="C234" t="inlineStr">
        <is>
          <t>SIMEI — Salone Internazionale Macchine per Enologia e Imbottigliamento — Linkedin ufficiale</t>
        </is>
      </c>
      <c r="D234" t="inlineStr">
        <is>
          <t>https://www.linkedin.com/company/simeiexhibition</t>
        </is>
      </c>
      <c r="E234" t="inlineStr">
        <is>
          <t>pagina oficial de Unione Italiana Vini sobre fiera enologia — alimenta T11 (eventos), T10 (mercado e industria)</t>
        </is>
      </c>
      <c r="F234" t="inlineStr">
        <is>
          <t>claude-code (missao ITALY-200-SOURCES-DISCOVERY, 2026-09-14)</t>
        </is>
      </c>
      <c r="G234" t="inlineStr">
        <is>
          <t>declarado no site oficial do dono: https://www.simei.it/</t>
        </is>
      </c>
      <c r="H234" t="inlineStr">
        <is>
          <t>CANDIDATA validada em 2026-09-14; SOURCE_ID nao atribuido (nasce na porta canonica)</t>
        </is>
      </c>
    </row>
    <row r="235">
      <c r="A235" t="inlineStr">
        <is>
          <t>LINKEDIN</t>
        </is>
      </c>
      <c r="B235" t="inlineStr">
        <is>
          <t>IT</t>
        </is>
      </c>
      <c r="C235" t="inlineStr">
        <is>
          <t>ARPA Piemonte — Linkedin ufficiale</t>
        </is>
      </c>
      <c r="D235" t="inlineStr">
        <is>
          <t>https://www.linkedin.com/company/arpa-piemonte</t>
        </is>
      </c>
      <c r="E235" t="inlineStr">
        <is>
          <t>pagina oficial de ARPA Piemonte sobre meteo, clima, agrometeorologia — alimenta T2 (clima/acqua/suolo), T12 (politica e ambiente agricola)</t>
        </is>
      </c>
      <c r="F235" t="inlineStr">
        <is>
          <t>claude-code (missao ITALY-200-SOURCES-DISCOVERY, 2026-09-14)</t>
        </is>
      </c>
      <c r="G235" t="inlineStr">
        <is>
          <t>declarado no site oficial do dono: https://www.arpa.piemonte.it/</t>
        </is>
      </c>
      <c r="H235" t="inlineStr">
        <is>
          <t>CANDIDATA validada em 2026-09-14; SOURCE_ID nao atribuido (nasce na porta canonica)</t>
        </is>
      </c>
    </row>
    <row r="236">
      <c r="A236" t="inlineStr">
        <is>
          <t>LINKEDIN</t>
        </is>
      </c>
      <c r="B236" t="inlineStr">
        <is>
          <t>IT</t>
        </is>
      </c>
      <c r="C236" t="inlineStr">
        <is>
          <t>Regione Piemonte — Agricoltura e cibo — Linkedin ufficiale</t>
        </is>
      </c>
      <c r="D236" t="inlineStr">
        <is>
          <t>https://www.linkedin.com/company/regione-piemonte</t>
        </is>
      </c>
      <c r="E236" t="inlineStr">
        <is>
          <t>pagina oficial de Regione Piemonte sobre agricoltura, fitosanitario, PSR — alimenta T1 (cultura e producao), T4 (regulatorio), T3 (praga, doenca e infestanti)</t>
        </is>
      </c>
      <c r="F236" t="inlineStr">
        <is>
          <t>claude-code (missao ITALY-200-SOURCES-DISCOVERY, 2026-09-14)</t>
        </is>
      </c>
      <c r="G236" t="inlineStr">
        <is>
          <t>declarado no site oficial do dono: https://www.regione.piemonte.it/web/temi/agricoltura</t>
        </is>
      </c>
      <c r="H236" t="inlineStr">
        <is>
          <t>CANDIDATA validada em 2026-09-14; SOURCE_ID nao atribuido (nasce na porta canonica)</t>
        </is>
      </c>
    </row>
    <row r="237">
      <c r="A237" t="inlineStr">
        <is>
          <t>LINKEDIN</t>
        </is>
      </c>
      <c r="B237" t="inlineStr">
        <is>
          <t>IT</t>
        </is>
      </c>
      <c r="C237" t="inlineStr">
        <is>
          <t>ARPAT Toscana — Linkedin ufficiale</t>
        </is>
      </c>
      <c r="D237" t="inlineStr">
        <is>
          <t>https://www.linkedin.com/company/arpatoscana</t>
        </is>
      </c>
      <c r="E237" t="inlineStr">
        <is>
          <t>pagina oficial de ARPAT sobre ambiente, acque, monitoraggio — alimenta T2 (clima/acqua/suolo), T12 (politica e ambiente agricola)</t>
        </is>
      </c>
      <c r="F237" t="inlineStr">
        <is>
          <t>claude-code (missao ITALY-200-SOURCES-DISCOVERY, 2026-09-14)</t>
        </is>
      </c>
      <c r="G237" t="inlineStr">
        <is>
          <t>declarado no site oficial do dono: https://www.arpat.toscana.it/</t>
        </is>
      </c>
      <c r="H237" t="inlineStr">
        <is>
          <t>CANDIDATA validada em 2026-09-14; SOURCE_ID nao atribuido (nasce na porta canonica)</t>
        </is>
      </c>
    </row>
    <row r="238">
      <c r="A238" t="inlineStr">
        <is>
          <t>LINKEDIN</t>
        </is>
      </c>
      <c r="B238" t="inlineStr">
        <is>
          <t>IT</t>
        </is>
      </c>
      <c r="C238" t="inlineStr">
        <is>
          <t>WineNews — Linkedin ufficiale</t>
        </is>
      </c>
      <c r="D238" t="inlineStr">
        <is>
          <t>https://www.linkedin.com/company/winenewsit</t>
        </is>
      </c>
      <c r="E238" t="inlineStr">
        <is>
          <t>pagina oficial de WineNews sobre vino, mercato — alimenta T10 (mercado e industria), T1 (cultura e producao)</t>
        </is>
      </c>
      <c r="F238" t="inlineStr">
        <is>
          <t>claude-code (missao ITALY-200-SOURCES-DISCOVERY, 2026-09-14)</t>
        </is>
      </c>
      <c r="G238" t="inlineStr">
        <is>
          <t>declarado no site oficial do dono: https://winenews.it/</t>
        </is>
      </c>
      <c r="H238" t="inlineStr">
        <is>
          <t>CANDIDATA validada em 2026-09-14; SOURCE_ID nao atribuido (nasce na porta canonica)</t>
        </is>
      </c>
    </row>
    <row r="239">
      <c r="A239" t="inlineStr">
        <is>
          <t>LINKEDIN</t>
        </is>
      </c>
      <c r="B239" t="inlineStr">
        <is>
          <t>IT</t>
        </is>
      </c>
      <c r="C239" t="inlineStr">
        <is>
          <t>APPA Trento — Agenzia provinciale protezione ambiente — Linkedin ufficiale</t>
        </is>
      </c>
      <c r="D239" t="inlineStr">
        <is>
          <t>https://www.linkedin.com/company/provincia-autonoma-di-trento</t>
        </is>
      </c>
      <c r="E239" t="inlineStr">
        <is>
          <t>pagina oficial de Provincia autonoma di Trento sobre ambiente, acque — alimenta T2 (clima/acqua/suolo), T12 (politica e ambiente agricola)</t>
        </is>
      </c>
      <c r="F239" t="inlineStr">
        <is>
          <t>claude-code (missao ITALY-200-SOURCES-DISCOVERY, 2026-09-14)</t>
        </is>
      </c>
      <c r="G239" t="inlineStr">
        <is>
          <t>declarado no site oficial do dono: https://appa.provincia.tn.it/</t>
        </is>
      </c>
      <c r="H239" t="inlineStr">
        <is>
          <t>CANDIDATA validada em 2026-09-14; SOURCE_ID nao atribuido (nasce na porta canonica)</t>
        </is>
      </c>
    </row>
    <row r="240">
      <c r="A240" t="inlineStr">
        <is>
          <t>LINKEDIN</t>
        </is>
      </c>
      <c r="B240" t="inlineStr">
        <is>
          <t>IT</t>
        </is>
      </c>
      <c r="C240" t="inlineStr">
        <is>
          <t>Interpoma — Linkedin ufficiale</t>
        </is>
      </c>
      <c r="D240" t="inlineStr">
        <is>
          <t>https://www.linkedin.com/company/interpoma</t>
        </is>
      </c>
      <c r="E240" t="inlineStr">
        <is>
          <t>pagina oficial de Fiera Bolzano sobre fiera melo, frutticoltura — alimenta T11 (eventos), T1 (cultura e producao)</t>
        </is>
      </c>
      <c r="F240" t="inlineStr">
        <is>
          <t>claude-code (missao ITALY-200-SOURCES-DISCOVERY, 2026-09-14)</t>
        </is>
      </c>
      <c r="G240" t="inlineStr">
        <is>
          <t>declarado no site oficial do dono: https://www.interpoma.it/</t>
        </is>
      </c>
      <c r="H240" t="inlineStr">
        <is>
          <t>CANDIDATA validada em 2026-09-14; SOURCE_ID nao atribuido (nasce na porta canonica)</t>
        </is>
      </c>
    </row>
    <row r="241">
      <c r="A241" t="inlineStr">
        <is>
          <t>LINKEDIN</t>
        </is>
      </c>
      <c r="B241" t="inlineStr">
        <is>
          <t>IT</t>
        </is>
      </c>
      <c r="C241" t="inlineStr">
        <is>
          <t>Libera Universita di Bolzano — Facolta di Scienze agrarie ambientali e alimentari — Linkedin ufficiale</t>
        </is>
      </c>
      <c r="D241" t="inlineStr">
        <is>
          <t>https://www.linkedin.com/company/833389</t>
        </is>
      </c>
      <c r="E241" t="inlineStr">
        <is>
          <t>pagina oficial de Libera Universita di Bolzano sobre frutticoltura, melo, montagna — alimenta T5 (ciencia), T6 (pesquisadores), T1 (cultura e producao)</t>
        </is>
      </c>
      <c r="F241" t="inlineStr">
        <is>
          <t>claude-code (missao ITALY-200-SOURCES-DISCOVERY, 2026-09-14)</t>
        </is>
      </c>
      <c r="G241" t="inlineStr">
        <is>
          <t>declarado no site oficial do dono: https://www.unibz.it/it/faculties/agricultural-environmental-food-sciences/</t>
        </is>
      </c>
      <c r="H241" t="inlineStr">
        <is>
          <t>CANDIDATA validada em 2026-09-14; SOURCE_ID nao atribuido (nasce na porta canonica)</t>
        </is>
      </c>
    </row>
    <row r="242">
      <c r="A242" t="inlineStr">
        <is>
          <t>LINKEDIN</t>
        </is>
      </c>
      <c r="B242" t="inlineStr">
        <is>
          <t>IT</t>
        </is>
      </c>
      <c r="C242" t="inlineStr">
        <is>
          <t>ARPA Valle d'Aosta — Linkedin ufficiale</t>
        </is>
      </c>
      <c r="D242" t="inlineStr">
        <is>
          <t>https://www.linkedin.com/company/arpa-valle-d-aosta</t>
        </is>
      </c>
      <c r="E242" t="inlineStr">
        <is>
          <t>pagina oficial de ARPA Valle d'Aosta sobre ambiente, meteo alpino, neve — alimenta T2 (clima/acqua/suolo), T12 (politica e ambiente agricola)</t>
        </is>
      </c>
      <c r="F242" t="inlineStr">
        <is>
          <t>claude-code (missao ITALY-200-SOURCES-DISCOVERY, 2026-09-14)</t>
        </is>
      </c>
      <c r="G242" t="inlineStr">
        <is>
          <t>declarado no site oficial do dono: https://www.arpa.vda.it/</t>
        </is>
      </c>
      <c r="H242" t="inlineStr">
        <is>
          <t>CANDIDATA validada em 2026-09-14; SOURCE_ID nao atribuido (nasce na porta canonica)</t>
        </is>
      </c>
    </row>
    <row r="243">
      <c r="A243" t="inlineStr">
        <is>
          <t>LINKEDIN</t>
        </is>
      </c>
      <c r="B243" t="inlineStr">
        <is>
          <t>IT</t>
        </is>
      </c>
      <c r="C243" t="inlineStr">
        <is>
          <t>Consorzio Tutela Vini Valpolicella — Linkedin ufficiale</t>
        </is>
      </c>
      <c r="D243" t="inlineStr">
        <is>
          <t>https://www.linkedin.com/company/consorzio-per-la-tutela-dei-vini-della-valpolicella</t>
        </is>
      </c>
      <c r="E243" t="inlineStr">
        <is>
          <t>pagina oficial de Consorzio Tutela Vini Valpolicella sobre vino, DOC, viticoltura — alimenta T10 (mercado e industria), T1 (cultura e producao)</t>
        </is>
      </c>
      <c r="F243" t="inlineStr">
        <is>
          <t>claude-code (missao ITALY-200-SOURCES-DISCOVERY, 2026-09-14)</t>
        </is>
      </c>
      <c r="G243" t="inlineStr">
        <is>
          <t>declarado no site oficial do dono: https://www.consorziovalpolicella.it/</t>
        </is>
      </c>
      <c r="H243" t="inlineStr">
        <is>
          <t>CANDIDATA validada em 2026-09-14; SOURCE_ID nao atribuido (nasce na porta canonica)</t>
        </is>
      </c>
    </row>
    <row r="244">
      <c r="A244" t="inlineStr">
        <is>
          <t>LINKEDIN</t>
        </is>
      </c>
      <c r="B244" t="inlineStr">
        <is>
          <t>IT</t>
        </is>
      </c>
      <c r="C244" t="inlineStr">
        <is>
          <t>Consorzio di Bonifica Piave — Linkedin ufficiale</t>
        </is>
      </c>
      <c r="D244" t="inlineStr">
        <is>
          <t>https://www.linkedin.com/company/15179878/admin/dashboard</t>
        </is>
      </c>
      <c r="E244" t="inlineStr">
        <is>
          <t>pagina oficial de Consorzio di Bonifica Piave sobre irrigazione, acqua — alimenta T2 (clima/acqua/suolo), T1 (cultura e producao)</t>
        </is>
      </c>
      <c r="F244" t="inlineStr">
        <is>
          <t>claude-code (missao ITALY-200-SOURCES-DISCOVERY, 2026-09-14)</t>
        </is>
      </c>
      <c r="G244" t="inlineStr">
        <is>
          <t>declarado no site oficial do dono: https://www.consorziopiave.it/</t>
        </is>
      </c>
      <c r="H244" t="inlineStr">
        <is>
          <t>CANDIDATA validada em 2026-09-14; SOURCE_ID nao atribuido (nasce na porta canonica)</t>
        </is>
      </c>
    </row>
    <row r="245">
      <c r="A245" t="inlineStr">
        <is>
          <t>ORGANIZACAO</t>
        </is>
      </c>
      <c r="B245" t="inlineStr">
        <is>
          <t>IT</t>
        </is>
      </c>
      <c r="C245" t="inlineStr">
        <is>
          <t>Consorzio Tutela Vini d'Abruzzo</t>
        </is>
      </c>
      <c r="D245" t="inlineStr">
        <is>
          <t>https://www.vinidabruzzo.it/</t>
        </is>
      </c>
      <c r="E245" t="inlineStr">
        <is>
          <t>organizacao de Consorzio Tutela Vini d'Abruzzo sobre vino, DOC — alimenta T10 (mercado e industria), T1 (cultura e producao)</t>
        </is>
      </c>
      <c r="F245" t="inlineStr">
        <is>
          <t>claude-code (missao ITALY-200-SOURCES-DISCOVERY, 2026-09-14)</t>
        </is>
      </c>
      <c r="G245" t="inlineStr">
        <is>
          <t>descoberta por familia de fonte 'consorzio_tutela' e verificada por sonda HTTP</t>
        </is>
      </c>
      <c r="H245" t="inlineStr">
        <is>
          <t>CANDIDATA validada em 2026-09-14; SOURCE_ID nao atribuido (nasce na porta canonica)</t>
        </is>
      </c>
    </row>
    <row r="246">
      <c r="A246" t="inlineStr">
        <is>
          <t>ORGANIZACAO</t>
        </is>
      </c>
      <c r="B246" t="inlineStr">
        <is>
          <t>IT</t>
        </is>
      </c>
      <c r="C246" t="inlineStr">
        <is>
          <t>Valagro</t>
        </is>
      </c>
      <c r="D246" t="inlineStr">
        <is>
          <t>https://www.valagro.com/it/</t>
        </is>
      </c>
      <c r="E246" t="inlineStr">
        <is>
          <t>organizacao de Valagro — Syngenta Group sobre biostimolanti, nutrizione — alimenta T9 (concorrentes), T10 (mercado e industria)</t>
        </is>
      </c>
      <c r="F246" t="inlineStr">
        <is>
          <t>claude-code (missao ITALY-200-SOURCES-DISCOVERY, 2026-09-14)</t>
        </is>
      </c>
      <c r="G246" t="inlineStr">
        <is>
          <t>descoberta por familia de fonte 'concorrente' e verificada por sonda HTTP</t>
        </is>
      </c>
      <c r="H246" t="inlineStr">
        <is>
          <t>CANDIDATA validada em 2026-09-14; SOURCE_ID nao atribuido (nasce na porta canonica)</t>
        </is>
      </c>
    </row>
    <row r="247">
      <c r="A247" t="inlineStr">
        <is>
          <t>ORGANIZACAO</t>
        </is>
      </c>
      <c r="B247" t="inlineStr">
        <is>
          <t>IT</t>
        </is>
      </c>
      <c r="C247" t="inlineStr">
        <is>
          <t>Biolchim</t>
        </is>
      </c>
      <c r="D247" t="inlineStr">
        <is>
          <t>https://biolchim.it/</t>
        </is>
      </c>
      <c r="E247" t="inlineStr">
        <is>
          <t>organizacao de Biolchim sobre biostimolanti, nutrizione — alimenta T9 (concorrentes), T10 (mercado e industria)</t>
        </is>
      </c>
      <c r="F247" t="inlineStr">
        <is>
          <t>claude-code (missao ITALY-200-SOURCES-DISCOVERY, 2026-09-14)</t>
        </is>
      </c>
      <c r="G247" t="inlineStr">
        <is>
          <t>descoberta por familia de fonte 'concorrente' e verificada por sonda HTTP</t>
        </is>
      </c>
      <c r="H247" t="inlineStr">
        <is>
          <t>endereco corrigido: o host com www devolve 404 · CANDIDATA validada em 2026-09-14; SOURCE_ID nao atribuido (nasce na porta canonica)</t>
        </is>
      </c>
    </row>
    <row r="248">
      <c r="A248" t="inlineStr">
        <is>
          <t>ORGANIZACAO</t>
        </is>
      </c>
      <c r="B248" t="inlineStr">
        <is>
          <t>IT</t>
        </is>
      </c>
      <c r="C248" t="inlineStr">
        <is>
          <t>CSO Italy — Centro Servizi Ortofrutticoli</t>
        </is>
      </c>
      <c r="D248" t="inlineStr">
        <is>
          <t>https://www.csoservizi.com/</t>
        </is>
      </c>
      <c r="E248" t="inlineStr">
        <is>
          <t>organizacao de CSO Italy sobre ortofrutta, mercato, dati — alimenta T10 (mercado e industria), T1 (cultura e producao)</t>
        </is>
      </c>
      <c r="F248" t="inlineStr">
        <is>
          <t>claude-code (missao ITALY-200-SOURCES-DISCOVERY, 2026-09-14)</t>
        </is>
      </c>
      <c r="G248" t="inlineStr">
        <is>
          <t>descoberta por familia de fonte 'filiera' e verificada por sonda HTTP</t>
        </is>
      </c>
      <c r="H248" t="inlineStr">
        <is>
          <t>CANDIDATA validada em 2026-09-14; SOURCE_ID nao atribuido (nasce na porta canonica)</t>
        </is>
      </c>
    </row>
    <row r="249">
      <c r="A249" t="inlineStr">
        <is>
          <t>ORGANIZACAO</t>
        </is>
      </c>
      <c r="B249" t="inlineStr">
        <is>
          <t>IT</t>
        </is>
      </c>
      <c r="C249" t="inlineStr">
        <is>
          <t>Cantina Sociale Cooperativa Riunite e CIV</t>
        </is>
      </c>
      <c r="D249" t="inlineStr">
        <is>
          <t>https://www.riuniteciv.com/</t>
        </is>
      </c>
      <c r="E249" t="inlineStr">
        <is>
          <t>organizacao de Riunite &amp; CIV sobre cooperativa vitivinicola — alimenta T10 (mercado e industria), T1 (cultura e producao)</t>
        </is>
      </c>
      <c r="F249" t="inlineStr">
        <is>
          <t>claude-code (missao ITALY-200-SOURCES-DISCOVERY, 2026-09-14)</t>
        </is>
      </c>
      <c r="G249" t="inlineStr">
        <is>
          <t>descoberta por familia de fonte 'cooperativa' e verificada por sonda HTTP</t>
        </is>
      </c>
      <c r="H249" t="inlineStr">
        <is>
          <t>CANDIDATA validada em 2026-09-14; SOURCE_ID nao atribuido (nasce na porta canonica)</t>
        </is>
      </c>
    </row>
    <row r="250">
      <c r="A250" t="inlineStr">
        <is>
          <t>ORGANIZACAO</t>
        </is>
      </c>
      <c r="B250" t="inlineStr">
        <is>
          <t>IT</t>
        </is>
      </c>
      <c r="C250" t="inlineStr">
        <is>
          <t>Caviro</t>
        </is>
      </c>
      <c r="D250" t="inlineStr">
        <is>
          <t>https://www.caviro.com/</t>
        </is>
      </c>
      <c r="E250" t="inlineStr">
        <is>
          <t>organizacao de Caviro sobre cooperativa vitivinicola, economia circolare — alimenta T10 (mercado e industria), T1 (cultura e producao)</t>
        </is>
      </c>
      <c r="F250" t="inlineStr">
        <is>
          <t>claude-code (missao ITALY-200-SOURCES-DISCOVERY, 2026-09-14)</t>
        </is>
      </c>
      <c r="G250" t="inlineStr">
        <is>
          <t>descoberta por familia de fonte 'cooperativa' e verificada por sonda HTTP</t>
        </is>
      </c>
      <c r="H250" t="inlineStr">
        <is>
          <t>CANDIDATA validada em 2026-09-14; SOURCE_ID nao atribuido (nasce na porta canonica)</t>
        </is>
      </c>
    </row>
    <row r="251">
      <c r="A251" t="inlineStr">
        <is>
          <t>ORGANIZACAO</t>
        </is>
      </c>
      <c r="B251" t="inlineStr">
        <is>
          <t>IT</t>
        </is>
      </c>
      <c r="C251" t="inlineStr">
        <is>
          <t>Cifo</t>
        </is>
      </c>
      <c r="D251" t="inlineStr">
        <is>
          <t>https://www.cifo.it/</t>
        </is>
      </c>
      <c r="E251" t="inlineStr">
        <is>
          <t>organizacao de Cifo sobre nutrizione vegetale — alimenta T9 (concorrentes), T10 (mercado e industria)</t>
        </is>
      </c>
      <c r="F251" t="inlineStr">
        <is>
          <t>claude-code (missao ITALY-200-SOURCES-DISCOVERY, 2026-09-14)</t>
        </is>
      </c>
      <c r="G251" t="inlineStr">
        <is>
          <t>descoberta por familia de fonte 'concorrente' e verificada por sonda HTTP</t>
        </is>
      </c>
      <c r="H251" t="inlineStr">
        <is>
          <t>CANDIDATA validada em 2026-09-14; SOURCE_ID nao atribuido (nasce na porta canonica)</t>
        </is>
      </c>
    </row>
    <row r="252">
      <c r="A252" t="inlineStr">
        <is>
          <t>ORGANIZACAO</t>
        </is>
      </c>
      <c r="B252" t="inlineStr">
        <is>
          <t>IT</t>
        </is>
      </c>
      <c r="C252" t="inlineStr">
        <is>
          <t>Conserve Italia</t>
        </is>
      </c>
      <c r="D252" t="inlineStr">
        <is>
          <t>https://www.conserveitalia.it/</t>
        </is>
      </c>
      <c r="E252" t="inlineStr">
        <is>
          <t>organizacao de Conserve Italia sobre cooperativa, trasformazione — alimenta T10 (mercado e industria), T1 (cultura e producao)</t>
        </is>
      </c>
      <c r="F252" t="inlineStr">
        <is>
          <t>claude-code (missao ITALY-200-SOURCES-DISCOVERY, 2026-09-14)</t>
        </is>
      </c>
      <c r="G252" t="inlineStr">
        <is>
          <t>descoberta por familia de fonte 'cooperativa' e verificada por sonda HTTP</t>
        </is>
      </c>
      <c r="H252" t="inlineStr">
        <is>
          <t>CANDIDATA validada em 2026-09-14; SOURCE_ID nao atribuido (nasce na porta canonica)</t>
        </is>
      </c>
    </row>
    <row r="253">
      <c r="A253" t="inlineStr">
        <is>
          <t>ORGANIZACAO</t>
        </is>
      </c>
      <c r="B253" t="inlineStr">
        <is>
          <t>IT</t>
        </is>
      </c>
      <c r="C253" t="inlineStr">
        <is>
          <t>Consorzio del Parmigiano Reggiano</t>
        </is>
      </c>
      <c r="D253" t="inlineStr">
        <is>
          <t>https://www.parmigianoreggiano.it/</t>
        </is>
      </c>
      <c r="E253" t="inlineStr">
        <is>
          <t>organizacao de Consorzio Tutela Parmigiano Reggiano sobre DOP, latte, filiera — alimenta T10 (mercado e industria), T1 (cultura e producao)</t>
        </is>
      </c>
      <c r="F253" t="inlineStr">
        <is>
          <t>claude-code (missao ITALY-200-SOURCES-DISCOVERY, 2026-09-14)</t>
        </is>
      </c>
      <c r="G253" t="inlineStr">
        <is>
          <t>descoberta por familia de fonte 'consorzio_tutela' e verificada por sonda HTTP</t>
        </is>
      </c>
      <c r="H253" t="inlineStr">
        <is>
          <t>CANDIDATA validada em 2026-09-14; SOURCE_ID nao atribuido (nasce na porta canonica)</t>
        </is>
      </c>
    </row>
    <row r="254">
      <c r="A254" t="inlineStr">
        <is>
          <t>ORGANIZACAO</t>
        </is>
      </c>
      <c r="B254" t="inlineStr">
        <is>
          <t>IT</t>
        </is>
      </c>
      <c r="C254" t="inlineStr">
        <is>
          <t>Consorzio di Bonifica della Romagna</t>
        </is>
      </c>
      <c r="D254" t="inlineStr">
        <is>
          <t>https://www.bonificaromagna.it/</t>
        </is>
      </c>
      <c r="E254" t="inlineStr">
        <is>
          <t>organizacao de Consorzio di Bonifica della Romagna sobre irrigazione, bonifica — alimenta T2 (clima/acqua/suolo), T1 (cultura e producao)</t>
        </is>
      </c>
      <c r="F254" t="inlineStr">
        <is>
          <t>claude-code (missao ITALY-200-SOURCES-DISCOVERY, 2026-09-14)</t>
        </is>
      </c>
      <c r="G254" t="inlineStr">
        <is>
          <t>descoberta por familia de fonte 'consorzio_bonifica' e verificada por sonda HTTP</t>
        </is>
      </c>
      <c r="H254" t="inlineStr">
        <is>
          <t>endereco corrigido: dominio correto e bonificaromagna.it · CANDIDATA validada em 2026-09-14; SOURCE_ID nao atribuido (nasce na porta canonica)</t>
        </is>
      </c>
    </row>
    <row r="255">
      <c r="A255" t="inlineStr">
        <is>
          <t>ORGANIZACAO</t>
        </is>
      </c>
      <c r="B255" t="inlineStr">
        <is>
          <t>IT</t>
        </is>
      </c>
      <c r="C255" t="inlineStr">
        <is>
          <t>Consorzio di Tutela dell'Aceto Balsamico di Modena</t>
        </is>
      </c>
      <c r="D255" t="inlineStr">
        <is>
          <t>https://www.consorziobalsamico.it/</t>
        </is>
      </c>
      <c r="E255" t="inlineStr">
        <is>
          <t>organizacao de Consorzio Aceto Balsamico di Modena sobre IGP, trasformazione — alimenta T10 (mercado e industria)</t>
        </is>
      </c>
      <c r="F255" t="inlineStr">
        <is>
          <t>claude-code (missao ITALY-200-SOURCES-DISCOVERY, 2026-09-14)</t>
        </is>
      </c>
      <c r="G255" t="inlineStr">
        <is>
          <t>descoberta por familia de fonte 'consorzio_tutela' e verificada por sonda HTTP</t>
        </is>
      </c>
      <c r="H255" t="inlineStr">
        <is>
          <t>CANDIDATA validada em 2026-09-14; SOURCE_ID nao atribuido (nasce na porta canonica)</t>
        </is>
      </c>
    </row>
    <row r="256">
      <c r="A256" t="inlineStr">
        <is>
          <t>ORGANIZACAO</t>
        </is>
      </c>
      <c r="B256" t="inlineStr">
        <is>
          <t>IT</t>
        </is>
      </c>
      <c r="C256" t="inlineStr">
        <is>
          <t>Fieravicola</t>
        </is>
      </c>
      <c r="D256" t="inlineStr">
        <is>
          <t>https://www.fieravicola.com/</t>
        </is>
      </c>
      <c r="E256" t="inlineStr">
        <is>
          <t>organizacao de Fieravicola sobre fiera avicoltura — alimenta T11 (eventos), T10 (mercado e industria)</t>
        </is>
      </c>
      <c r="F256" t="inlineStr">
        <is>
          <t>claude-code (missao ITALY-200-SOURCES-DISCOVERY, 2026-09-14)</t>
        </is>
      </c>
      <c r="G256" t="inlineStr">
        <is>
          <t>descoberta por familia de fonte 'evento' e verificada por sonda HTTP</t>
        </is>
      </c>
      <c r="H256" t="inlineStr">
        <is>
          <t>CANDIDATA validada em 2026-09-14; SOURCE_ID nao atribuido (nasce na porta canonica)</t>
        </is>
      </c>
    </row>
    <row r="257">
      <c r="A257" t="inlineStr">
        <is>
          <t>ORGANIZACAO</t>
        </is>
      </c>
      <c r="B257" t="inlineStr">
        <is>
          <t>IT</t>
        </is>
      </c>
      <c r="C257" t="inlineStr">
        <is>
          <t>Granarolo</t>
        </is>
      </c>
      <c r="D257" t="inlineStr">
        <is>
          <t>https://www.granarolo.it/</t>
        </is>
      </c>
      <c r="E257" t="inlineStr">
        <is>
          <t>organizacao de Granarolo sobre latte, filiera — alimenta T10 (mercado e industria)</t>
        </is>
      </c>
      <c r="F257" t="inlineStr">
        <is>
          <t>claude-code (missao ITALY-200-SOURCES-DISCOVERY, 2026-09-14)</t>
        </is>
      </c>
      <c r="G257" t="inlineStr">
        <is>
          <t>descoberta por familia de fonte 'cooperativa' e verificada por sonda HTTP</t>
        </is>
      </c>
      <c r="H257" t="inlineStr">
        <is>
          <t>CANDIDATA validada em 2026-09-14; SOURCE_ID nao atribuido (nasce na porta canonica)</t>
        </is>
      </c>
    </row>
    <row r="258">
      <c r="A258" t="inlineStr">
        <is>
          <t>ORGANIZACAO</t>
        </is>
      </c>
      <c r="B258" t="inlineStr">
        <is>
          <t>IT</t>
        </is>
      </c>
      <c r="C258" t="inlineStr">
        <is>
          <t>Macfrut</t>
        </is>
      </c>
      <c r="D258" t="inlineStr">
        <is>
          <t>https://www.macfrut.com/</t>
        </is>
      </c>
      <c r="E258" t="inlineStr">
        <is>
          <t>organizacao de Cesena Fiera sobre fiera ortofrutta — alimenta T11 (eventos), T10 (mercado e industria)</t>
        </is>
      </c>
      <c r="F258" t="inlineStr">
        <is>
          <t>claude-code (missao ITALY-200-SOURCES-DISCOVERY, 2026-09-14)</t>
        </is>
      </c>
      <c r="G258" t="inlineStr">
        <is>
          <t>descoberta por familia de fonte 'evento' e verificada por sonda HTTP</t>
        </is>
      </c>
      <c r="H258" t="inlineStr">
        <is>
          <t>CANDIDATA validada em 2026-09-14; SOURCE_ID nao atribuido (nasce na porta canonica)</t>
        </is>
      </c>
    </row>
    <row r="259">
      <c r="A259" t="inlineStr">
        <is>
          <t>ORGANIZACAO</t>
        </is>
      </c>
      <c r="B259" t="inlineStr">
        <is>
          <t>IT</t>
        </is>
      </c>
      <c r="C259" t="inlineStr">
        <is>
          <t>Nomisma</t>
        </is>
      </c>
      <c r="D259" t="inlineStr">
        <is>
          <t>https://www.nomisma.it/</t>
        </is>
      </c>
      <c r="E259" t="inlineStr">
        <is>
          <t>organizacao de Nomisma sobre studi economici, agroalimentare — alimenta T10 (mercado e industria), T12 (politica e ambiente agricola)</t>
        </is>
      </c>
      <c r="F259" t="inlineStr">
        <is>
          <t>claude-code (missao ITALY-200-SOURCES-DISCOVERY, 2026-09-14)</t>
        </is>
      </c>
      <c r="G259" t="inlineStr">
        <is>
          <t>descoberta por familia de fonte 'ricerca_economica' e verificada por sonda HTTP</t>
        </is>
      </c>
      <c r="H259" t="inlineStr">
        <is>
          <t>CANDIDATA validada em 2026-09-14; SOURCE_ID nao atribuido (nasce na porta canonica)</t>
        </is>
      </c>
    </row>
    <row r="260">
      <c r="A260" t="inlineStr">
        <is>
          <t>ORGANIZACAO</t>
        </is>
      </c>
      <c r="B260" t="inlineStr">
        <is>
          <t>IT</t>
        </is>
      </c>
      <c r="C260" t="inlineStr">
        <is>
          <t>OP Alegra</t>
        </is>
      </c>
      <c r="D260" t="inlineStr">
        <is>
          <t>https://www.alegra.it/</t>
        </is>
      </c>
      <c r="E260" t="inlineStr">
        <is>
          <t>organizacao de Alegra sobre organizzazione produttori, ortofrutta — alimenta T10 (mercado e industria), T1 (cultura e producao)</t>
        </is>
      </c>
      <c r="F260" t="inlineStr">
        <is>
          <t>claude-code (missao ITALY-200-SOURCES-DISCOVERY, 2026-09-14)</t>
        </is>
      </c>
      <c r="G260" t="inlineStr">
        <is>
          <t>descoberta por familia de fonte 'op_aop' e verificada por sonda HTTP</t>
        </is>
      </c>
      <c r="H260" t="inlineStr">
        <is>
          <t>CANDIDATA validada em 2026-09-14; SOURCE_ID nao atribuido (nasce na porta canonica)</t>
        </is>
      </c>
    </row>
    <row r="261">
      <c r="A261" t="inlineStr">
        <is>
          <t>ORGANIZACAO</t>
        </is>
      </c>
      <c r="B261" t="inlineStr">
        <is>
          <t>IT</t>
        </is>
      </c>
      <c r="C261" t="inlineStr">
        <is>
          <t>SANA — Salone del biologico e naturale</t>
        </is>
      </c>
      <c r="D261" t="inlineStr">
        <is>
          <t>https://www.sana.it/</t>
        </is>
      </c>
      <c r="E261" t="inlineStr">
        <is>
          <t>organizacao de BolognaFiere sobre fiera biologico — alimenta T11 (eventos), T10 (mercado e industria)</t>
        </is>
      </c>
      <c r="F261" t="inlineStr">
        <is>
          <t>claude-code (missao ITALY-200-SOURCES-DISCOVERY, 2026-09-14)</t>
        </is>
      </c>
      <c r="G261" t="inlineStr">
        <is>
          <t>descoberta por familia de fonte 'evento' e verificada por sonda HTTP</t>
        </is>
      </c>
      <c r="H261" t="inlineStr">
        <is>
          <t>CANDIDATA validada em 2026-09-14; SOURCE_ID nao atribuido (nasce na porta canonica)</t>
        </is>
      </c>
    </row>
    <row r="262">
      <c r="A262" t="inlineStr">
        <is>
          <t>ORGANIZACAO</t>
        </is>
      </c>
      <c r="B262" t="inlineStr">
        <is>
          <t>IT</t>
        </is>
      </c>
      <c r="C262" t="inlineStr">
        <is>
          <t>SCAM</t>
        </is>
      </c>
      <c r="D262" t="inlineStr">
        <is>
          <t>https://www.scam.it/</t>
        </is>
      </c>
      <c r="E262" t="inlineStr">
        <is>
          <t>organizacao de SCAM S.p.A. sobre fertilizzanti, fitosanitari — alimenta T9 (concorrentes), T10 (mercado e industria)</t>
        </is>
      </c>
      <c r="F262" t="inlineStr">
        <is>
          <t>claude-code (missao ITALY-200-SOURCES-DISCOVERY, 2026-09-14)</t>
        </is>
      </c>
      <c r="G262" t="inlineStr">
        <is>
          <t>descoberta por familia de fonte 'concorrente' e verificada por sonda HTTP</t>
        </is>
      </c>
      <c r="H262" t="inlineStr">
        <is>
          <t>CANDIDATA validada em 2026-09-14; SOURCE_ID nao atribuido (nasce na porta canonica)</t>
        </is>
      </c>
    </row>
    <row r="263">
      <c r="A263" t="inlineStr">
        <is>
          <t>ORGANIZACAO</t>
        </is>
      </c>
      <c r="B263" t="inlineStr">
        <is>
          <t>IT</t>
        </is>
      </c>
      <c r="C263" t="inlineStr">
        <is>
          <t>Terremerse</t>
        </is>
      </c>
      <c r="D263" t="inlineStr">
        <is>
          <t>https://www.terremerse.it/</t>
        </is>
      </c>
      <c r="E263" t="inlineStr">
        <is>
          <t>organizacao de Terremerse sobre cooperativa, distribuzione, agroservizi — alimenta T10 (mercado e industria), T7 (rede tecnica)</t>
        </is>
      </c>
      <c r="F263" t="inlineStr">
        <is>
          <t>claude-code (missao ITALY-200-SOURCES-DISCOVERY, 2026-09-14)</t>
        </is>
      </c>
      <c r="G263" t="inlineStr">
        <is>
          <t>descoberta por familia de fonte 'cooperativa' e verificada por sonda HTTP</t>
        </is>
      </c>
      <c r="H263" t="inlineStr">
        <is>
          <t>CANDIDATA validada em 2026-09-14; SOURCE_ID nao atribuido (nasce na porta canonica)</t>
        </is>
      </c>
    </row>
    <row r="264">
      <c r="A264" t="inlineStr">
        <is>
          <t>ORGANIZACAO</t>
        </is>
      </c>
      <c r="B264" t="inlineStr">
        <is>
          <t>IT</t>
        </is>
      </c>
      <c r="C264" t="inlineStr">
        <is>
          <t>Unione Nazionale Associazioni Produttori Olivicoli — UNAPROL</t>
        </is>
      </c>
      <c r="D264" t="inlineStr">
        <is>
          <t>https://www.unaprol.it/</t>
        </is>
      </c>
      <c r="E264" t="inlineStr">
        <is>
          <t>organizacao de Unaprol sobre olivicoltura, OP — alimenta T1 (cultura e producao), T10 (mercado e industria)</t>
        </is>
      </c>
      <c r="F264" t="inlineStr">
        <is>
          <t>claude-code (missao ITALY-200-SOURCES-DISCOVERY, 2026-09-14)</t>
        </is>
      </c>
      <c r="G264" t="inlineStr">
        <is>
          <t>descoberta por familia de fonte 'op_aop' e verificada por sonda HTTP</t>
        </is>
      </c>
      <c r="H264" t="inlineStr">
        <is>
          <t>CANDIDATA validada em 2026-09-14; SOURCE_ID nao atribuido (nasce na porta canonica)</t>
        </is>
      </c>
    </row>
    <row r="265">
      <c r="A265" t="inlineStr">
        <is>
          <t>ORGANIZACAO</t>
        </is>
      </c>
      <c r="B265" t="inlineStr">
        <is>
          <t>IT</t>
        </is>
      </c>
      <c r="C265" t="inlineStr">
        <is>
          <t>CBC Biogard</t>
        </is>
      </c>
      <c r="D265" t="inlineStr">
        <is>
          <t>https://www.biogard.it/</t>
        </is>
      </c>
      <c r="E265" t="inlineStr">
        <is>
          <t>organizacao de CBC Europe — Biogard sobre biocontrollo, difesa biologica — alimenta T9 (concorrentes), T3 (praga, doenca e infestanti)</t>
        </is>
      </c>
      <c r="F265" t="inlineStr">
        <is>
          <t>claude-code (missao ITALY-200-SOURCES-DISCOVERY, 2026-09-14)</t>
        </is>
      </c>
      <c r="G265" t="inlineStr">
        <is>
          <t>descoberta por familia de fonte 'concorrente' e verificada por sonda HTTP</t>
        </is>
      </c>
      <c r="H265" t="inlineStr">
        <is>
          <t>CANDIDATA validada em 2026-09-14; SOURCE_ID nao atribuido (nasce na porta canonica)</t>
        </is>
      </c>
    </row>
    <row r="266">
      <c r="A266" t="inlineStr">
        <is>
          <t>ORGANIZACAO</t>
        </is>
      </c>
      <c r="B266" t="inlineStr">
        <is>
          <t>IT</t>
        </is>
      </c>
      <c r="C266" t="inlineStr">
        <is>
          <t>Confagricoltura Lombardia</t>
        </is>
      </c>
      <c r="D266" t="inlineStr">
        <is>
          <t>https://www.confagricolturalombardia.it/</t>
        </is>
      </c>
      <c r="E266" t="inlineStr">
        <is>
          <t>organizacao de Confagricoltura sobre organizzazione agricola regionale — alimenta T12 (politica e ambiente agricola), T7 (rede tecnica)</t>
        </is>
      </c>
      <c r="F266" t="inlineStr">
        <is>
          <t>claude-code (missao ITALY-200-SOURCES-DISCOVERY, 2026-09-14)</t>
        </is>
      </c>
      <c r="G266" t="inlineStr">
        <is>
          <t>descoberta por familia de fonte 'organizzazione_agricola' e verificada por sonda HTTP</t>
        </is>
      </c>
      <c r="H266" t="inlineStr">
        <is>
          <t>CANDIDATA validada em 2026-09-14; SOURCE_ID nao atribuido (nasce na porta canonica)</t>
        </is>
      </c>
    </row>
    <row r="267">
      <c r="A267" t="inlineStr">
        <is>
          <t>ORGANIZACAO</t>
        </is>
      </c>
      <c r="B267" t="inlineStr">
        <is>
          <t>IT</t>
        </is>
      </c>
      <c r="C267" t="inlineStr">
        <is>
          <t>Consorzio Casalasco del Pomodoro</t>
        </is>
      </c>
      <c r="D267" t="inlineStr">
        <is>
          <t>https://www.casalasco.com/</t>
        </is>
      </c>
      <c r="E267" t="inlineStr">
        <is>
          <t>organizacao de Consorzio Casalasco del Pomodoro sobre pomodoro, trasformazione — alimenta T10 (mercado e industria), T1 (cultura e producao)</t>
        </is>
      </c>
      <c r="F267" t="inlineStr">
        <is>
          <t>claude-code (missao ITALY-200-SOURCES-DISCOVERY, 2026-09-14)</t>
        </is>
      </c>
      <c r="G267" t="inlineStr">
        <is>
          <t>descoberta por familia de fonte 'cooperativa' e verificada por sonda HTTP</t>
        </is>
      </c>
      <c r="H267" t="inlineStr">
        <is>
          <t>endereco corrigido: dominio correto e casalasco.com · CANDIDATA validada em 2026-09-14; SOURCE_ID nao atribuido (nasce na porta canonica)</t>
        </is>
      </c>
    </row>
    <row r="268">
      <c r="A268" t="inlineStr">
        <is>
          <t>ORGANIZACAO</t>
        </is>
      </c>
      <c r="B268" t="inlineStr">
        <is>
          <t>IT</t>
        </is>
      </c>
      <c r="C268" t="inlineStr">
        <is>
          <t>Consorzio di Bonifica Est Ticino Villoresi</t>
        </is>
      </c>
      <c r="D268" t="inlineStr">
        <is>
          <t>https://www.etvilloresi.it/</t>
        </is>
      </c>
      <c r="E268" t="inlineStr">
        <is>
          <t>organizacao de Consorzio Est Ticino Villoresi sobre irrigazione, risaia, acqua — alimenta T2 (clima/acqua/suolo), T1 (cultura e producao)</t>
        </is>
      </c>
      <c r="F268" t="inlineStr">
        <is>
          <t>claude-code (missao ITALY-200-SOURCES-DISCOVERY, 2026-09-14)</t>
        </is>
      </c>
      <c r="G268" t="inlineStr">
        <is>
          <t>descoberta por familia de fonte 'consorzio_bonifica' e verificada por sonda HTTP</t>
        </is>
      </c>
      <c r="H268" t="inlineStr">
        <is>
          <t>CANDIDATA validada em 2026-09-14; SOURCE_ID nao atribuido (nasce na porta canonica)</t>
        </is>
      </c>
    </row>
    <row r="269">
      <c r="A269" t="inlineStr">
        <is>
          <t>ORGANIZACAO</t>
        </is>
      </c>
      <c r="B269" t="inlineStr">
        <is>
          <t>IT</t>
        </is>
      </c>
      <c r="C269" t="inlineStr">
        <is>
          <t>Consorzio di Tutela del Grana Padano</t>
        </is>
      </c>
      <c r="D269" t="inlineStr">
        <is>
          <t>https://www.granapadano.it/</t>
        </is>
      </c>
      <c r="E269" t="inlineStr">
        <is>
          <t>organizacao de Consorzio Tutela Grana Padano sobre DOP, latte, filiera — alimenta T10 (mercado e industria), T1 (cultura e producao)</t>
        </is>
      </c>
      <c r="F269" t="inlineStr">
        <is>
          <t>claude-code (missao ITALY-200-SOURCES-DISCOVERY, 2026-09-14)</t>
        </is>
      </c>
      <c r="G269" t="inlineStr">
        <is>
          <t>descoberta por familia de fonte 'consorzio_tutela' e verificada por sonda HTTP</t>
        </is>
      </c>
      <c r="H269" t="inlineStr">
        <is>
          <t>CANDIDATA validada em 2026-09-14; SOURCE_ID nao atribuido (nasce na porta canonica)</t>
        </is>
      </c>
    </row>
    <row r="270">
      <c r="A270" t="inlineStr">
        <is>
          <t>ORGANIZACAO</t>
        </is>
      </c>
      <c r="B270" t="inlineStr">
        <is>
          <t>IT</t>
        </is>
      </c>
      <c r="C270" t="inlineStr">
        <is>
          <t>Diachem</t>
        </is>
      </c>
      <c r="D270" t="inlineStr">
        <is>
          <t>https://www.diachem.it/</t>
        </is>
      </c>
      <c r="E270" t="inlineStr">
        <is>
          <t>organizacao de Diachem sobre agrofarmaci — alimenta T9 (concorrentes), T3 (praga, doenca e infestanti)</t>
        </is>
      </c>
      <c r="F270" t="inlineStr">
        <is>
          <t>claude-code (missao ITALY-200-SOURCES-DISCOVERY, 2026-09-14)</t>
        </is>
      </c>
      <c r="G270" t="inlineStr">
        <is>
          <t>descoberta por familia de fonte 'concorrente' e verificada por sonda HTTP</t>
        </is>
      </c>
      <c r="H270" t="inlineStr">
        <is>
          <t>CANDIDATA validada em 2026-09-14; SOURCE_ID nao atribuido (nasce na porta canonica)</t>
        </is>
      </c>
    </row>
    <row r="271">
      <c r="A271" t="inlineStr">
        <is>
          <t>ORGANIZACAO</t>
        </is>
      </c>
      <c r="B271" t="inlineStr">
        <is>
          <t>IT</t>
        </is>
      </c>
      <c r="C271" t="inlineStr">
        <is>
          <t>Fondazione Minoprio</t>
        </is>
      </c>
      <c r="D271" t="inlineStr">
        <is>
          <t>https://www.fondazioneminoprio.it/</t>
        </is>
      </c>
      <c r="E271" t="inlineStr">
        <is>
          <t>organizacao de Fondazione Minoprio sobre formazione, floricoltura, sperimentazione — alimenta T5 (ciencia), T7 (rede tecnica), T1 (cultura e producao)</t>
        </is>
      </c>
      <c r="F271" t="inlineStr">
        <is>
          <t>claude-code (missao ITALY-200-SOURCES-DISCOVERY, 2026-09-14)</t>
        </is>
      </c>
      <c r="G271" t="inlineStr">
        <is>
          <t>descoberta por familia de fonte 'ente_ricerca' e verificada por sonda HTTP</t>
        </is>
      </c>
      <c r="H271" t="inlineStr">
        <is>
          <t>CANDIDATA validada em 2026-09-14; SOURCE_ID nao atribuido (nasce na porta canonica)</t>
        </is>
      </c>
    </row>
    <row r="272">
      <c r="A272" t="inlineStr">
        <is>
          <t>ORGANIZACAO</t>
        </is>
      </c>
      <c r="B272" t="inlineStr">
        <is>
          <t>IT</t>
        </is>
      </c>
      <c r="C272" t="inlineStr">
        <is>
          <t>Granaria — Borsa Merci di Milano</t>
        </is>
      </c>
      <c r="D272" t="inlineStr">
        <is>
          <t>https://www.granariamilano.org/</t>
        </is>
      </c>
      <c r="E272" t="inlineStr">
        <is>
          <t>organizacao de Associazione Granaria di Milano sobre cereali, prezzi, contratti — alimenta T10 (mercado e industria)</t>
        </is>
      </c>
      <c r="F272" t="inlineStr">
        <is>
          <t>claude-code (missao ITALY-200-SOURCES-DISCOVERY, 2026-09-14)</t>
        </is>
      </c>
      <c r="G272" t="inlineStr">
        <is>
          <t>descoberta por familia de fonte 'mercado' e verificada por sonda HTTP</t>
        </is>
      </c>
      <c r="H272" t="inlineStr">
        <is>
          <t>CANDIDATA validada em 2026-09-14; SOURCE_ID nao atribuido (nasce na porta canonica)</t>
        </is>
      </c>
    </row>
    <row r="273">
      <c r="A273" t="inlineStr">
        <is>
          <t>ORGANIZACAO</t>
        </is>
      </c>
      <c r="B273" t="inlineStr">
        <is>
          <t>IT</t>
        </is>
      </c>
      <c r="C273" t="inlineStr">
        <is>
          <t>Sipcam Italia</t>
        </is>
      </c>
      <c r="D273" t="inlineStr">
        <is>
          <t>https://www.sipcamitalia.it/</t>
        </is>
      </c>
      <c r="E273" t="inlineStr">
        <is>
          <t>organizacao de Sipcam Oxon Group sobre agrofarmaci, concorrente — alimenta T9 (concorrentes), T10 (mercado e industria)</t>
        </is>
      </c>
      <c r="F273" t="inlineStr">
        <is>
          <t>claude-code (missao ITALY-200-SOURCES-DISCOVERY, 2026-09-14)</t>
        </is>
      </c>
      <c r="G273" t="inlineStr">
        <is>
          <t>descoberta por familia de fonte 'concorrente' e verificada por sonda HTTP</t>
        </is>
      </c>
      <c r="H273" t="inlineStr">
        <is>
          <t>CANDIDATA validada em 2026-09-14; SOURCE_ID nao atribuido (nasce na porta canonica)</t>
        </is>
      </c>
    </row>
    <row r="274">
      <c r="A274" t="inlineStr">
        <is>
          <t>ORGANIZACAO</t>
        </is>
      </c>
      <c r="B274" t="inlineStr">
        <is>
          <t>IT</t>
        </is>
      </c>
      <c r="C274" t="inlineStr">
        <is>
          <t>TUTTOFOOD Milano</t>
        </is>
      </c>
      <c r="D274" t="inlineStr">
        <is>
          <t>https://www.tuttofood.it/</t>
        </is>
      </c>
      <c r="E274" t="inlineStr">
        <is>
          <t>organizacao de Fiera Milano sobre fiera agroalimentare — alimenta T11 (eventos), T10 (mercado e industria)</t>
        </is>
      </c>
      <c r="F274" t="inlineStr">
        <is>
          <t>claude-code (missao ITALY-200-SOURCES-DISCOVERY, 2026-09-14)</t>
        </is>
      </c>
      <c r="G274" t="inlineStr">
        <is>
          <t>descoberta por familia de fonte 'evento' e verificada por sonda HTTP</t>
        </is>
      </c>
      <c r="H274" t="inlineStr">
        <is>
          <t>CANDIDATA validada em 2026-09-14; SOURCE_ID nao atribuido (nasce na porta canonica)</t>
        </is>
      </c>
    </row>
    <row r="275">
      <c r="A275" t="inlineStr">
        <is>
          <t>ORGANIZACAO</t>
        </is>
      </c>
      <c r="B275" t="inlineStr">
        <is>
          <t>IT</t>
        </is>
      </c>
      <c r="C275" t="inlineStr">
        <is>
          <t>AIAB — Associazione Italiana Agricoltura Biologica</t>
        </is>
      </c>
      <c r="D275" t="inlineStr">
        <is>
          <t>https://aiab.it/</t>
        </is>
      </c>
      <c r="E275" t="inlineStr">
        <is>
          <t>organizacao de AIAB sobre biologico, agroecologia — alimenta T12 (politica e ambiente agricola), T1 (cultura e producao)</t>
        </is>
      </c>
      <c r="F275" t="inlineStr">
        <is>
          <t>claude-code (missao ITALY-200-SOURCES-DISCOVERY, 2026-09-14)</t>
        </is>
      </c>
      <c r="G275" t="inlineStr">
        <is>
          <t>descoberta por familia de fonte 'organizzazione_agricola' e verificada por sonda HTTP</t>
        </is>
      </c>
      <c r="H275" t="inlineStr">
        <is>
          <t>CANDIDATA validada em 2026-09-14; SOURCE_ID nao atribuido (nasce na porta canonica)</t>
        </is>
      </c>
    </row>
    <row r="276">
      <c r="A276" t="inlineStr">
        <is>
          <t>ORGANIZACAO</t>
        </is>
      </c>
      <c r="B276" t="inlineStr">
        <is>
          <t>IT</t>
        </is>
      </c>
      <c r="C276" t="inlineStr">
        <is>
          <t>AIAM — Associazione Italiana di Agrometeorologia</t>
        </is>
      </c>
      <c r="D276" t="inlineStr">
        <is>
          <t>https://www.agrometeorologia.it/</t>
        </is>
      </c>
      <c r="E276" t="inlineStr">
        <is>
          <t>organizacao de AIAM sobre agrometeorologia, convegno — alimenta T2 (clima/acqua/suolo), T5 (ciencia), T11 (eventos)</t>
        </is>
      </c>
      <c r="F276" t="inlineStr">
        <is>
          <t>claude-code (missao ITALY-200-SOURCES-DISCOVERY, 2026-09-14)</t>
        </is>
      </c>
      <c r="G276" t="inlineStr">
        <is>
          <t>descoberta por familia de fonte 'societa_scientifica' e verificada por sonda HTTP</t>
        </is>
      </c>
      <c r="H276" t="inlineStr">
        <is>
          <t>CANDIDATA validada em 2026-09-14; SOURCE_ID nao atribuido (nasce na porta canonica)</t>
        </is>
      </c>
    </row>
    <row r="277">
      <c r="A277" t="inlineStr">
        <is>
          <t>ORGANIZACAO</t>
        </is>
      </c>
      <c r="B277" t="inlineStr">
        <is>
          <t>IT</t>
        </is>
      </c>
      <c r="C277" t="inlineStr">
        <is>
          <t>ANBI — Associazione Nazionale Consorzi di gestione e tutela del territorio e acque irrigue</t>
        </is>
      </c>
      <c r="D277" t="inlineStr">
        <is>
          <t>https://www.anbi.it/</t>
        </is>
      </c>
      <c r="E277" t="inlineStr">
        <is>
          <t>organizacao de ANBI sobre consorzi di bonifica, irrigazione — alimenta T2 (clima/acqua/suolo), T12 (politica e ambiente agricola)</t>
        </is>
      </c>
      <c r="F277" t="inlineStr">
        <is>
          <t>claude-code (missao ITALY-200-SOURCES-DISCOVERY, 2026-09-14)</t>
        </is>
      </c>
      <c r="G277" t="inlineStr">
        <is>
          <t>descoberta por familia de fonte 'consorzio_bonifica' e verificada por sonda HTTP</t>
        </is>
      </c>
      <c r="H277" t="inlineStr">
        <is>
          <t>CANDIDATA validada em 2026-09-14; SOURCE_ID nao atribuido (nasce na porta canonica)</t>
        </is>
      </c>
    </row>
    <row r="278">
      <c r="A278" t="inlineStr">
        <is>
          <t>ORGANIZACAO</t>
        </is>
      </c>
      <c r="B278" t="inlineStr">
        <is>
          <t>IT</t>
        </is>
      </c>
      <c r="C278" t="inlineStr">
        <is>
          <t>ANGA — Giovani di Confagricoltura</t>
        </is>
      </c>
      <c r="D278" t="inlineStr">
        <is>
          <t>http://www.anga.it/</t>
        </is>
      </c>
      <c r="E278" t="inlineStr">
        <is>
          <t>organizacao de Confagricoltura sobre giovani agricoltori — alimenta T8 (agricultores e influenciadores), T12 (politica e ambiente agricola)</t>
        </is>
      </c>
      <c r="F278" t="inlineStr">
        <is>
          <t>claude-code (missao ITALY-200-SOURCES-DISCOVERY, 2026-09-14)</t>
        </is>
      </c>
      <c r="G278" t="inlineStr">
        <is>
          <t>descoberta por familia de fonte 'organizzazione_agricola' e verificada por sonda HTTP</t>
        </is>
      </c>
      <c r="H278" t="inlineStr">
        <is>
          <t>endereco corrigido: handshake TLS recusado; o endereco HTTP serve a associacao · cadeia TLS incompleta no servidor; validado com o intermediario obtido por AIA · so' responde em HTTP: o certificado do host esta' invalido · CANDIDATA validada em 2026-09-14; SOURCE_ID nao atribuido (nasce na porta canonica)</t>
        </is>
      </c>
    </row>
    <row r="279">
      <c r="A279" t="inlineStr">
        <is>
          <t>ORGANIZACAO</t>
        </is>
      </c>
      <c r="B279" t="inlineStr">
        <is>
          <t>IT</t>
        </is>
      </c>
      <c r="C279" t="inlineStr">
        <is>
          <t>Agrofarma — Federchimica</t>
        </is>
      </c>
      <c r="D279" t="inlineStr">
        <is>
          <t>https://agrofarma.federchimica.it/</t>
        </is>
      </c>
      <c r="E279" t="inlineStr">
        <is>
          <t>organizacao de Federchimica Agrofarma sobre agrofarmaci, industria, regolatorio — alimenta T9 (concorrentes), T10 (mercado e industria), T4 (regulatorio)</t>
        </is>
      </c>
      <c r="F279" t="inlineStr">
        <is>
          <t>claude-code (missao ITALY-200-SOURCES-DISCOVERY, 2026-09-14)</t>
        </is>
      </c>
      <c r="G279" t="inlineStr">
        <is>
          <t>descoberta por familia de fonte 'industria' e verificada por sonda HTTP</t>
        </is>
      </c>
      <c r="H279" t="inlineStr">
        <is>
          <t>CANDIDATA validada em 2026-09-14; SOURCE_ID nao atribuido (nasce na porta canonica)</t>
        </is>
      </c>
    </row>
    <row r="280">
      <c r="A280" t="inlineStr">
        <is>
          <t>ORGANIZACAO</t>
        </is>
      </c>
      <c r="B280" t="inlineStr">
        <is>
          <t>IT</t>
        </is>
      </c>
      <c r="C280" t="inlineStr">
        <is>
          <t>Alleanza delle Cooperative Italiane Agroalimentare</t>
        </is>
      </c>
      <c r="D280" t="inlineStr">
        <is>
          <t>https://www.alleanzacooperative.it/</t>
        </is>
      </c>
      <c r="E280" t="inlineStr">
        <is>
          <t>organizacao de Alleanza Cooperative sobre cooperative — alimenta T10 (mercado e industria), T12 (politica e ambiente agricola)</t>
        </is>
      </c>
      <c r="F280" t="inlineStr">
        <is>
          <t>claude-code (missao ITALY-200-SOURCES-DISCOVERY, 2026-09-14)</t>
        </is>
      </c>
      <c r="G280" t="inlineStr">
        <is>
          <t>descoberta por familia de fonte 'cooperativa' e verificada por sonda HTTP</t>
        </is>
      </c>
      <c r="H280" t="inlineStr">
        <is>
          <t>CANDIDATA validada em 2026-09-14; SOURCE_ID nao atribuido (nasce na porta canonica)</t>
        </is>
      </c>
    </row>
    <row r="281">
      <c r="A281" t="inlineStr">
        <is>
          <t>ORGANIZACAO</t>
        </is>
      </c>
      <c r="B281" t="inlineStr">
        <is>
          <t>IT</t>
        </is>
      </c>
      <c r="C281" t="inlineStr">
        <is>
          <t>Assofertilizzanti — Federchimica</t>
        </is>
      </c>
      <c r="D281" t="inlineStr">
        <is>
          <t>https://assofertilizzanti.federchimica.it/</t>
        </is>
      </c>
      <c r="E281" t="inlineStr">
        <is>
          <t>organizacao de Federchimica sobre fertilizzanti, nutrizione — alimenta T10 (mercado e industria), T1 (cultura e producao)</t>
        </is>
      </c>
      <c r="F281" t="inlineStr">
        <is>
          <t>claude-code (missao ITALY-200-SOURCES-DISCOVERY, 2026-09-14)</t>
        </is>
      </c>
      <c r="G281" t="inlineStr">
        <is>
          <t>descoberta por familia de fonte 'industria' e verificada por sonda HTTP</t>
        </is>
      </c>
      <c r="H281" t="inlineStr">
        <is>
          <t>CANDIDATA validada em 2026-09-14; SOURCE_ID nao atribuido (nasce na porta canonica)</t>
        </is>
      </c>
    </row>
    <row r="282">
      <c r="A282" t="inlineStr">
        <is>
          <t>ORGANIZACAO</t>
        </is>
      </c>
      <c r="B282" t="inlineStr">
        <is>
          <t>IT</t>
        </is>
      </c>
      <c r="C282" t="inlineStr">
        <is>
          <t>Assosementi</t>
        </is>
      </c>
      <c r="D282" t="inlineStr">
        <is>
          <t>https://www.sementi.it/</t>
        </is>
      </c>
      <c r="E282" t="inlineStr">
        <is>
          <t>organizacao de Assosementi sobre sementi, varieta — alimenta T1 (cultura e producao), T10 (mercado e industria)</t>
        </is>
      </c>
      <c r="F282" t="inlineStr">
        <is>
          <t>claude-code (missao ITALY-200-SOURCES-DISCOVERY, 2026-09-14)</t>
        </is>
      </c>
      <c r="G282" t="inlineStr">
        <is>
          <t>descoberta por familia de fonte 'industria' e verificada por sonda HTTP</t>
        </is>
      </c>
      <c r="H282" t="inlineStr">
        <is>
          <t>CANDIDATA validada em 2026-09-14; SOURCE_ID nao atribuido (nasce na porta canonica)</t>
        </is>
      </c>
    </row>
    <row r="283">
      <c r="A283" t="inlineStr">
        <is>
          <t>ORGANIZACAO</t>
        </is>
      </c>
      <c r="B283" t="inlineStr">
        <is>
          <t>IT</t>
        </is>
      </c>
      <c r="C283" t="inlineStr">
        <is>
          <t>CIA — Agricoltori Italiani</t>
        </is>
      </c>
      <c r="D283" t="inlineStr">
        <is>
          <t>https://www.cia.it/</t>
        </is>
      </c>
      <c r="E283" t="inlineStr">
        <is>
          <t>organizacao de CIA sobre organizzazione agricola, policy — alimenta T12 (politica e ambiente agricola), T7 (rede tecnica)</t>
        </is>
      </c>
      <c r="F283" t="inlineStr">
        <is>
          <t>claude-code (missao ITALY-200-SOURCES-DISCOVERY, 2026-09-14)</t>
        </is>
      </c>
      <c r="G283" t="inlineStr">
        <is>
          <t>descoberta por familia de fonte 'organizzazione_agricola' e verificada por sonda HTTP</t>
        </is>
      </c>
      <c r="H283" t="inlineStr">
        <is>
          <t>CANDIDATA validada em 2026-09-14; SOURCE_ID nao atribuido (nasce na porta canonica)</t>
        </is>
      </c>
    </row>
    <row r="284">
      <c r="A284" t="inlineStr">
        <is>
          <t>ORGANIZACAO</t>
        </is>
      </c>
      <c r="B284" t="inlineStr">
        <is>
          <t>IT</t>
        </is>
      </c>
      <c r="C284" t="inlineStr">
        <is>
          <t>CNR — Consiglio Nazionale delle Ricerche</t>
        </is>
      </c>
      <c r="D284" t="inlineStr">
        <is>
          <t>https://www.cnr.it/</t>
        </is>
      </c>
      <c r="E284" t="inlineStr">
        <is>
          <t>organizacao de CNR sobre ricerca, istituti — alimenta T5 (ciencia), T6 (pesquisadores)</t>
        </is>
      </c>
      <c r="F284" t="inlineStr">
        <is>
          <t>claude-code (missao ITALY-200-SOURCES-DISCOVERY, 2026-09-14)</t>
        </is>
      </c>
      <c r="G284" t="inlineStr">
        <is>
          <t>descoberta por familia de fonte 'ente_ricerca' e verificada por sonda HTTP</t>
        </is>
      </c>
      <c r="H284" t="inlineStr">
        <is>
          <t>CANDIDATA validada em 2026-09-14; SOURCE_ID nao atribuido (nasce na porta canonica)</t>
        </is>
      </c>
    </row>
    <row r="285">
      <c r="A285" t="inlineStr">
        <is>
          <t>ORGANIZACAO</t>
        </is>
      </c>
      <c r="B285" t="inlineStr">
        <is>
          <t>IT</t>
        </is>
      </c>
      <c r="C285" t="inlineStr">
        <is>
          <t>CONAF — Consiglio Ordine Nazionale Dottori Agronomi e Forestali</t>
        </is>
      </c>
      <c r="D285" t="inlineStr">
        <is>
          <t>https://www.conaf.it/</t>
        </is>
      </c>
      <c r="E285" t="inlineStr">
        <is>
          <t>organizacao de CONAF sobre agronomi, ordine professionale — alimenta T7 (rede tecnica), T12 (politica e ambiente agricola)</t>
        </is>
      </c>
      <c r="F285" t="inlineStr">
        <is>
          <t>claude-code (missao ITALY-200-SOURCES-DISCOVERY, 2026-09-14)</t>
        </is>
      </c>
      <c r="G285" t="inlineStr">
        <is>
          <t>descoberta por familia de fonte 'ordine_professionale' e verificada por sonda HTTP</t>
        </is>
      </c>
      <c r="H285" t="inlineStr">
        <is>
          <t>CANDIDATA validada em 2026-09-14; SOURCE_ID nao atribuido (nasce na porta canonica)</t>
        </is>
      </c>
    </row>
    <row r="286">
      <c r="A286" t="inlineStr">
        <is>
          <t>ORGANIZACAO</t>
        </is>
      </c>
      <c r="B286" t="inlineStr">
        <is>
          <t>IT</t>
        </is>
      </c>
      <c r="C286" t="inlineStr">
        <is>
          <t>Certis Belchim Italia</t>
        </is>
      </c>
      <c r="D286" t="inlineStr">
        <is>
          <t>https://www.certisbelchim.it/</t>
        </is>
      </c>
      <c r="E286" t="inlineStr">
        <is>
          <t>organizacao de Certis Belchim sobre agrofarmaci, concorrente — alimenta T9 (concorrentes), T10 (mercado e industria)</t>
        </is>
      </c>
      <c r="F286" t="inlineStr">
        <is>
          <t>claude-code (missao ITALY-200-SOURCES-DISCOVERY, 2026-09-14)</t>
        </is>
      </c>
      <c r="G286" t="inlineStr">
        <is>
          <t>descoberta por familia de fonte 'concorrente' e verificada por sonda HTTP</t>
        </is>
      </c>
      <c r="H286" t="inlineStr">
        <is>
          <t>CANDIDATA validada em 2026-09-14; SOURCE_ID nao atribuido (nasce na porta canonica)</t>
        </is>
      </c>
    </row>
    <row r="287">
      <c r="A287" t="inlineStr">
        <is>
          <t>ORGANIZACAO</t>
        </is>
      </c>
      <c r="B287" t="inlineStr">
        <is>
          <t>IT</t>
        </is>
      </c>
      <c r="C287" t="inlineStr">
        <is>
          <t>Coldiretti</t>
        </is>
      </c>
      <c r="D287" t="inlineStr">
        <is>
          <t>https://www.coldiretti.it/</t>
        </is>
      </c>
      <c r="E287" t="inlineStr">
        <is>
          <t>organizacao de Coldiretti sobre organizzazione agricola, policy — alimenta T12 (politica e ambiente agricola), T7 (rede tecnica), T10 (mercado e industria)</t>
        </is>
      </c>
      <c r="F287" t="inlineStr">
        <is>
          <t>claude-code (missao ITALY-200-SOURCES-DISCOVERY, 2026-09-14)</t>
        </is>
      </c>
      <c r="G287" t="inlineStr">
        <is>
          <t>descoberta por familia de fonte 'organizzazione_agricola' e verificada por sonda HTTP</t>
        </is>
      </c>
      <c r="H287" t="inlineStr">
        <is>
          <t>CANDIDATA validada em 2026-09-14; SOURCE_ID nao atribuido (nasce na porta canonica)</t>
        </is>
      </c>
    </row>
    <row r="288">
      <c r="A288" t="inlineStr">
        <is>
          <t>ORGANIZACAO</t>
        </is>
      </c>
      <c r="B288" t="inlineStr">
        <is>
          <t>IT</t>
        </is>
      </c>
      <c r="C288" t="inlineStr">
        <is>
          <t>Confagricoltura</t>
        </is>
      </c>
      <c r="D288" t="inlineStr">
        <is>
          <t>https://www.confagricoltura.it/</t>
        </is>
      </c>
      <c r="E288" t="inlineStr">
        <is>
          <t>organizacao de Confagricoltura sobre organizzazione agricola, policy — alimenta T12 (politica e ambiente agricola), T7 (rede tecnica), T10 (mercado e industria)</t>
        </is>
      </c>
      <c r="F288" t="inlineStr">
        <is>
          <t>claude-code (missao ITALY-200-SOURCES-DISCOVERY, 2026-09-14)</t>
        </is>
      </c>
      <c r="G288" t="inlineStr">
        <is>
          <t>descoberta por familia de fonte 'organizzazione_agricola' e verificada por sonda HTTP</t>
        </is>
      </c>
      <c r="H288" t="inlineStr">
        <is>
          <t>cadeia TLS incompleta no servidor; validado com o intermediario obtido por AIA · CANDIDATA validada em 2026-09-14; SOURCE_ID nao atribuido (nasce na porta canonica)</t>
        </is>
      </c>
    </row>
    <row r="289">
      <c r="A289" t="inlineStr">
        <is>
          <t>ORGANIZACAO</t>
        </is>
      </c>
      <c r="B289" t="inlineStr">
        <is>
          <t>IT</t>
        </is>
      </c>
      <c r="C289" t="inlineStr">
        <is>
          <t>Confcooperative Fedagripesca</t>
        </is>
      </c>
      <c r="D289" t="inlineStr">
        <is>
          <t>https://www.fedagripesca.confcooperative.it/</t>
        </is>
      </c>
      <c r="E289" t="inlineStr">
        <is>
          <t>organizacao de Confcooperative sobre cooperative agricole — alimenta T10 (mercado e industria), T7 (rede tecnica)</t>
        </is>
      </c>
      <c r="F289" t="inlineStr">
        <is>
          <t>claude-code (missao ITALY-200-SOURCES-DISCOVERY, 2026-09-14)</t>
        </is>
      </c>
      <c r="G289" t="inlineStr">
        <is>
          <t>descoberta por familia de fonte 'cooperativa' e verificada por sonda HTTP</t>
        </is>
      </c>
      <c r="H289" t="inlineStr">
        <is>
          <t>CANDIDATA validada em 2026-09-14; SOURCE_ID nao atribuido (nasce na porta canonica)</t>
        </is>
      </c>
    </row>
    <row r="290">
      <c r="A290" t="inlineStr">
        <is>
          <t>ORGANIZACAO</t>
        </is>
      </c>
      <c r="B290" t="inlineStr">
        <is>
          <t>IT</t>
        </is>
      </c>
      <c r="C290" t="inlineStr">
        <is>
          <t>Consorzi Agrari d'Italia — CAI</t>
        </is>
      </c>
      <c r="D290" t="inlineStr">
        <is>
          <t>https://www.consorziagrariditalia.it/chi-siamo/</t>
        </is>
      </c>
      <c r="E290" t="inlineStr">
        <is>
          <t>organizacao de Consorzi Agrari d'Italia sobre consorzio agrario, distribuzione — alimenta T7 (rede tecnica), T10 (mercado e industria)</t>
        </is>
      </c>
      <c r="F290" t="inlineStr">
        <is>
          <t>claude-code (missao ITALY-200-SOURCES-DISCOVERY, 2026-09-14)</t>
        </is>
      </c>
      <c r="G290" t="inlineStr">
        <is>
          <t>descoberta por familia de fonte 'consorzio_agrario' e verificada por sonda HTTP</t>
        </is>
      </c>
      <c r="H290" t="inlineStr">
        <is>
          <t>mesmo dono ja' no acervo, canal diferente · CANDIDATA validada em 2026-09-14; SOURCE_ID nao atribuido (nasce na porta canonica)</t>
        </is>
      </c>
    </row>
    <row r="291">
      <c r="A291" t="inlineStr">
        <is>
          <t>ORGANIZACAO</t>
        </is>
      </c>
      <c r="B291" t="inlineStr">
        <is>
          <t>IT</t>
        </is>
      </c>
      <c r="C291" t="inlineStr">
        <is>
          <t>FederBio</t>
        </is>
      </c>
      <c r="D291" t="inlineStr">
        <is>
          <t>https://feder.bio/</t>
        </is>
      </c>
      <c r="E291" t="inlineStr">
        <is>
          <t>organizacao de FederBio sobre agricoltura biologica, certificazione — alimenta T12 (politica e ambiente agricola), T1 (cultura e producao)</t>
        </is>
      </c>
      <c r="F291" t="inlineStr">
        <is>
          <t>claude-code (missao ITALY-200-SOURCES-DISCOVERY, 2026-09-14)</t>
        </is>
      </c>
      <c r="G291" t="inlineStr">
        <is>
          <t>descoberta por familia de fonte 'organizzazione_agricola' e verificada por sonda HTTP</t>
        </is>
      </c>
      <c r="H291" t="inlineStr">
        <is>
          <t>CANDIDATA validada em 2026-09-14; SOURCE_ID nao atribuido (nasce na porta canonica)</t>
        </is>
      </c>
    </row>
    <row r="292">
      <c r="A292" t="inlineStr">
        <is>
          <t>ORGANIZACAO</t>
        </is>
      </c>
      <c r="B292" t="inlineStr">
        <is>
          <t>IT</t>
        </is>
      </c>
      <c r="C292" t="inlineStr">
        <is>
          <t>FederUnacoma — Federazione Nazionale Costruttori Macchine per l'Agricoltura</t>
        </is>
      </c>
      <c r="D292" t="inlineStr">
        <is>
          <t>https://www.federunacoma.it/</t>
        </is>
      </c>
      <c r="E292" t="inlineStr">
        <is>
          <t>organizacao de FederUnacoma sobre meccanizzazione, mercato macchine — alimenta T10 (mercado e industria), T11 (eventos)</t>
        </is>
      </c>
      <c r="F292" t="inlineStr">
        <is>
          <t>claude-code (missao ITALY-200-SOURCES-DISCOVERY, 2026-09-14)</t>
        </is>
      </c>
      <c r="G292" t="inlineStr">
        <is>
          <t>descoberta por familia de fonte 'industria' e verificada por sonda HTTP</t>
        </is>
      </c>
      <c r="H292" t="inlineStr">
        <is>
          <t>CANDIDATA validada em 2026-09-14; SOURCE_ID nao atribuido (nasce na porta canonica)</t>
        </is>
      </c>
    </row>
    <row r="293">
      <c r="A293" t="inlineStr">
        <is>
          <t>ORGANIZACAO</t>
        </is>
      </c>
      <c r="B293" t="inlineStr">
        <is>
          <t>IT</t>
        </is>
      </c>
      <c r="C293" t="inlineStr">
        <is>
          <t>Italia Olivicola</t>
        </is>
      </c>
      <c r="D293" t="inlineStr">
        <is>
          <t>https://www.italiaolivicola.it/</t>
        </is>
      </c>
      <c r="E293" t="inlineStr">
        <is>
          <t>organizacao de Italia Olivicola Consorzio Nazionale sobre olivicoltura, OP — alimenta T1 (cultura e producao), T10 (mercado e industria)</t>
        </is>
      </c>
      <c r="F293" t="inlineStr">
        <is>
          <t>claude-code (missao ITALY-200-SOURCES-DISCOVERY, 2026-09-14)</t>
        </is>
      </c>
      <c r="G293" t="inlineStr">
        <is>
          <t>descoberta por familia de fonte 'op_aop' e verificada por sonda HTTP</t>
        </is>
      </c>
      <c r="H293" t="inlineStr">
        <is>
          <t>CANDIDATA validada em 2026-09-14; SOURCE_ID nao atribuido (nasce na porta canonica)</t>
        </is>
      </c>
    </row>
    <row r="294">
      <c r="A294" t="inlineStr">
        <is>
          <t>ORGANIZACAO</t>
        </is>
      </c>
      <c r="B294" t="inlineStr">
        <is>
          <t>IT</t>
        </is>
      </c>
      <c r="C294" t="inlineStr">
        <is>
          <t>Italmopa — Associazione Industriali Mugnai d'Italia</t>
        </is>
      </c>
      <c r="D294" t="inlineStr">
        <is>
          <t>https://www.italmopa.com/</t>
        </is>
      </c>
      <c r="E294" t="inlineStr">
        <is>
          <t>organizacao de Italmopa sobre grano, molini, mercato — alimenta T10 (mercado e industria), T1 (cultura e producao)</t>
        </is>
      </c>
      <c r="F294" t="inlineStr">
        <is>
          <t>claude-code (missao ITALY-200-SOURCES-DISCOVERY, 2026-09-14)</t>
        </is>
      </c>
      <c r="G294" t="inlineStr">
        <is>
          <t>descoberta por familia de fonte 'filiera' e verificada por sonda HTTP</t>
        </is>
      </c>
      <c r="H294" t="inlineStr">
        <is>
          <t>CANDIDATA validada em 2026-09-14; SOURCE_ID nao atribuido (nasce na porta canonica)</t>
        </is>
      </c>
    </row>
    <row r="295">
      <c r="A295" t="inlineStr">
        <is>
          <t>ORGANIZACAO</t>
        </is>
      </c>
      <c r="B295" t="inlineStr">
        <is>
          <t>IT</t>
        </is>
      </c>
      <c r="C295" t="inlineStr">
        <is>
          <t>Koppert Italia</t>
        </is>
      </c>
      <c r="D295" t="inlineStr">
        <is>
          <t>https://www.koppert.it/</t>
        </is>
      </c>
      <c r="E295" t="inlineStr">
        <is>
          <t>organizacao de Koppert Biological Systems sobre biocontrollo, insetti utili — alimenta T9 (concorrentes), T3 (praga, doenca e infestanti)</t>
        </is>
      </c>
      <c r="F295" t="inlineStr">
        <is>
          <t>claude-code (missao ITALY-200-SOURCES-DISCOVERY, 2026-09-14)</t>
        </is>
      </c>
      <c r="G295" t="inlineStr">
        <is>
          <t>descoberta por familia de fonte 'concorrente' e verificada por sonda HTTP</t>
        </is>
      </c>
      <c r="H295" t="inlineStr">
        <is>
          <t>CANDIDATA validada em 2026-09-14; SOURCE_ID nao atribuido (nasce na porta canonica)</t>
        </is>
      </c>
    </row>
    <row r="296">
      <c r="A296" t="inlineStr">
        <is>
          <t>ORGANIZACAO</t>
        </is>
      </c>
      <c r="B296" t="inlineStr">
        <is>
          <t>IT</t>
        </is>
      </c>
      <c r="C296" t="inlineStr">
        <is>
          <t>Legacoop Agroalimentare</t>
        </is>
      </c>
      <c r="D296" t="inlineStr">
        <is>
          <t>https://www.legacoopagroalimentare.coop/</t>
        </is>
      </c>
      <c r="E296" t="inlineStr">
        <is>
          <t>organizacao de Legacoop sobre cooperative agroalimentari — alimenta T10 (mercado e industria), T7 (rede tecnica)</t>
        </is>
      </c>
      <c r="F296" t="inlineStr">
        <is>
          <t>claude-code (missao ITALY-200-SOURCES-DISCOVERY, 2026-09-14)</t>
        </is>
      </c>
      <c r="G296" t="inlineStr">
        <is>
          <t>descoberta por familia de fonte 'cooperativa' e verificada por sonda HTTP</t>
        </is>
      </c>
      <c r="H296" t="inlineStr">
        <is>
          <t>CANDIDATA validada em 2026-09-14; SOURCE_ID nao atribuido (nasce na porta canonica)</t>
        </is>
      </c>
    </row>
    <row r="297">
      <c r="A297" t="inlineStr">
        <is>
          <t>ORGANIZACAO</t>
        </is>
      </c>
      <c r="B297" t="inlineStr">
        <is>
          <t>IT</t>
        </is>
      </c>
      <c r="C297" t="inlineStr">
        <is>
          <t>SIA — Societa Italiana di Agronomia</t>
        </is>
      </c>
      <c r="D297" t="inlineStr">
        <is>
          <t>https://www.siagr.it/</t>
        </is>
      </c>
      <c r="E297" t="inlineStr">
        <is>
          <t>organizacao de Societa Italiana di Agronomia sobre agronomia, congresso — alimenta T1 (cultura e producao), T5 (ciencia)</t>
        </is>
      </c>
      <c r="F297" t="inlineStr">
        <is>
          <t>claude-code (missao ITALY-200-SOURCES-DISCOVERY, 2026-09-14)</t>
        </is>
      </c>
      <c r="G297" t="inlineStr">
        <is>
          <t>descoberta por familia de fonte 'societa_scientifica' e verificada por sonda HTTP</t>
        </is>
      </c>
      <c r="H297" t="inlineStr">
        <is>
          <t>CANDIDATA validada em 2026-09-14; SOURCE_ID nao atribuido (nasce na porta canonica)</t>
        </is>
      </c>
    </row>
    <row r="298">
      <c r="A298" t="inlineStr">
        <is>
          <t>ORGANIZACAO</t>
        </is>
      </c>
      <c r="B298" t="inlineStr">
        <is>
          <t>IT</t>
        </is>
      </c>
      <c r="C298" t="inlineStr">
        <is>
          <t>SIMEI — Salone Internazionale Macchine per Enologia e Imbottigliamento</t>
        </is>
      </c>
      <c r="D298" t="inlineStr">
        <is>
          <t>https://www.simei.it/</t>
        </is>
      </c>
      <c r="E298" t="inlineStr">
        <is>
          <t>organizacao de Unione Italiana Vini sobre fiera enologia — alimenta T11 (eventos), T10 (mercado e industria)</t>
        </is>
      </c>
      <c r="F298" t="inlineStr">
        <is>
          <t>claude-code (missao ITALY-200-SOURCES-DISCOVERY, 2026-09-14)</t>
        </is>
      </c>
      <c r="G298" t="inlineStr">
        <is>
          <t>descoberta por familia de fonte 'evento' e verificada por sonda HTTP</t>
        </is>
      </c>
      <c r="H298" t="inlineStr">
        <is>
          <t>CANDIDATA validada em 2026-09-14; SOURCE_ID nao atribuido (nasce na porta canonica)</t>
        </is>
      </c>
    </row>
    <row r="299">
      <c r="A299" t="inlineStr">
        <is>
          <t>ORGANIZACAO</t>
        </is>
      </c>
      <c r="B299" t="inlineStr">
        <is>
          <t>IT</t>
        </is>
      </c>
      <c r="C299" t="inlineStr">
        <is>
          <t>SIPaV — Societa Italiana di Patologia Vegetale</t>
        </is>
      </c>
      <c r="D299" t="inlineStr">
        <is>
          <t>https://www.sipav.org/</t>
        </is>
      </c>
      <c r="E299" t="inlineStr">
        <is>
          <t>organizacao de SIPaV sobre patologia vegetale, congresso — alimenta T3 (praga, doenca e infestanti), T5 (ciencia), T6 (pesquisadores)</t>
        </is>
      </c>
      <c r="F299" t="inlineStr">
        <is>
          <t>claude-code (missao ITALY-200-SOURCES-DISCOVERY, 2026-09-14)</t>
        </is>
      </c>
      <c r="G299" t="inlineStr">
        <is>
          <t>descoberta por familia de fonte 'societa_scientifica' e verificada por sonda HTTP</t>
        </is>
      </c>
      <c r="H299" t="inlineStr">
        <is>
          <t>CANDIDATA validada em 2026-09-14; SOURCE_ID nao atribuido (nasce na porta canonica)</t>
        </is>
      </c>
    </row>
    <row r="300">
      <c r="A300" t="inlineStr">
        <is>
          <t>ORGANIZACAO</t>
        </is>
      </c>
      <c r="B300" t="inlineStr">
        <is>
          <t>IT</t>
        </is>
      </c>
      <c r="C300" t="inlineStr">
        <is>
          <t>SOI — Societa di Ortoflorofrutticoltura Italiana</t>
        </is>
      </c>
      <c r="D300" t="inlineStr">
        <is>
          <t>https://www.soihs.it/</t>
        </is>
      </c>
      <c r="E300" t="inlineStr">
        <is>
          <t>organizacao de SOI sobre ortofrutta, floricoltura, congressi — alimenta T1 (cultura e producao), T5 (ciencia), T11 (eventos)</t>
        </is>
      </c>
      <c r="F300" t="inlineStr">
        <is>
          <t>claude-code (missao ITALY-200-SOURCES-DISCOVERY, 2026-09-14)</t>
        </is>
      </c>
      <c r="G300" t="inlineStr">
        <is>
          <t>descoberta por familia de fonte 'societa_scientifica' e verificada por sonda HTTP</t>
        </is>
      </c>
      <c r="H300" t="inlineStr">
        <is>
          <t>CANDIDATA validada em 2026-09-14; SOURCE_ID nao atribuido (nasce na porta canonica)</t>
        </is>
      </c>
    </row>
    <row r="301">
      <c r="A301" t="inlineStr">
        <is>
          <t>ORGANIZACAO</t>
        </is>
      </c>
      <c r="B301" t="inlineStr">
        <is>
          <t>IT</t>
        </is>
      </c>
      <c r="C301" t="inlineStr">
        <is>
          <t>Societa Entomologica Italiana</t>
        </is>
      </c>
      <c r="D301" t="inlineStr">
        <is>
          <t>https://www.societaentomologicaitaliana.it/</t>
        </is>
      </c>
      <c r="E301" t="inlineStr">
        <is>
          <t>organizacao de SEI sobre entomologia, insetti — alimenta T3 (praga, doenca e infestanti), T5 (ciencia)</t>
        </is>
      </c>
      <c r="F301" t="inlineStr">
        <is>
          <t>claude-code (missao ITALY-200-SOURCES-DISCOVERY, 2026-09-14)</t>
        </is>
      </c>
      <c r="G301" t="inlineStr">
        <is>
          <t>descoberta por familia de fonte 'societa_scientifica' e verificada por sonda HTTP</t>
        </is>
      </c>
      <c r="H301" t="inlineStr">
        <is>
          <t>CANDIDATA validada em 2026-09-14; SOURCE_ID nao atribuido (nasce na porta canonica)</t>
        </is>
      </c>
    </row>
    <row r="302">
      <c r="A302" t="inlineStr">
        <is>
          <t>ORGANIZACAO</t>
        </is>
      </c>
      <c r="B302" t="inlineStr">
        <is>
          <t>IT</t>
        </is>
      </c>
      <c r="C302" t="inlineStr">
        <is>
          <t>Unione Italiana Vini</t>
        </is>
      </c>
      <c r="D302" t="inlineStr">
        <is>
          <t>https://www.uiv.it/</t>
        </is>
      </c>
      <c r="E302" t="inlineStr">
        <is>
          <t>organizacao de UIV sobre vino, mercato, export — alimenta T10 (mercado e industria), T1 (cultura e producao)</t>
        </is>
      </c>
      <c r="F302" t="inlineStr">
        <is>
          <t>claude-code (missao ITALY-200-SOURCES-DISCOVERY, 2026-09-14)</t>
        </is>
      </c>
      <c r="G302" t="inlineStr">
        <is>
          <t>descoberta por familia de fonte 'filiera' e verificada por sonda HTTP</t>
        </is>
      </c>
      <c r="H302" t="inlineStr">
        <is>
          <t>CANDIDATA validada em 2026-09-14; SOURCE_ID nao atribuido (nasce na porta canonica)</t>
        </is>
      </c>
    </row>
    <row r="303">
      <c r="A303" t="inlineStr">
        <is>
          <t>ORGANIZACAO</t>
        </is>
      </c>
      <c r="B303" t="inlineStr">
        <is>
          <t>IT</t>
        </is>
      </c>
      <c r="C303" t="inlineStr">
        <is>
          <t>Consorzio di Tutela Nocciola Piemonte IGP</t>
        </is>
      </c>
      <c r="D303" t="inlineStr">
        <is>
          <t>https://www.nocciolapiemonteigp.it/</t>
        </is>
      </c>
      <c r="E303" t="inlineStr">
        <is>
          <t>organizacao de Consorzio Nocciola Piemonte IGP sobre nocciolo, IGP — alimenta T10 (mercado e industria), T1 (cultura e producao)</t>
        </is>
      </c>
      <c r="F303" t="inlineStr">
        <is>
          <t>claude-code (missao ITALY-200-SOURCES-DISCOVERY, 2026-09-14)</t>
        </is>
      </c>
      <c r="G303" t="inlineStr">
        <is>
          <t>descoberta por familia de fonte 'consorzio_tutela' e verificada por sonda HTTP</t>
        </is>
      </c>
      <c r="H303" t="inlineStr">
        <is>
          <t>CANDIDATA validada em 2026-09-14; SOURCE_ID nao atribuido (nasce na porta canonica)</t>
        </is>
      </c>
    </row>
    <row r="304">
      <c r="A304" t="inlineStr">
        <is>
          <t>ORGANIZACAO</t>
        </is>
      </c>
      <c r="B304" t="inlineStr">
        <is>
          <t>IT</t>
        </is>
      </c>
      <c r="C304" t="inlineStr">
        <is>
          <t>Agrilevante</t>
        </is>
      </c>
      <c r="D304" t="inlineStr">
        <is>
          <t>https://www.agrilevante.eu/</t>
        </is>
      </c>
      <c r="E304" t="inlineStr">
        <is>
          <t>organizacao de FederUnacoma sobre fiera meccanizzazione mediterraneo — alimenta T11 (eventos), T10 (mercado e industria)</t>
        </is>
      </c>
      <c r="F304" t="inlineStr">
        <is>
          <t>claude-code (missao ITALY-200-SOURCES-DISCOVERY, 2026-09-14)</t>
        </is>
      </c>
      <c r="G304" t="inlineStr">
        <is>
          <t>descoberta por familia de fonte 'evento' e verificada por sonda HTTP</t>
        </is>
      </c>
      <c r="H304" t="inlineStr">
        <is>
          <t>CANDIDATA validada em 2026-09-14; SOURCE_ID nao atribuido (nasce na porta canonica)</t>
        </is>
      </c>
    </row>
    <row r="305">
      <c r="A305" t="inlineStr">
        <is>
          <t>ORGANIZACAO</t>
        </is>
      </c>
      <c r="B305" t="inlineStr">
        <is>
          <t>IT</t>
        </is>
      </c>
      <c r="C305" t="inlineStr">
        <is>
          <t>Coldiretti Puglia</t>
        </is>
      </c>
      <c r="D305" t="inlineStr">
        <is>
          <t>https://puglia.coldiretti.it/</t>
        </is>
      </c>
      <c r="E305" t="inlineStr">
        <is>
          <t>organizacao de Coldiretti sobre organizzazione agricola regionale — alimenta T12 (politica e ambiente agricola), T7 (rede tecnica)</t>
        </is>
      </c>
      <c r="F305" t="inlineStr">
        <is>
          <t>claude-code (missao ITALY-200-SOURCES-DISCOVERY, 2026-09-14)</t>
        </is>
      </c>
      <c r="G305" t="inlineStr">
        <is>
          <t>descoberta por familia de fonte 'organizzazione_agricola' e verificada por sonda HTTP</t>
        </is>
      </c>
      <c r="H305" t="inlineStr">
        <is>
          <t>CANDIDATA validada em 2026-09-14; SOURCE_ID nao atribuido (nasce na porta canonica)</t>
        </is>
      </c>
    </row>
    <row r="306">
      <c r="A306" t="inlineStr">
        <is>
          <t>ORGANIZACAO</t>
        </is>
      </c>
      <c r="B306" t="inlineStr">
        <is>
          <t>IT</t>
        </is>
      </c>
      <c r="C306" t="inlineStr">
        <is>
          <t>Consorzio Tutela Pecorino Romano</t>
        </is>
      </c>
      <c r="D306" t="inlineStr">
        <is>
          <t>https://www.pecorinoromano.com/</t>
        </is>
      </c>
      <c r="E306" t="inlineStr">
        <is>
          <t>organizacao de Consorzio Pecorino Romano sobre DOP, ovino — alimenta T10 (mercado e industria)</t>
        </is>
      </c>
      <c r="F306" t="inlineStr">
        <is>
          <t>claude-code (missao ITALY-200-SOURCES-DISCOVERY, 2026-09-14)</t>
        </is>
      </c>
      <c r="G306" t="inlineStr">
        <is>
          <t>descoberta por familia de fonte 'consorzio_tutela' e verificada por sonda HTTP</t>
        </is>
      </c>
      <c r="H306" t="inlineStr">
        <is>
          <t>CANDIDATA validada em 2026-09-14; SOURCE_ID nao atribuido (nasce na porta canonica)</t>
        </is>
      </c>
    </row>
    <row r="307">
      <c r="A307" t="inlineStr">
        <is>
          <t>ORGANIZACAO</t>
        </is>
      </c>
      <c r="B307" t="inlineStr">
        <is>
          <t>IT</t>
        </is>
      </c>
      <c r="C307" t="inlineStr">
        <is>
          <t>Coldiretti Sicilia</t>
        </is>
      </c>
      <c r="D307" t="inlineStr">
        <is>
          <t>https://sicilia.coldiretti.it/</t>
        </is>
      </c>
      <c r="E307" t="inlineStr">
        <is>
          <t>organizacao de Coldiretti sobre organizzazione agricola regionale — alimenta T12 (politica e ambiente agricola), T7 (rede tecnica)</t>
        </is>
      </c>
      <c r="F307" t="inlineStr">
        <is>
          <t>claude-code (missao ITALY-200-SOURCES-DISCOVERY, 2026-09-14)</t>
        </is>
      </c>
      <c r="G307" t="inlineStr">
        <is>
          <t>descoberta por familia de fonte 'organizzazione_agricola' e verificada por sonda HTTP</t>
        </is>
      </c>
      <c r="H307" t="inlineStr">
        <is>
          <t>CANDIDATA validada em 2026-09-14; SOURCE_ID nao atribuido (nasce na porta canonica)</t>
        </is>
      </c>
    </row>
    <row r="308">
      <c r="A308" t="inlineStr">
        <is>
          <t>ORGANIZACAO</t>
        </is>
      </c>
      <c r="B308" t="inlineStr">
        <is>
          <t>IT</t>
        </is>
      </c>
      <c r="C308" t="inlineStr">
        <is>
          <t>Consorzio di Tutela Arancia Rossa di Sicilia IGP</t>
        </is>
      </c>
      <c r="D308" t="inlineStr">
        <is>
          <t>https://www.tutelaaranciarossa.it/</t>
        </is>
      </c>
      <c r="E308" t="inlineStr">
        <is>
          <t>organizacao de Consorzio Arancia Rossa di Sicilia sobre agrumi, IGP — alimenta T10 (mercado e industria), T1 (cultura e producao)</t>
        </is>
      </c>
      <c r="F308" t="inlineStr">
        <is>
          <t>claude-code (missao ITALY-200-SOURCES-DISCOVERY, 2026-09-14)</t>
        </is>
      </c>
      <c r="G308" t="inlineStr">
        <is>
          <t>descoberta por familia de fonte 'consorzio_tutela' e verificada por sonda HTTP</t>
        </is>
      </c>
      <c r="H308" t="inlineStr">
        <is>
          <t>CANDIDATA validada em 2026-09-14; SOURCE_ID nao atribuido (nasce na porta canonica)</t>
        </is>
      </c>
    </row>
    <row r="309">
      <c r="A309" t="inlineStr">
        <is>
          <t>ORGANIZACAO</t>
        </is>
      </c>
      <c r="B309" t="inlineStr">
        <is>
          <t>IT</t>
        </is>
      </c>
      <c r="C309" t="inlineStr">
        <is>
          <t>Accademia dei Georgofili</t>
        </is>
      </c>
      <c r="D309" t="inlineStr">
        <is>
          <t>https://www.georgofili.it/</t>
        </is>
      </c>
      <c r="E309" t="inlineStr">
        <is>
          <t>organizacao de Accademia dei Georgofili sobre accademia, convegni, agricoltura — alimenta T5 (ciencia), T11 (eventos), T12 (politica e ambiente agricola)</t>
        </is>
      </c>
      <c r="F309" t="inlineStr">
        <is>
          <t>claude-code (missao ITALY-200-SOURCES-DISCOVERY, 2026-09-14)</t>
        </is>
      </c>
      <c r="G309" t="inlineStr">
        <is>
          <t>descoberta por familia de fonte 'societa_scientifica' e verificada por sonda HTTP</t>
        </is>
      </c>
      <c r="H309" t="inlineStr">
        <is>
          <t>CANDIDATA validada em 2026-09-14; SOURCE_ID nao atribuido (nasce na porta canonica)</t>
        </is>
      </c>
    </row>
    <row r="310">
      <c r="A310" t="inlineStr">
        <is>
          <t>ORGANIZACAO</t>
        </is>
      </c>
      <c r="B310" t="inlineStr">
        <is>
          <t>IT</t>
        </is>
      </c>
      <c r="C310" t="inlineStr">
        <is>
          <t>CIA Toscana</t>
        </is>
      </c>
      <c r="D310" t="inlineStr">
        <is>
          <t>https://www.ciatoscana.eu/</t>
        </is>
      </c>
      <c r="E310" t="inlineStr">
        <is>
          <t>organizacao de CIA Agricoltori Italiani sobre organizzazione agricola regionale — alimenta T12 (politica e ambiente agricola), T7 (rede tecnica)</t>
        </is>
      </c>
      <c r="F310" t="inlineStr">
        <is>
          <t>claude-code (missao ITALY-200-SOURCES-DISCOVERY, 2026-09-14)</t>
        </is>
      </c>
      <c r="G310" t="inlineStr">
        <is>
          <t>descoberta por familia de fonte 'organizzazione_agricola' e verificada por sonda HTTP</t>
        </is>
      </c>
      <c r="H310" t="inlineStr">
        <is>
          <t>CANDIDATA validada em 2026-09-14; SOURCE_ID nao atribuido (nasce na porta canonica)</t>
        </is>
      </c>
    </row>
    <row r="311">
      <c r="A311" t="inlineStr">
        <is>
          <t>ORGANIZACAO</t>
        </is>
      </c>
      <c r="B311" t="inlineStr">
        <is>
          <t>IT</t>
        </is>
      </c>
      <c r="C311" t="inlineStr">
        <is>
          <t>Consorzio Vino Chianti Classico</t>
        </is>
      </c>
      <c r="D311" t="inlineStr">
        <is>
          <t>https://www.chianticlassico.com/</t>
        </is>
      </c>
      <c r="E311" t="inlineStr">
        <is>
          <t>organizacao de Consorzio Vino Chianti Classico sobre vino, DOCG, viticoltura — alimenta T10 (mercado e industria), T1 (cultura e producao)</t>
        </is>
      </c>
      <c r="F311" t="inlineStr">
        <is>
          <t>claude-code (missao ITALY-200-SOURCES-DISCOVERY, 2026-09-14)</t>
        </is>
      </c>
      <c r="G311" t="inlineStr">
        <is>
          <t>descoberta por familia de fonte 'consorzio_tutela' e verificada por sonda HTTP</t>
        </is>
      </c>
      <c r="H311" t="inlineStr">
        <is>
          <t>CANDIDATA validada em 2026-09-14; SOURCE_ID nao atribuido (nasce na porta canonica)</t>
        </is>
      </c>
    </row>
    <row r="312">
      <c r="A312" t="inlineStr">
        <is>
          <t>ORGANIZACAO</t>
        </is>
      </c>
      <c r="B312" t="inlineStr">
        <is>
          <t>IT</t>
        </is>
      </c>
      <c r="C312" t="inlineStr">
        <is>
          <t>Consorzio del Vino Brunello di Montalcino</t>
        </is>
      </c>
      <c r="D312" t="inlineStr">
        <is>
          <t>https://www.consorziobrunellodimontalcino.it/</t>
        </is>
      </c>
      <c r="E312" t="inlineStr">
        <is>
          <t>organizacao de Consorzio Brunello di Montalcino sobre vino, DOCG — alimenta T10 (mercado e industria), T1 (cultura e producao)</t>
        </is>
      </c>
      <c r="F312" t="inlineStr">
        <is>
          <t>claude-code (missao ITALY-200-SOURCES-DISCOVERY, 2026-09-14)</t>
        </is>
      </c>
      <c r="G312" t="inlineStr">
        <is>
          <t>descoberta por familia de fonte 'consorzio_tutela' e verificada por sonda HTTP</t>
        </is>
      </c>
      <c r="H312" t="inlineStr">
        <is>
          <t>CANDIDATA validada em 2026-09-14; SOURCE_ID nao atribuido (nasce na porta canonica)</t>
        </is>
      </c>
    </row>
    <row r="313">
      <c r="A313" t="inlineStr">
        <is>
          <t>ORGANIZACAO</t>
        </is>
      </c>
      <c r="B313" t="inlineStr">
        <is>
          <t>IT</t>
        </is>
      </c>
      <c r="C313" t="inlineStr">
        <is>
          <t>Georgofili — Accademia dei Georgofili (portale .net)</t>
        </is>
      </c>
      <c r="D313" t="inlineStr">
        <is>
          <t>https://www.georgofili.net/</t>
        </is>
      </c>
      <c r="E313" t="inlineStr">
        <is>
          <t>organizacao de Accademia dei Georgofili sobre accademia, pubblicazioni — alimenta T5 (ciencia), T11 (eventos)</t>
        </is>
      </c>
      <c r="F313" t="inlineStr">
        <is>
          <t>claude-code (missao ITALY-200-SOURCES-DISCOVERY, 2026-09-14)</t>
        </is>
      </c>
      <c r="G313" t="inlineStr">
        <is>
          <t>descoberta por familia de fonte 'societa_scientifica' e verificada por sonda HTTP</t>
        </is>
      </c>
      <c r="H313" t="inlineStr">
        <is>
          <t>CANDIDATA validada em 2026-09-14; SOURCE_ID nao atribuido (nasce na porta canonica)</t>
        </is>
      </c>
    </row>
    <row r="314">
      <c r="A314" t="inlineStr">
        <is>
          <t>ORGANIZACAO</t>
        </is>
      </c>
      <c r="B314" t="inlineStr">
        <is>
          <t>IT</t>
        </is>
      </c>
      <c r="C314" t="inlineStr">
        <is>
          <t>Interpoma</t>
        </is>
      </c>
      <c r="D314" t="inlineStr">
        <is>
          <t>https://www.interpoma.it/</t>
        </is>
      </c>
      <c r="E314" t="inlineStr">
        <is>
          <t>organizacao de Fiera Bolzano sobre fiera melo, frutticoltura — alimenta T11 (eventos), T1 (cultura e producao)</t>
        </is>
      </c>
      <c r="F314" t="inlineStr">
        <is>
          <t>claude-code (missao ITALY-200-SOURCES-DISCOVERY, 2026-09-14)</t>
        </is>
      </c>
      <c r="G314" t="inlineStr">
        <is>
          <t>descoberta por familia de fonte 'evento' e verificada por sonda HTTP</t>
        </is>
      </c>
      <c r="H314" t="inlineStr">
        <is>
          <t>CANDIDATA validada em 2026-09-14; SOURCE_ID nao atribuido (nasce na porta canonica)</t>
        </is>
      </c>
    </row>
    <row r="315">
      <c r="A315" t="inlineStr">
        <is>
          <t>ORGANIZACAO</t>
        </is>
      </c>
      <c r="B315" t="inlineStr">
        <is>
          <t>IT</t>
        </is>
      </c>
      <c r="C315" t="inlineStr">
        <is>
          <t>Agriumbria</t>
        </is>
      </c>
      <c r="D315" t="inlineStr">
        <is>
          <t>https://www.agriumbria.eu/</t>
        </is>
      </c>
      <c r="E315" t="inlineStr">
        <is>
          <t>organizacao de Umbriafiere sobre fiera agricoltura, zootecnia — alimenta T11 (eventos), T1 (cultura e producao)</t>
        </is>
      </c>
      <c r="F315" t="inlineStr">
        <is>
          <t>claude-code (missao ITALY-200-SOURCES-DISCOVERY, 2026-09-14)</t>
        </is>
      </c>
      <c r="G315" t="inlineStr">
        <is>
          <t>descoberta por familia de fonte 'evento' e verificada por sonda HTTP</t>
        </is>
      </c>
      <c r="H315" t="inlineStr">
        <is>
          <t>CANDIDATA validada em 2026-09-14; SOURCE_ID nao atribuido (nasce na porta canonica)</t>
        </is>
      </c>
    </row>
    <row r="316">
      <c r="A316" t="inlineStr">
        <is>
          <t>ORGANIZACAO</t>
        </is>
      </c>
      <c r="B316" t="inlineStr">
        <is>
          <t>IT</t>
        </is>
      </c>
      <c r="C316" t="inlineStr">
        <is>
          <t>Institut Agricole Regional — Aosta</t>
        </is>
      </c>
      <c r="D316" t="inlineStr">
        <is>
          <t>https://www.iaraosta.it/</t>
        </is>
      </c>
      <c r="E316" t="inlineStr">
        <is>
          <t>organizacao de Institut Agricole Regional sobre ricerca, formazione, viticoltura alpina — alimenta T5 (ciencia), T1 (cultura e producao), T7 (rede tecnica)</t>
        </is>
      </c>
      <c r="F316" t="inlineStr">
        <is>
          <t>claude-code (missao ITALY-200-SOURCES-DISCOVERY, 2026-09-14)</t>
        </is>
      </c>
      <c r="G316" t="inlineStr">
        <is>
          <t>descoberta por familia de fonte 'ente_ricerca' e verificada por sonda HTTP</t>
        </is>
      </c>
      <c r="H316" t="inlineStr">
        <is>
          <t>CANDIDATA validada em 2026-09-14; SOURCE_ID nao atribuido (nasce na porta canonica)</t>
        </is>
      </c>
    </row>
    <row r="317">
      <c r="A317" t="inlineStr">
        <is>
          <t>ORGANIZACAO</t>
        </is>
      </c>
      <c r="B317" t="inlineStr">
        <is>
          <t>IT</t>
        </is>
      </c>
      <c r="C317" t="inlineStr">
        <is>
          <t>Coldiretti Veneto</t>
        </is>
      </c>
      <c r="D317" t="inlineStr">
        <is>
          <t>https://veneto.coldiretti.it/</t>
        </is>
      </c>
      <c r="E317" t="inlineStr">
        <is>
          <t>organizacao de Coldiretti sobre organizzazione agricola regionale — alimenta T12 (politica e ambiente agricola), T7 (rede tecnica)</t>
        </is>
      </c>
      <c r="F317" t="inlineStr">
        <is>
          <t>claude-code (missao ITALY-200-SOURCES-DISCOVERY, 2026-09-14)</t>
        </is>
      </c>
      <c r="G317" t="inlineStr">
        <is>
          <t>descoberta por familia de fonte 'organizzazione_agricola' e verificada por sonda HTTP</t>
        </is>
      </c>
      <c r="H317" t="inlineStr">
        <is>
          <t>CANDIDATA validada em 2026-09-14; SOURCE_ID nao atribuido (nasce na porta canonica)</t>
        </is>
      </c>
    </row>
    <row r="318">
      <c r="A318" t="inlineStr">
        <is>
          <t>ORGANIZACAO</t>
        </is>
      </c>
      <c r="B318" t="inlineStr">
        <is>
          <t>IT</t>
        </is>
      </c>
      <c r="C318" t="inlineStr">
        <is>
          <t>Consorzio Tutela Prosecco DOC</t>
        </is>
      </c>
      <c r="D318" t="inlineStr">
        <is>
          <t>https://www.prosecco.it/</t>
        </is>
      </c>
      <c r="E318" t="inlineStr">
        <is>
          <t>organizacao de Consorzio Tutela Prosecco DOC sobre vino, DOC, viticoltura — alimenta T10 (mercado e industria), T1 (cultura e producao)</t>
        </is>
      </c>
      <c r="F318" t="inlineStr">
        <is>
          <t>claude-code (missao ITALY-200-SOURCES-DISCOVERY, 2026-09-14)</t>
        </is>
      </c>
      <c r="G318" t="inlineStr">
        <is>
          <t>descoberta por familia de fonte 'consorzio_tutela' e verificada por sonda HTTP</t>
        </is>
      </c>
      <c r="H318" t="inlineStr">
        <is>
          <t>CANDIDATA validada em 2026-09-14; SOURCE_ID nao atribuido (nasce na porta canonica)</t>
        </is>
      </c>
    </row>
    <row r="319">
      <c r="A319" t="inlineStr">
        <is>
          <t>ORGANIZACAO</t>
        </is>
      </c>
      <c r="B319" t="inlineStr">
        <is>
          <t>IT</t>
        </is>
      </c>
      <c r="C319" t="inlineStr">
        <is>
          <t>Consorzio Tutela Vini Valpolicella</t>
        </is>
      </c>
      <c r="D319" t="inlineStr">
        <is>
          <t>https://www.consorziovalpolicella.it/</t>
        </is>
      </c>
      <c r="E319" t="inlineStr">
        <is>
          <t>organizacao de Consorzio Tutela Vini Valpolicella sobre vino, DOC, viticoltura — alimenta T10 (mercado e industria), T1 (cultura e producao)</t>
        </is>
      </c>
      <c r="F319" t="inlineStr">
        <is>
          <t>claude-code (missao ITALY-200-SOURCES-DISCOVERY, 2026-09-14)</t>
        </is>
      </c>
      <c r="G319" t="inlineStr">
        <is>
          <t>descoberta por familia de fonte 'consorzio_tutela' e verificada por sonda HTTP</t>
        </is>
      </c>
      <c r="H319" t="inlineStr">
        <is>
          <t>CANDIDATA validada em 2026-09-14; SOURCE_ID nao atribuido (nasce na porta canonica)</t>
        </is>
      </c>
    </row>
    <row r="320">
      <c r="A320" t="inlineStr">
        <is>
          <t>ORGANIZACAO</t>
        </is>
      </c>
      <c r="B320" t="inlineStr">
        <is>
          <t>IT</t>
        </is>
      </c>
      <c r="C320" t="inlineStr">
        <is>
          <t>Consorzio di Bonifica Piave</t>
        </is>
      </c>
      <c r="D320" t="inlineStr">
        <is>
          <t>https://www.consorziopiave.it/</t>
        </is>
      </c>
      <c r="E320" t="inlineStr">
        <is>
          <t>organizacao de Consorzio di Bonifica Piave sobre irrigazione, acqua — alimenta T2 (clima/acqua/suolo), T1 (cultura e producao)</t>
        </is>
      </c>
      <c r="F320" t="inlineStr">
        <is>
          <t>claude-code (missao ITALY-200-SOURCES-DISCOVERY, 2026-09-14)</t>
        </is>
      </c>
      <c r="G320" t="inlineStr">
        <is>
          <t>descoberta por familia de fonte 'consorzio_bonifica' e verificada por sonda HTTP</t>
        </is>
      </c>
      <c r="H320" t="inlineStr">
        <is>
          <t>CANDIDATA validada em 2026-09-14; SOURCE_ID nao atribuido (nasce na porta canonica)</t>
        </is>
      </c>
    </row>
    <row r="321">
      <c r="A321" t="inlineStr">
        <is>
          <t>ORGANIZACAO</t>
        </is>
      </c>
      <c r="B321" t="inlineStr">
        <is>
          <t>IT</t>
        </is>
      </c>
      <c r="C321" t="inlineStr">
        <is>
          <t>Serbios</t>
        </is>
      </c>
      <c r="D321" t="inlineStr">
        <is>
          <t>https://www.serbios.it/</t>
        </is>
      </c>
      <c r="E321" t="inlineStr">
        <is>
          <t>organizacao de Serbios sobre biocontrollo, fitosanitari — alimenta T9 (concorrentes), T3 (praga, doenca e infestanti)</t>
        </is>
      </c>
      <c r="F321" t="inlineStr">
        <is>
          <t>claude-code (missao ITALY-200-SOURCES-DISCOVERY, 2026-09-14)</t>
        </is>
      </c>
      <c r="G321" t="inlineStr">
        <is>
          <t>descoberta por familia de fonte 'concorrente' e verificada por sonda HTTP</t>
        </is>
      </c>
      <c r="H321" t="inlineStr">
        <is>
          <t>CANDIDATA validada em 2026-09-14; SOURCE_ID nao atribuido (nasce na porta canonica)</t>
        </is>
      </c>
    </row>
    <row r="322">
      <c r="A322" t="inlineStr">
        <is>
          <t>ORGANIZACAO</t>
        </is>
      </c>
      <c r="B322" t="inlineStr">
        <is>
          <t>IT</t>
        </is>
      </c>
      <c r="C322" t="inlineStr">
        <is>
          <t>Vinitaly</t>
        </is>
      </c>
      <c r="D322" t="inlineStr">
        <is>
          <t>https://www.vinitaly.com/</t>
        </is>
      </c>
      <c r="E322" t="inlineStr">
        <is>
          <t>organizacao de Veronafiere sobre fiera vino — alimenta T11 (eventos), T10 (mercado e industria)</t>
        </is>
      </c>
      <c r="F322" t="inlineStr">
        <is>
          <t>claude-code (missao ITALY-200-SOURCES-DISCOVERY, 2026-09-14)</t>
        </is>
      </c>
      <c r="G322" t="inlineStr">
        <is>
          <t>descoberta por familia de fonte 'evento' e verificada por sonda HTTP</t>
        </is>
      </c>
      <c r="H322" t="inlineStr">
        <is>
          <t>CANDIDATA validada em 2026-09-14; SOURCE_ID nao atribuido (nasce na porta canonica)</t>
        </is>
      </c>
    </row>
    <row r="323">
      <c r="A323" t="inlineStr">
        <is>
          <t>YOUTUBE</t>
        </is>
      </c>
      <c r="B323" t="inlineStr">
        <is>
          <t>IT</t>
        </is>
      </c>
      <c r="C323" t="inlineStr">
        <is>
          <t>Consorzio Tutela Vini d'Abruzzo — Youtube ufficiale</t>
        </is>
      </c>
      <c r="D323" t="inlineStr">
        <is>
          <t>https://www.youtube.com/@VinidAbruzzo</t>
        </is>
      </c>
      <c r="E323" t="inlineStr">
        <is>
          <t>canal de video oficial de Consorzio Tutela Vini d'Abruzzo sobre vino, DOC — alimenta T10 (mercado e industria), T1 (cultura e producao)</t>
        </is>
      </c>
      <c r="F323" t="inlineStr">
        <is>
          <t>claude-code (missao ITALY-200-SOURCES-DISCOVERY, 2026-09-14)</t>
        </is>
      </c>
      <c r="G323" t="inlineStr">
        <is>
          <t>declarado no site oficial do dono: https://www.vinidabruzzo.it/</t>
        </is>
      </c>
      <c r="H323" t="inlineStr">
        <is>
          <t>id estavel de plataforma: UCJi1Vrelq8obdmS_UXP3T2g · CANDIDATA validada em 2026-09-14; SOURCE_ID nao atribuido (nasce na porta canonica)</t>
        </is>
      </c>
    </row>
    <row r="324">
      <c r="A324" t="inlineStr">
        <is>
          <t>YOUTUBE</t>
        </is>
      </c>
      <c r="B324" t="inlineStr">
        <is>
          <t>IT</t>
        </is>
      </c>
      <c r="C324" t="inlineStr">
        <is>
          <t>Valagro — Youtube ufficiale</t>
        </is>
      </c>
      <c r="D324" t="inlineStr">
        <is>
          <t>https://www.youtube.com/@syngenta</t>
        </is>
      </c>
      <c r="E324" t="inlineStr">
        <is>
          <t>canal de video oficial de Valagro — Syngenta Group sobre biostimolanti, nutrizione — alimenta T9 (concorrentes), T10 (mercado e industria)</t>
        </is>
      </c>
      <c r="F324" t="inlineStr">
        <is>
          <t>claude-code (missao ITALY-200-SOURCES-DISCOVERY, 2026-09-14)</t>
        </is>
      </c>
      <c r="G324" t="inlineStr">
        <is>
          <t>declarado no site oficial do dono: https://www.valagro.com/it/</t>
        </is>
      </c>
      <c r="H324" t="inlineStr">
        <is>
          <t>id estavel de plataforma: UCrH6tAf1fxYyrhxW5erXd9A · CANDIDATA validada em 2026-09-14; SOURCE_ID nao atribuido (nasce na porta canonica)</t>
        </is>
      </c>
    </row>
    <row r="325">
      <c r="A325" t="inlineStr">
        <is>
          <t>YOUTUBE</t>
        </is>
      </c>
      <c r="B325" t="inlineStr">
        <is>
          <t>IT</t>
        </is>
      </c>
      <c r="C325" t="inlineStr">
        <is>
          <t>ARSAC Calabria — Azienda Regionale per lo Sviluppo dell'Agricoltura Calabrese — Youtube ufficiale</t>
        </is>
      </c>
      <c r="D325" t="inlineStr">
        <is>
          <t>https://www.youtube.com/channel/UCEg22ii3Awy6eyRybNqO-8Q</t>
        </is>
      </c>
      <c r="E325" t="inlineStr">
        <is>
          <t>canal de video oficial de Regione Calabria sobre assistenza tecnica, divulgazione, fitosanitario — alimenta T1 (cultura e producao), T7 (rede tecnica), T3 (praga, doenca e infestanti)</t>
        </is>
      </c>
      <c r="F325" t="inlineStr">
        <is>
          <t>claude-code (missao ITALY-200-SOURCES-DISCOVERY, 2026-09-14)</t>
        </is>
      </c>
      <c r="G325" t="inlineStr">
        <is>
          <t>declarado no site oficial do dono: https://www.arsac.calabria.it/</t>
        </is>
      </c>
      <c r="H325" t="inlineStr">
        <is>
          <t>id estavel de plataforma: UCEg22ii3Awy6eyRybNqO-8Q · CANDIDATA validada em 2026-09-14; SOURCE_ID nao atribuido (nasce na porta canonica)</t>
        </is>
      </c>
    </row>
    <row r="326">
      <c r="A326" t="inlineStr">
        <is>
          <t>YOUTUBE</t>
        </is>
      </c>
      <c r="B326" t="inlineStr">
        <is>
          <t>IT</t>
        </is>
      </c>
      <c r="C326" t="inlineStr">
        <is>
          <t>CNR ISAFOM — Istituto per i Sistemi Agricoli e Forestali del Mediterraneo — Youtube ufficiale</t>
        </is>
      </c>
      <c r="D326" t="inlineStr">
        <is>
          <t>https://www.youtube.com/channel/UCOiX7jy7G-NMPtaA9QaNQrg</t>
        </is>
      </c>
      <c r="E326" t="inlineStr">
        <is>
          <t>canal de video oficial de CNR sobre agrosistemi mediterranei, acqua, suolo — alimenta T2 (clima/acqua/suolo), T1 (cultura e producao), T5 (ciencia)</t>
        </is>
      </c>
      <c r="F326" t="inlineStr">
        <is>
          <t>claude-code (missao ITALY-200-SOURCES-DISCOVERY, 2026-09-14)</t>
        </is>
      </c>
      <c r="G326" t="inlineStr">
        <is>
          <t>declarado no site oficial do dono: https://www.isafom.cnr.it/</t>
        </is>
      </c>
      <c r="H326" t="inlineStr">
        <is>
          <t>id estavel de plataforma: UCOiX7jy7G-NMPtaA9QaNQrg · CANDIDATA validada em 2026-09-14; SOURCE_ID nao atribuido (nasce na porta canonica)</t>
        </is>
      </c>
    </row>
    <row r="327">
      <c r="A327" t="inlineStr">
        <is>
          <t>YOUTUBE</t>
        </is>
      </c>
      <c r="B327" t="inlineStr">
        <is>
          <t>IT</t>
        </is>
      </c>
      <c r="C327" t="inlineStr">
        <is>
          <t>UNINA Dipartimento di Agraria — Portici — Youtube ufficiale</t>
        </is>
      </c>
      <c r="D327" t="inlineStr">
        <is>
          <t>https://www.youtube.com/channel/UC3HdHdHUZomg1l3K_UWv9PQ</t>
        </is>
      </c>
      <c r="E327" t="inlineStr">
        <is>
          <t>canal de video oficial de Universita di Napoli Federico II sobre agraria, entomologia, patologia — alimenta T5 (ciencia), T6 (pesquisadores), T3 (praga, doenca e infestanti)</t>
        </is>
      </c>
      <c r="F327" t="inlineStr">
        <is>
          <t>claude-code (missao ITALY-200-SOURCES-DISCOVERY, 2026-09-14)</t>
        </is>
      </c>
      <c r="G327" t="inlineStr">
        <is>
          <t>declarado no site oficial do dono: https://www.agraria.unina.it/</t>
        </is>
      </c>
      <c r="H327" t="inlineStr">
        <is>
          <t>id estavel de plataforma: UC3HdHdHUZomg1l3K_UWv9PQ · CANDIDATA validada em 2026-09-14; SOURCE_ID nao atribuido (nasce na porta canonica)</t>
        </is>
      </c>
    </row>
    <row r="328">
      <c r="A328" t="inlineStr">
        <is>
          <t>YOUTUBE</t>
        </is>
      </c>
      <c r="B328" t="inlineStr">
        <is>
          <t>IT</t>
        </is>
      </c>
      <c r="C328" t="inlineStr">
        <is>
          <t>AgroNotizie — canale YouTube</t>
        </is>
      </c>
      <c r="D328" t="inlineStr">
        <is>
          <t>https://www.youtube.com/@AgroNotizie</t>
        </is>
      </c>
      <c r="E328" t="inlineStr">
        <is>
          <t>canal de video oficial de Image Line sobre notizie agricole, tecnica — alimenta T8 (agricultores e influenciadores), T3 (praga, doenca e infestanti), T1 (cultura e producao)</t>
        </is>
      </c>
      <c r="F328" t="inlineStr">
        <is>
          <t>claude-code (missao ITALY-200-SOURCES-DISCOVERY, 2026-09-14)</t>
        </is>
      </c>
      <c r="G328" t="inlineStr">
        <is>
          <t>descoberta por familia de fonte 'imprensa_tecnica' e verificada por sonda HTTP</t>
        </is>
      </c>
      <c r="H328" t="inlineStr">
        <is>
          <t>id estavel de plataforma: UC5lOJg4v2kFjMunah3fL23g · CANDIDATA validada em 2026-09-14; SOURCE_ID nao atribuido (nasce na porta canonica)</t>
        </is>
      </c>
    </row>
    <row r="329">
      <c r="A329" t="inlineStr">
        <is>
          <t>YOUTUBE</t>
        </is>
      </c>
      <c r="B329" t="inlineStr">
        <is>
          <t>IT</t>
        </is>
      </c>
      <c r="C329" t="inlineStr">
        <is>
          <t>CRPV — Centro Ricerche Produzioni Vegetali — Youtube ufficiale</t>
        </is>
      </c>
      <c r="D329" t="inlineStr">
        <is>
          <t>https://www.youtube.com/@rinovaricerche</t>
        </is>
      </c>
      <c r="E329" t="inlineStr">
        <is>
          <t>canal de video oficial de CRPV sobre sperimentazione, ortofrutta, difesa — alimenta T5 (ciencia), T3 (praga, doenca e infestanti), T1 (cultura e producao)</t>
        </is>
      </c>
      <c r="F329" t="inlineStr">
        <is>
          <t>claude-code (missao ITALY-200-SOURCES-DISCOVERY, 2026-09-14)</t>
        </is>
      </c>
      <c r="G329" t="inlineStr">
        <is>
          <t>declarado no site oficial do dono: https://www.crpv.it/</t>
        </is>
      </c>
      <c r="H329" t="inlineStr">
        <is>
          <t>id estavel de plataforma: UCH-UMwlZXbrOb3RrL2GejMA · CANDIDATA validada em 2026-09-14; SOURCE_ID nao atribuido (nasce na porta canonica)</t>
        </is>
      </c>
    </row>
    <row r="330">
      <c r="A330" t="inlineStr">
        <is>
          <t>YOUTUBE</t>
        </is>
      </c>
      <c r="B330" t="inlineStr">
        <is>
          <t>IT</t>
        </is>
      </c>
      <c r="C330" t="inlineStr">
        <is>
          <t>Cantina Sociale Cooperativa Riunite e CIV — Youtube ufficiale</t>
        </is>
      </c>
      <c r="D330" t="inlineStr">
        <is>
          <t>https://www.youtube.com/channel/UCHm8wgnyeNFP2luUq_lMPMg</t>
        </is>
      </c>
      <c r="E330" t="inlineStr">
        <is>
          <t>canal de video oficial de Riunite &amp; CIV sobre cooperativa vitivinicola — alimenta T10 (mercado e industria), T1 (cultura e producao)</t>
        </is>
      </c>
      <c r="F330" t="inlineStr">
        <is>
          <t>claude-code (missao ITALY-200-SOURCES-DISCOVERY, 2026-09-14)</t>
        </is>
      </c>
      <c r="G330" t="inlineStr">
        <is>
          <t>declarado no site oficial do dono: https://www.riuniteciv.com/</t>
        </is>
      </c>
      <c r="H330" t="inlineStr">
        <is>
          <t>id estavel de plataforma: UCHm8wgnyeNFP2luUq_lMPMg · CANDIDATA validada em 2026-09-14; SOURCE_ID nao atribuido (nasce na porta canonica)</t>
        </is>
      </c>
    </row>
    <row r="331">
      <c r="A331" t="inlineStr">
        <is>
          <t>YOUTUBE</t>
        </is>
      </c>
      <c r="B331" t="inlineStr">
        <is>
          <t>IT</t>
        </is>
      </c>
      <c r="C331" t="inlineStr">
        <is>
          <t>Cifo — Youtube ufficiale</t>
        </is>
      </c>
      <c r="D331" t="inlineStr">
        <is>
          <t>https://www.youtube.com/user/cifospa</t>
        </is>
      </c>
      <c r="E331" t="inlineStr">
        <is>
          <t>canal de video oficial de Cifo sobre nutrizione vegetale — alimenta T9 (concorrentes), T10 (mercado e industria)</t>
        </is>
      </c>
      <c r="F331" t="inlineStr">
        <is>
          <t>claude-code (missao ITALY-200-SOURCES-DISCOVERY, 2026-09-14)</t>
        </is>
      </c>
      <c r="G331" t="inlineStr">
        <is>
          <t>declarado no site oficial do dono: https://www.cifo.it/</t>
        </is>
      </c>
      <c r="H331" t="inlineStr">
        <is>
          <t>id estavel de plataforma: UC4A5UdkaIvcbaA7z1mz-YdA · CANDIDATA validada em 2026-09-14; SOURCE_ID nao atribuido (nasce na porta canonica)</t>
        </is>
      </c>
    </row>
    <row r="332">
      <c r="A332" t="inlineStr">
        <is>
          <t>YOUTUBE</t>
        </is>
      </c>
      <c r="B332" t="inlineStr">
        <is>
          <t>IT</t>
        </is>
      </c>
      <c r="C332" t="inlineStr">
        <is>
          <t>Conserve Italia — Youtube ufficiale</t>
        </is>
      </c>
      <c r="D332" t="inlineStr">
        <is>
          <t>https://www.youtube.com/channel/UCB3cnpKOvT56elhTKE7cjSg</t>
        </is>
      </c>
      <c r="E332" t="inlineStr">
        <is>
          <t>canal de video oficial de Conserve Italia sobre cooperativa, trasformazione — alimenta T10 (mercado e industria), T1 (cultura e producao)</t>
        </is>
      </c>
      <c r="F332" t="inlineStr">
        <is>
          <t>claude-code (missao ITALY-200-SOURCES-DISCOVERY, 2026-09-14)</t>
        </is>
      </c>
      <c r="G332" t="inlineStr">
        <is>
          <t>declarado no site oficial do dono: https://www.conserveitalia.it/</t>
        </is>
      </c>
      <c r="H332" t="inlineStr">
        <is>
          <t>id estavel de plataforma: UCB3cnpKOvT56elhTKE7cjSg · CANDIDATA validada em 2026-09-14; SOURCE_ID nao atribuido (nasce na porta canonica)</t>
        </is>
      </c>
    </row>
    <row r="333">
      <c r="A333" t="inlineStr">
        <is>
          <t>YOUTUBE</t>
        </is>
      </c>
      <c r="B333" t="inlineStr">
        <is>
          <t>IT</t>
        </is>
      </c>
      <c r="C333" t="inlineStr">
        <is>
          <t>Fondazione per l'Agricoltura F.lli Navarra — Youtube ufficiale</t>
        </is>
      </c>
      <c r="D333" t="inlineStr">
        <is>
          <t>https://www.youtube.com/@fondazionenavarra_Ferrara</t>
        </is>
      </c>
      <c r="E333" t="inlineStr">
        <is>
          <t>canal de video oficial de Fondazione Navarra sobre frutticoltura, sperimentazione — alimenta T5 (ciencia), T1 (cultura e producao)</t>
        </is>
      </c>
      <c r="F333" t="inlineStr">
        <is>
          <t>claude-code (missao ITALY-200-SOURCES-DISCOVERY, 2026-09-14)</t>
        </is>
      </c>
      <c r="G333" t="inlineStr">
        <is>
          <t>declarado no site oficial do dono: https://www.fondazionenavarra.it/</t>
        </is>
      </c>
      <c r="H333" t="inlineStr">
        <is>
          <t>id estavel de plataforma: UCm-f74uymvl9TOLWqf6GOpA · CANDIDATA validada em 2026-09-14; SOURCE_ID nao atribuido (nasce na porta canonica)</t>
        </is>
      </c>
    </row>
    <row r="334">
      <c r="A334" t="inlineStr">
        <is>
          <t>YOUTUBE</t>
        </is>
      </c>
      <c r="B334" t="inlineStr">
        <is>
          <t>IT</t>
        </is>
      </c>
      <c r="C334" t="inlineStr">
        <is>
          <t>Granarolo — Youtube ufficiale</t>
        </is>
      </c>
      <c r="D334" t="inlineStr">
        <is>
          <t>https://www.youtube.com/channel/UCQX-qwzhBwwJaIFcLL3RI2w</t>
        </is>
      </c>
      <c r="E334" t="inlineStr">
        <is>
          <t>canal de video oficial de Granarolo sobre latte, filiera — alimenta T10 (mercado e industria)</t>
        </is>
      </c>
      <c r="F334" t="inlineStr">
        <is>
          <t>claude-code (missao ITALY-200-SOURCES-DISCOVERY, 2026-09-14)</t>
        </is>
      </c>
      <c r="G334" t="inlineStr">
        <is>
          <t>declarado no site oficial do dono: https://www.granarolo.it/</t>
        </is>
      </c>
      <c r="H334" t="inlineStr">
        <is>
          <t>id estavel de plataforma: UCQX-qwzhBwwJaIFcLL3RI2w · CANDIDATA validada em 2026-09-14; SOURCE_ID nao atribuido (nasce na porta canonica)</t>
        </is>
      </c>
    </row>
    <row r="335">
      <c r="A335" t="inlineStr">
        <is>
          <t>YOUTUBE</t>
        </is>
      </c>
      <c r="B335" t="inlineStr">
        <is>
          <t>IT</t>
        </is>
      </c>
      <c r="C335" t="inlineStr">
        <is>
          <t>Macfrut — Youtube ufficiale</t>
        </is>
      </c>
      <c r="D335" t="inlineStr">
        <is>
          <t>https://www.youtube.com/channel/UCS-EXLzpmRwcnJNsm9SWJdA</t>
        </is>
      </c>
      <c r="E335" t="inlineStr">
        <is>
          <t>canal de video oficial de Cesena Fiera sobre fiera ortofrutta — alimenta T11 (eventos), T10 (mercado e industria)</t>
        </is>
      </c>
      <c r="F335" t="inlineStr">
        <is>
          <t>claude-code (missao ITALY-200-SOURCES-DISCOVERY, 2026-09-14)</t>
        </is>
      </c>
      <c r="G335" t="inlineStr">
        <is>
          <t>declarado no site oficial do dono: https://www.macfrut.com/</t>
        </is>
      </c>
      <c r="H335" t="inlineStr">
        <is>
          <t>id estavel de plataforma: UCS-EXLzpmRwcnJNsm9SWJdA · CANDIDATA validada em 2026-09-14; SOURCE_ID nao atribuido (nasce na porta canonica)</t>
        </is>
      </c>
    </row>
    <row r="336">
      <c r="A336" t="inlineStr">
        <is>
          <t>YOUTUBE</t>
        </is>
      </c>
      <c r="B336" t="inlineStr">
        <is>
          <t>IT</t>
        </is>
      </c>
      <c r="C336" t="inlineStr">
        <is>
          <t>Terra e Vita — Edagricole — Youtube ufficiale</t>
        </is>
      </c>
      <c r="D336" t="inlineStr">
        <is>
          <t>https://www.youtube.com/channel/UCrCabYjtyqdzu1zXo95o7Jw</t>
        </is>
      </c>
      <c r="E336" t="inlineStr">
        <is>
          <t>canal de video oficial de Edagricole — New Business Media sobre rivista tecnica, seminativi, difesa — alimenta T1 (cultura e producao), T3 (praga, doenca e infestanti), T10 (mercado e industria)</t>
        </is>
      </c>
      <c r="F336" t="inlineStr">
        <is>
          <t>claude-code (missao ITALY-200-SOURCES-DISCOVERY, 2026-09-14)</t>
        </is>
      </c>
      <c r="G336" t="inlineStr">
        <is>
          <t>declarado no site oficial do dono: https://terraevita.edagricole.it/</t>
        </is>
      </c>
      <c r="H336" t="inlineStr">
        <is>
          <t>id estavel de plataforma: UCrCabYjtyqdzu1zXo95o7Jw · CANDIDATA validada em 2026-09-14; SOURCE_ID nao atribuido (nasce na porta canonica)</t>
        </is>
      </c>
    </row>
    <row r="337">
      <c r="A337" t="inlineStr">
        <is>
          <t>YOUTUBE</t>
        </is>
      </c>
      <c r="B337" t="inlineStr">
        <is>
          <t>IT</t>
        </is>
      </c>
      <c r="C337" t="inlineStr">
        <is>
          <t>UNIBO DISTAL — Dipartimento di Scienze e Tecnologie Agro-Alimentari — Youtube ufficiale</t>
        </is>
      </c>
      <c r="D337" t="inlineStr">
        <is>
          <t>https://www.youtube.com/channel/UCDNXhv9mPzYo5FQKkg_oSWw</t>
        </is>
      </c>
      <c r="E337" t="inlineStr">
        <is>
          <t>canal de video oficial de Universita di Bologna sobre agraria, patologia, entomologia, agronomia — alimenta T5 (ciencia), T6 (pesquisadores), T1 (cultura e producao)</t>
        </is>
      </c>
      <c r="F337" t="inlineStr">
        <is>
          <t>claude-code (missao ITALY-200-SOURCES-DISCOVERY, 2026-09-14)</t>
        </is>
      </c>
      <c r="G337" t="inlineStr">
        <is>
          <t>declarado no site oficial do dono: https://distal.unibo.it/it</t>
        </is>
      </c>
      <c r="H337" t="inlineStr">
        <is>
          <t>id estavel de plataforma: UCDNXhv9mPzYo5FQKkg_oSWw · CANDIDATA validada em 2026-09-14; SOURCE_ID nao atribuido (nasce na porta canonica)</t>
        </is>
      </c>
    </row>
    <row r="338">
      <c r="A338" t="inlineStr">
        <is>
          <t>YOUTUBE</t>
        </is>
      </c>
      <c r="B338" t="inlineStr">
        <is>
          <t>IT</t>
        </is>
      </c>
      <c r="C338" t="inlineStr">
        <is>
          <t>ARPA Lazio — Youtube ufficiale</t>
        </is>
      </c>
      <c r="D338" t="inlineStr">
        <is>
          <t>https://www.youtube.com/@arpa_lazio</t>
        </is>
      </c>
      <c r="E338" t="inlineStr">
        <is>
          <t>canal de video oficial de ARPA Lazio sobre ambiente, aria, acque — alimenta T2 (clima/acqua/suolo), T12 (politica e ambiente agricola)</t>
        </is>
      </c>
      <c r="F338" t="inlineStr">
        <is>
          <t>claude-code (missao ITALY-200-SOURCES-DISCOVERY, 2026-09-14)</t>
        </is>
      </c>
      <c r="G338" t="inlineStr">
        <is>
          <t>declarado no site oficial do dono: https://www.arpalazio.it/</t>
        </is>
      </c>
      <c r="H338" t="inlineStr">
        <is>
          <t>id estavel de plataforma: UC1vKirvt0hzsqE9zQAs9nTw · CANDIDATA validada em 2026-09-14; SOURCE_ID nao atribuido (nasce na porta canonica)</t>
        </is>
      </c>
    </row>
    <row r="339">
      <c r="A339" t="inlineStr">
        <is>
          <t>YOUTUBE</t>
        </is>
      </c>
      <c r="B339" t="inlineStr">
        <is>
          <t>IT</t>
        </is>
      </c>
      <c r="C339" t="inlineStr">
        <is>
          <t>ARPA Liguria — Youtube ufficiale</t>
        </is>
      </c>
      <c r="D339" t="inlineStr">
        <is>
          <t>https://www.youtube.com/channel/UCTK_ULXg3gzn8el_oFk-5eA</t>
        </is>
      </c>
      <c r="E339" t="inlineStr">
        <is>
          <t>canal de video oficial de ARPAL sobre meteo, ambiente, allerta — alimenta T2 (clima/acqua/suolo), T12 (politica e ambiente agricola)</t>
        </is>
      </c>
      <c r="F339" t="inlineStr">
        <is>
          <t>claude-code (missao ITALY-200-SOURCES-DISCOVERY, 2026-09-14)</t>
        </is>
      </c>
      <c r="G339" t="inlineStr">
        <is>
          <t>declarado no site oficial do dono: https://www.arpal.liguria.it/</t>
        </is>
      </c>
      <c r="H339" t="inlineStr">
        <is>
          <t>id estavel de plataforma: UCTK_ULXg3gzn8el_oFk-5eA · CANDIDATA validada em 2026-09-14; SOURCE_ID nao atribuido (nasce na porta canonica)</t>
        </is>
      </c>
    </row>
    <row r="340">
      <c r="A340" t="inlineStr">
        <is>
          <t>YOUTUBE</t>
        </is>
      </c>
      <c r="B340" t="inlineStr">
        <is>
          <t>IT</t>
        </is>
      </c>
      <c r="C340" t="inlineStr">
        <is>
          <t>ARPA Lombardia — Youtube ufficiale</t>
        </is>
      </c>
      <c r="D340" t="inlineStr">
        <is>
          <t>https://www.youtube.com/channel/UCamw8rL1JPLjfa3Bx6ax8Eg</t>
        </is>
      </c>
      <c r="E340" t="inlineStr">
        <is>
          <t>canal de video oficial de ARPA Lombardia sobre meteo, aria, acqua, agrometeo — alimenta T2 (clima/acqua/suolo), T12 (politica e ambiente agricola)</t>
        </is>
      </c>
      <c r="F340" t="inlineStr">
        <is>
          <t>claude-code (missao ITALY-200-SOURCES-DISCOVERY, 2026-09-14)</t>
        </is>
      </c>
      <c r="G340" t="inlineStr">
        <is>
          <t>declarado no site oficial do dono: https://www.arpalombardia.it/</t>
        </is>
      </c>
      <c r="H340" t="inlineStr">
        <is>
          <t>id estavel de plataforma: UCamw8rL1JPLjfa3Bx6ax8Eg · CANDIDATA validada em 2026-09-14; SOURCE_ID nao atribuido (nasce na porta canonica)</t>
        </is>
      </c>
    </row>
    <row r="341">
      <c r="A341" t="inlineStr">
        <is>
          <t>YOUTUBE</t>
        </is>
      </c>
      <c r="B341" t="inlineStr">
        <is>
          <t>IT</t>
        </is>
      </c>
      <c r="C341" t="inlineStr">
        <is>
          <t>Confagricoltura Lombardia — Youtube ufficiale</t>
        </is>
      </c>
      <c r="D341" t="inlineStr">
        <is>
          <t>https://www.youtube.com/channel/UCfqqPifpfaZUI30hxiygmJw</t>
        </is>
      </c>
      <c r="E341" t="inlineStr">
        <is>
          <t>canal de video oficial de Confagricoltura sobre organizzazione agricola regionale — alimenta T12 (politica e ambiente agricola), T7 (rede tecnica)</t>
        </is>
      </c>
      <c r="F341" t="inlineStr">
        <is>
          <t>claude-code (missao ITALY-200-SOURCES-DISCOVERY, 2026-09-14)</t>
        </is>
      </c>
      <c r="G341" t="inlineStr">
        <is>
          <t>declarado no site oficial do dono: https://www.confagricolturalombardia.it/</t>
        </is>
      </c>
      <c r="H341" t="inlineStr">
        <is>
          <t>id estavel de plataforma: UCfqqPifpfaZUI30hxiygmJw · CANDIDATA validada em 2026-09-14; SOURCE_ID nao atribuido (nasce na porta canonica)</t>
        </is>
      </c>
    </row>
    <row r="342">
      <c r="A342" t="inlineStr">
        <is>
          <t>YOUTUBE</t>
        </is>
      </c>
      <c r="B342" t="inlineStr">
        <is>
          <t>IT</t>
        </is>
      </c>
      <c r="C342" t="inlineStr">
        <is>
          <t>Consorzio di Bonifica Est Ticino Villoresi — Youtube ufficiale</t>
        </is>
      </c>
      <c r="D342" t="inlineStr">
        <is>
          <t>https://www.youtube.com/@consorziodibonificaesttici5074</t>
        </is>
      </c>
      <c r="E342" t="inlineStr">
        <is>
          <t>canal de video oficial de Consorzio Est Ticino Villoresi sobre irrigazione, risaia, acqua — alimenta T2 (clima/acqua/suolo), T1 (cultura e producao)</t>
        </is>
      </c>
      <c r="F342" t="inlineStr">
        <is>
          <t>claude-code (missao ITALY-200-SOURCES-DISCOVERY, 2026-09-14)</t>
        </is>
      </c>
      <c r="G342" t="inlineStr">
        <is>
          <t>declarado no site oficial do dono: https://www.etvilloresi.it/</t>
        </is>
      </c>
      <c r="H342" t="inlineStr">
        <is>
          <t>id estavel de plataforma: UCfYSI-_mzA0BWZwHcPrO0vg · CANDIDATA validada em 2026-09-14; SOURCE_ID nao atribuido (nasce na porta canonica)</t>
        </is>
      </c>
    </row>
    <row r="343">
      <c r="A343" t="inlineStr">
        <is>
          <t>YOUTUBE</t>
        </is>
      </c>
      <c r="B343" t="inlineStr">
        <is>
          <t>IT</t>
        </is>
      </c>
      <c r="C343" t="inlineStr">
        <is>
          <t>Consorzio di Tutela del Grana Padano — Youtube ufficiale</t>
        </is>
      </c>
      <c r="D343" t="inlineStr">
        <is>
          <t>https://www.youtube.com/@GranaPadanoDOP</t>
        </is>
      </c>
      <c r="E343" t="inlineStr">
        <is>
          <t>canal de video oficial de Consorzio Tutela Grana Padano sobre DOP, latte, filiera — alimenta T10 (mercado e industria), T1 (cultura e producao)</t>
        </is>
      </c>
      <c r="F343" t="inlineStr">
        <is>
          <t>claude-code (missao ITALY-200-SOURCES-DISCOVERY, 2026-09-14)</t>
        </is>
      </c>
      <c r="G343" t="inlineStr">
        <is>
          <t>declarado no site oficial do dono: https://www.granapadano.it/</t>
        </is>
      </c>
      <c r="H343" t="inlineStr">
        <is>
          <t>id estavel de plataforma: UC_yfE6hgWx4FBDCz1PmLjxw · CANDIDATA validada em 2026-09-14; SOURCE_ID nao atribuido (nasce na porta canonica)</t>
        </is>
      </c>
    </row>
    <row r="344">
      <c r="A344" t="inlineStr">
        <is>
          <t>YOUTUBE</t>
        </is>
      </c>
      <c r="B344" t="inlineStr">
        <is>
          <t>IT</t>
        </is>
      </c>
      <c r="C344" t="inlineStr">
        <is>
          <t>Fondazione Minoprio — Youtube ufficiale</t>
        </is>
      </c>
      <c r="D344" t="inlineStr">
        <is>
          <t>https://www.youtube.com/user/Fondazioneminoprio</t>
        </is>
      </c>
      <c r="E344" t="inlineStr">
        <is>
          <t>canal de video oficial de Fondazione Minoprio sobre formazione, floricoltura, sperimentazione — alimenta T5 (ciencia), T7 (rede tecnica), T1 (cultura e producao)</t>
        </is>
      </c>
      <c r="F344" t="inlineStr">
        <is>
          <t>claude-code (missao ITALY-200-SOURCES-DISCOVERY, 2026-09-14)</t>
        </is>
      </c>
      <c r="G344" t="inlineStr">
        <is>
          <t>declarado no site oficial do dono: https://www.fondazioneminoprio.it/</t>
        </is>
      </c>
      <c r="H344" t="inlineStr">
        <is>
          <t>id estavel de plataforma: UCiECZ69Hbfmcsu8O54r3geQ · CANDIDATA validada em 2026-09-14; SOURCE_ID nao atribuido (nasce na porta canonica)</t>
        </is>
      </c>
    </row>
    <row r="345">
      <c r="A345" t="inlineStr">
        <is>
          <t>YOUTUBE</t>
        </is>
      </c>
      <c r="B345" t="inlineStr">
        <is>
          <t>IT</t>
        </is>
      </c>
      <c r="C345" t="inlineStr">
        <is>
          <t>ARPA Marche — Youtube ufficiale</t>
        </is>
      </c>
      <c r="D345" t="inlineStr">
        <is>
          <t>https://www.youtube.com/channel/UCtBD35n-HE7x_MWnjc1kt7g</t>
        </is>
      </c>
      <c r="E345" t="inlineStr">
        <is>
          <t>canal de video oficial de ARPAM sobre ambiente, meteo — alimenta T2 (clima/acqua/suolo), T12 (politica e ambiente agricola)</t>
        </is>
      </c>
      <c r="F345" t="inlineStr">
        <is>
          <t>claude-code (missao ITALY-200-SOURCES-DISCOVERY, 2026-09-14)</t>
        </is>
      </c>
      <c r="G345" t="inlineStr">
        <is>
          <t>declarado no site oficial do dono: https://www.arpa.marche.it/</t>
        </is>
      </c>
      <c r="H345" t="inlineStr">
        <is>
          <t>id estavel de plataforma: UCtBD35n-HE7x_MWnjc1kt7g · CANDIDATA validada em 2026-09-14; SOURCE_ID nao atribuido (nasce na porta canonica)</t>
        </is>
      </c>
    </row>
    <row r="346">
      <c r="A346" t="inlineStr">
        <is>
          <t>YOUTUBE</t>
        </is>
      </c>
      <c r="B346" t="inlineStr">
        <is>
          <t>IT</t>
        </is>
      </c>
      <c r="C346" t="inlineStr">
        <is>
          <t>ASSAM Marche — Agenzia Servizi Settore Agroalimentare delle Marche — Youtube ufficiale</t>
        </is>
      </c>
      <c r="D346" t="inlineStr">
        <is>
          <t>https://www.youtube.com/channel/UCpiryXByW32kGxQXTlbnSXA</t>
        </is>
      </c>
      <c r="E346" t="inlineStr">
        <is>
          <t>canal de video oficial de Regione Marche sobre servizio fitosanitario, agrometeo, assistenza tecnica — alimenta T3 (praga, doenca e infestanti), T2 (clima/acqua/suolo), T7 (rede tecnica)</t>
        </is>
      </c>
      <c r="F346" t="inlineStr">
        <is>
          <t>claude-code (missao ITALY-200-SOURCES-DISCOVERY, 2026-09-14)</t>
        </is>
      </c>
      <c r="G346" t="inlineStr">
        <is>
          <t>declarado no site oficial do dono: https://www.assam.marche.it/</t>
        </is>
      </c>
      <c r="H346" t="inlineStr">
        <is>
          <t>id estavel de plataforma: UCpiryXByW32kGxQXTlbnSXA · CANDIDATA validada em 2026-09-14; SOURCE_ID nao atribuido (nasce na porta canonica)</t>
        </is>
      </c>
    </row>
    <row r="347">
      <c r="A347" t="inlineStr">
        <is>
          <t>YOUTUBE</t>
        </is>
      </c>
      <c r="B347" t="inlineStr">
        <is>
          <t>IT</t>
        </is>
      </c>
      <c r="C347" t="inlineStr">
        <is>
          <t>Regione Molise — Agricoltura — Youtube ufficiale</t>
        </is>
      </c>
      <c r="D347" t="inlineStr">
        <is>
          <t>https://www.youtube.com/channel/UCH_LCqE9qGb6TvpXwGudNbQ</t>
        </is>
      </c>
      <c r="E347" t="inlineStr">
        <is>
          <t>canal de video oficial de Regione Molise sobre agricoltura, PSR — alimenta T1 (cultura e producao), T4 (regulatorio)</t>
        </is>
      </c>
      <c r="F347" t="inlineStr">
        <is>
          <t>claude-code (missao ITALY-200-SOURCES-DISCOVERY, 2026-09-14)</t>
        </is>
      </c>
      <c r="G347" t="inlineStr">
        <is>
          <t>declarado no site oficial do dono: https://www.regione.molise.it/flex/cm/pages/ServeBLOB.php/L/IT/IDPagina/11683</t>
        </is>
      </c>
      <c r="H347" t="inlineStr">
        <is>
          <t>id estavel de plataforma: UCH_LCqE9qGb6TvpXwGudNbQ · CANDIDATA validada em 2026-09-14; SOURCE_ID nao atribuido (nasce na porta canonica)</t>
        </is>
      </c>
    </row>
    <row r="348">
      <c r="A348" t="inlineStr">
        <is>
          <t>YOUTUBE</t>
        </is>
      </c>
      <c r="B348" t="inlineStr">
        <is>
          <t>IT</t>
        </is>
      </c>
      <c r="C348" t="inlineStr">
        <is>
          <t>ANBI — Associazione Nazionale Consorzi di gestione e tutela del territorio e acque irrigue — Youtube ufficiale</t>
        </is>
      </c>
      <c r="D348" t="inlineStr">
        <is>
          <t>https://www.youtube.com/channel/UCFkdwOroXwCFMXHneVMeYqQ</t>
        </is>
      </c>
      <c r="E348" t="inlineStr">
        <is>
          <t>canal de video oficial de ANBI sobre consorzi di bonifica, irrigazione — alimenta T2 (clima/acqua/suolo), T12 (politica e ambiente agricola)</t>
        </is>
      </c>
      <c r="F348" t="inlineStr">
        <is>
          <t>claude-code (missao ITALY-200-SOURCES-DISCOVERY, 2026-09-14)</t>
        </is>
      </c>
      <c r="G348" t="inlineStr">
        <is>
          <t>declarado no site oficial do dono: https://www.anbi.it/</t>
        </is>
      </c>
      <c r="H348" t="inlineStr">
        <is>
          <t>id estavel de plataforma: UCFkdwOroXwCFMXHneVMeYqQ · CANDIDATA validada em 2026-09-14; SOURCE_ID nao atribuido (nasce na porta canonica)</t>
        </is>
      </c>
    </row>
    <row r="349">
      <c r="A349" t="inlineStr">
        <is>
          <t>YOUTUBE</t>
        </is>
      </c>
      <c r="B349" t="inlineStr">
        <is>
          <t>IT</t>
        </is>
      </c>
      <c r="C349" t="inlineStr">
        <is>
          <t>Assosementi — Youtube ufficiale</t>
        </is>
      </c>
      <c r="D349" t="inlineStr">
        <is>
          <t>https://www.youtube.com/channel/UCdJ3sb6r1X0pjU6XR9OMdGw</t>
        </is>
      </c>
      <c r="E349" t="inlineStr">
        <is>
          <t>canal de video oficial de Assosementi sobre sementi, varieta — alimenta T1 (cultura e producao), T10 (mercado e industria)</t>
        </is>
      </c>
      <c r="F349" t="inlineStr">
        <is>
          <t>claude-code (missao ITALY-200-SOURCES-DISCOVERY, 2026-09-14)</t>
        </is>
      </c>
      <c r="G349" t="inlineStr">
        <is>
          <t>declarado no site oficial do dono: https://www.sementi.it/</t>
        </is>
      </c>
      <c r="H349" t="inlineStr">
        <is>
          <t>id estavel de plataforma: UCdJ3sb6r1X0pjU6XR9OMdGw · CANDIDATA validada em 2026-09-14; SOURCE_ID nao atribuido (nasce na porta canonica)</t>
        </is>
      </c>
    </row>
    <row r="350">
      <c r="A350" t="inlineStr">
        <is>
          <t>YOUTUBE</t>
        </is>
      </c>
      <c r="B350" t="inlineStr">
        <is>
          <t>IT</t>
        </is>
      </c>
      <c r="C350" t="inlineStr">
        <is>
          <t>CIA — Agricoltori Italiani — Youtube ufficiale</t>
        </is>
      </c>
      <c r="D350" t="inlineStr">
        <is>
          <t>https://www.youtube.com/user/CiaAgricoltori</t>
        </is>
      </c>
      <c r="E350" t="inlineStr">
        <is>
          <t>canal de video oficial de CIA sobre organizzazione agricola, policy — alimenta T12 (politica e ambiente agricola), T7 (rede tecnica)</t>
        </is>
      </c>
      <c r="F350" t="inlineStr">
        <is>
          <t>claude-code (missao ITALY-200-SOURCES-DISCOVERY, 2026-09-14)</t>
        </is>
      </c>
      <c r="G350" t="inlineStr">
        <is>
          <t>declarado no site oficial do dono: https://www.cia.it/</t>
        </is>
      </c>
      <c r="H350" t="inlineStr">
        <is>
          <t>id estavel de plataforma: UC0iNaYRRl9AJzjRxOHxIpsQ · CANDIDATA validada em 2026-09-14; SOURCE_ID nao atribuido (nasce na porta canonica)</t>
        </is>
      </c>
    </row>
    <row r="351">
      <c r="A351" t="inlineStr">
        <is>
          <t>YOUTUBE</t>
        </is>
      </c>
      <c r="B351" t="inlineStr">
        <is>
          <t>IT</t>
        </is>
      </c>
      <c r="C351" t="inlineStr">
        <is>
          <t>CONAF — Consiglio Ordine Nazionale Dottori Agronomi e Forestali — Youtube ufficiale</t>
        </is>
      </c>
      <c r="D351" t="inlineStr">
        <is>
          <t>https://www.youtube.com/channel/UC4LCuwIcRPhrE2mFJ8ZXtLg</t>
        </is>
      </c>
      <c r="E351" t="inlineStr">
        <is>
          <t>canal de video oficial de CONAF sobre agronomi, ordine professionale — alimenta T7 (rede tecnica), T12 (politica e ambiente agricola)</t>
        </is>
      </c>
      <c r="F351" t="inlineStr">
        <is>
          <t>claude-code (missao ITALY-200-SOURCES-DISCOVERY, 2026-09-14)</t>
        </is>
      </c>
      <c r="G351" t="inlineStr">
        <is>
          <t>declarado no site oficial do dono: https://www.conaf.it/</t>
        </is>
      </c>
      <c r="H351" t="inlineStr">
        <is>
          <t>id estavel de plataforma: UC4LCuwIcRPhrE2mFJ8ZXtLg · CANDIDATA validada em 2026-09-14; SOURCE_ID nao atribuido (nasce na porta canonica)</t>
        </is>
      </c>
    </row>
    <row r="352">
      <c r="A352" t="inlineStr">
        <is>
          <t>YOUTUBE</t>
        </is>
      </c>
      <c r="B352" t="inlineStr">
        <is>
          <t>IT</t>
        </is>
      </c>
      <c r="C352" t="inlineStr">
        <is>
          <t>Coldiretti — Youtube ufficiale</t>
        </is>
      </c>
      <c r="D352" t="inlineStr">
        <is>
          <t>https://www.youtube.com/channel/UCEgJbey3UogPJPmdlBEAjKQ</t>
        </is>
      </c>
      <c r="E352" t="inlineStr">
        <is>
          <t>canal de video oficial de Coldiretti sobre organizzazione agricola, policy — alimenta T12 (politica e ambiente agricola), T7 (rede tecnica), T10 (mercado e industria)</t>
        </is>
      </c>
      <c r="F352" t="inlineStr">
        <is>
          <t>claude-code (missao ITALY-200-SOURCES-DISCOVERY, 2026-09-14)</t>
        </is>
      </c>
      <c r="G352" t="inlineStr">
        <is>
          <t>declarado no site oficial do dono: https://www.coldiretti.it/</t>
        </is>
      </c>
      <c r="H352" t="inlineStr">
        <is>
          <t>id estavel de plataforma: UCEgJbey3UogPJPmdlBEAjKQ · CANDIDATA validada em 2026-09-14; SOURCE_ID nao atribuido (nasce na porta canonica)</t>
        </is>
      </c>
    </row>
    <row r="353">
      <c r="A353" t="inlineStr">
        <is>
          <t>YOUTUBE</t>
        </is>
      </c>
      <c r="B353" t="inlineStr">
        <is>
          <t>IT</t>
        </is>
      </c>
      <c r="C353" t="inlineStr">
        <is>
          <t>Confcooperative Fedagripesca — Youtube ufficiale</t>
        </is>
      </c>
      <c r="D353" t="inlineStr">
        <is>
          <t>https://www.youtube.com/channel/UCJbuSrQ57Z-dAYGI7n2VwPg</t>
        </is>
      </c>
      <c r="E353" t="inlineStr">
        <is>
          <t>canal de video oficial de Confcooperative sobre cooperative agricole — alimenta T10 (mercado e industria), T7 (rede tecnica)</t>
        </is>
      </c>
      <c r="F353" t="inlineStr">
        <is>
          <t>claude-code (missao ITALY-200-SOURCES-DISCOVERY, 2026-09-14)</t>
        </is>
      </c>
      <c r="G353" t="inlineStr">
        <is>
          <t>declarado no site oficial do dono: https://www.fedagripesca.confcooperative.it/</t>
        </is>
      </c>
      <c r="H353" t="inlineStr">
        <is>
          <t>id estavel de plataforma: UCJbuSrQ57Z-dAYGI7n2VwPg · CANDIDATA validada em 2026-09-14; SOURCE_ID nao atribuido (nasce na porta canonica)</t>
        </is>
      </c>
    </row>
    <row r="354">
      <c r="A354" t="inlineStr">
        <is>
          <t>YOUTUBE</t>
        </is>
      </c>
      <c r="B354" t="inlineStr">
        <is>
          <t>IT</t>
        </is>
      </c>
      <c r="C354" t="inlineStr">
        <is>
          <t>Consorzi Agrari d'Italia — CAI — Youtube ufficiale</t>
        </is>
      </c>
      <c r="D354" t="inlineStr">
        <is>
          <t>https://www.youtube.com/channel/UC84-4aKRmQbIG5eprbIaR9Q</t>
        </is>
      </c>
      <c r="E354" t="inlineStr">
        <is>
          <t>canal de video oficial de Consorzi Agrari d'Italia sobre consorzio agrario, distribuzione — alimenta T7 (rede tecnica), T10 (mercado e industria)</t>
        </is>
      </c>
      <c r="F354" t="inlineStr">
        <is>
          <t>claude-code (missao ITALY-200-SOURCES-DISCOVERY, 2026-09-14)</t>
        </is>
      </c>
      <c r="G354" t="inlineStr">
        <is>
          <t>declarado no site oficial do dono: https://www.consorziagrariditalia.it/chi-siamo/</t>
        </is>
      </c>
      <c r="H354" t="inlineStr">
        <is>
          <t>id estavel de plataforma: UC84-4aKRmQbIG5eprbIaR9Q · CANDIDATA validada em 2026-09-14; SOURCE_ID nao atribuido (nasce na porta canonica)</t>
        </is>
      </c>
    </row>
    <row r="355">
      <c r="A355" t="inlineStr">
        <is>
          <t>YOUTUBE</t>
        </is>
      </c>
      <c r="B355" t="inlineStr">
        <is>
          <t>IT</t>
        </is>
      </c>
      <c r="C355" t="inlineStr">
        <is>
          <t>FederBio — Youtube ufficiale</t>
        </is>
      </c>
      <c r="D355" t="inlineStr">
        <is>
          <t>https://www.youtube.com/user/FederBioItalia</t>
        </is>
      </c>
      <c r="E355" t="inlineStr">
        <is>
          <t>canal de video oficial de FederBio sobre agricoltura biologica, certificazione — alimenta T12 (politica e ambiente agricola), T1 (cultura e producao)</t>
        </is>
      </c>
      <c r="F355" t="inlineStr">
        <is>
          <t>claude-code (missao ITALY-200-SOURCES-DISCOVERY, 2026-09-14)</t>
        </is>
      </c>
      <c r="G355" t="inlineStr">
        <is>
          <t>declarado no site oficial do dono: https://feder.bio/</t>
        </is>
      </c>
      <c r="H355" t="inlineStr">
        <is>
          <t>id estavel de plataforma: UCZb5Epldni2gfgoXoN15tGA · CANDIDATA validada em 2026-09-14; SOURCE_ID nao atribuido (nasce na porta canonica)</t>
        </is>
      </c>
    </row>
    <row r="356">
      <c r="A356" t="inlineStr">
        <is>
          <t>YOUTUBE</t>
        </is>
      </c>
      <c r="B356" t="inlineStr">
        <is>
          <t>IT</t>
        </is>
      </c>
      <c r="C356" t="inlineStr">
        <is>
          <t>ISPRA — Istituto Superiore per la Protezione e la Ricerca Ambientale — Youtube ufficiale</t>
        </is>
      </c>
      <c r="D356" t="inlineStr">
        <is>
          <t>https://www.youtube.com/user/ISPRAVIDEO</t>
        </is>
      </c>
      <c r="E356" t="inlineStr">
        <is>
          <t>canal de video oficial de ISPRA sobre ambiente, acque, suolo, indicatori — alimenta T2 (clima/acqua/suolo), T12 (politica e ambiente agricola)</t>
        </is>
      </c>
      <c r="F356" t="inlineStr">
        <is>
          <t>claude-code (missao ITALY-200-SOURCES-DISCOVERY, 2026-09-14)</t>
        </is>
      </c>
      <c r="G356" t="inlineStr">
        <is>
          <t>declarado no site oficial do dono: https://www.isprambiente.gov.it/</t>
        </is>
      </c>
      <c r="H356" t="inlineStr">
        <is>
          <t>id estavel de plataforma: UCUpCShTEkFvbXHCQRiWczjQ · CANDIDATA validada em 2026-09-14; SOURCE_ID nao atribuido (nasce na porta canonica)</t>
        </is>
      </c>
    </row>
    <row r="357">
      <c r="A357" t="inlineStr">
        <is>
          <t>YOUTUBE</t>
        </is>
      </c>
      <c r="B357" t="inlineStr">
        <is>
          <t>IT</t>
        </is>
      </c>
      <c r="C357" t="inlineStr">
        <is>
          <t>Koppert Italia — Youtube ufficiale</t>
        </is>
      </c>
      <c r="D357" t="inlineStr">
        <is>
          <t>https://www.youtube.com/channel/UCmPpv0_TilfaF9Df5SzeFiQ</t>
        </is>
      </c>
      <c r="E357" t="inlineStr">
        <is>
          <t>canal de video oficial de Koppert Biological Systems sobre biocontrollo, insetti utili — alimenta T9 (concorrentes), T3 (praga, doenca e infestanti)</t>
        </is>
      </c>
      <c r="F357" t="inlineStr">
        <is>
          <t>claude-code (missao ITALY-200-SOURCES-DISCOVERY, 2026-09-14)</t>
        </is>
      </c>
      <c r="G357" t="inlineStr">
        <is>
          <t>declarado no site oficial do dono: https://www.koppert.it/</t>
        </is>
      </c>
      <c r="H357" t="inlineStr">
        <is>
          <t>id estavel de plataforma: UCmPpv0_TilfaF9Df5SzeFiQ · CANDIDATA validada em 2026-09-14; SOURCE_ID nao atribuido (nasce na porta canonica)</t>
        </is>
      </c>
    </row>
    <row r="358">
      <c r="A358" t="inlineStr">
        <is>
          <t>YOUTUBE</t>
        </is>
      </c>
      <c r="B358" t="inlineStr">
        <is>
          <t>IT</t>
        </is>
      </c>
      <c r="C358" t="inlineStr">
        <is>
          <t>Myfruit.it — Youtube ufficiale</t>
        </is>
      </c>
      <c r="D358" t="inlineStr">
        <is>
          <t>https://www.youtube.com/user/myfruitvideo</t>
        </is>
      </c>
      <c r="E358" t="inlineStr">
        <is>
          <t>canal de video oficial de Myfruit sobre ortofrutta, mercato — alimenta T10 (mercado e industria), T1 (cultura e producao)</t>
        </is>
      </c>
      <c r="F358" t="inlineStr">
        <is>
          <t>claude-code (missao ITALY-200-SOURCES-DISCOVERY, 2026-09-14)</t>
        </is>
      </c>
      <c r="G358" t="inlineStr">
        <is>
          <t>declarado no site oficial do dono: https://www.myfruit.it/</t>
        </is>
      </c>
      <c r="H358" t="inlineStr">
        <is>
          <t>id estavel de plataforma: UCfdN2DQZBfZo-7VgBqotYuQ · CANDIDATA validada em 2026-09-14; SOURCE_ID nao atribuido (nasce na porta canonica)</t>
        </is>
      </c>
    </row>
    <row r="359">
      <c r="A359" t="inlineStr">
        <is>
          <t>YOUTUBE</t>
        </is>
      </c>
      <c r="B359" t="inlineStr">
        <is>
          <t>IT</t>
        </is>
      </c>
      <c r="C359" t="inlineStr">
        <is>
          <t>Noi Siamo Agricoltura — canale YouTube</t>
        </is>
      </c>
      <c r="D359" t="inlineStr">
        <is>
          <t>https://www.youtube.com/@NoiSiamoAgricoltura</t>
        </is>
      </c>
      <c r="E359" t="inlineStr">
        <is>
          <t>canal de video oficial de Noi Siamo Agricoltura sobre community agricoltori, divulgazione — alimenta T8 (agricultores e influenciadores), T1 (cultura e producao)</t>
        </is>
      </c>
      <c r="F359" t="inlineStr">
        <is>
          <t>claude-code (missao ITALY-200-SOURCES-DISCOVERY, 2026-09-14)</t>
        </is>
      </c>
      <c r="G359" t="inlineStr">
        <is>
          <t>descoberta por familia de fonte 'creator' e verificada por sonda HTTP</t>
        </is>
      </c>
      <c r="H359" t="inlineStr">
        <is>
          <t>id estavel de plataforma: UCTs0wRmwBLKHlhRD4Ot5K1Q · CANDIDATA validada em 2026-09-14; SOURCE_ID nao atribuido (nasce na porta canonica)</t>
        </is>
      </c>
    </row>
    <row r="360">
      <c r="A360" t="inlineStr">
        <is>
          <t>YOUTUBE</t>
        </is>
      </c>
      <c r="B360" t="inlineStr">
        <is>
          <t>IT</t>
        </is>
      </c>
      <c r="C360" t="inlineStr">
        <is>
          <t>Olio Officina — Youtube ufficiale</t>
        </is>
      </c>
      <c r="D360" t="inlineStr">
        <is>
          <t>https://www.youtube.com/channel/UCXUG407gp3CnWnfS3ycijhA</t>
        </is>
      </c>
      <c r="E360" t="inlineStr">
        <is>
          <t>canal de video oficial de Olio Officina sobre olio, cultura olivicola — alimenta T1 (cultura e producao), T10 (mercado e industria)</t>
        </is>
      </c>
      <c r="F360" t="inlineStr">
        <is>
          <t>claude-code (missao ITALY-200-SOURCES-DISCOVERY, 2026-09-14)</t>
        </is>
      </c>
      <c r="G360" t="inlineStr">
        <is>
          <t>declarado no site oficial do dono: https://www.olioofficina.it/</t>
        </is>
      </c>
      <c r="H360" t="inlineStr">
        <is>
          <t>id estavel de plataforma: UCXUG407gp3CnWnfS3ycijhA · CANDIDATA validada em 2026-09-14; SOURCE_ID nao atribuido (nasce na porta canonica)</t>
        </is>
      </c>
    </row>
    <row r="361">
      <c r="A361" t="inlineStr">
        <is>
          <t>YOUTUBE</t>
        </is>
      </c>
      <c r="B361" t="inlineStr">
        <is>
          <t>IT</t>
        </is>
      </c>
      <c r="C361" t="inlineStr">
        <is>
          <t>Pianeta PSR — Youtube ufficiale</t>
        </is>
      </c>
      <c r="D361" t="inlineStr">
        <is>
          <t>https://www.youtube.com/user/reterurale</t>
        </is>
      </c>
      <c r="E361" t="inlineStr">
        <is>
          <t>canal de video oficial de Rete Rurale Nazionale / MASAF sobre PSR, politica agricola, CAP — alimenta T12 (politica e ambiente agricola), T10 (mercado e industria)</t>
        </is>
      </c>
      <c r="F361" t="inlineStr">
        <is>
          <t>claude-code (missao ITALY-200-SOURCES-DISCOVERY, 2026-09-14)</t>
        </is>
      </c>
      <c r="G361" t="inlineStr">
        <is>
          <t>declarado no site oficial do dono: https://www.pianetapsr.it/</t>
        </is>
      </c>
      <c r="H361" t="inlineStr">
        <is>
          <t>id estavel de plataforma: UCZvge-xP6fg5S5DvUxjNbGQ · CANDIDATA validada em 2026-09-14; SOURCE_ID nao atribuido (nasce na porta canonica)</t>
        </is>
      </c>
    </row>
    <row r="362">
      <c r="A362" t="inlineStr">
        <is>
          <t>YOUTUBE</t>
        </is>
      </c>
      <c r="B362" t="inlineStr">
        <is>
          <t>IT</t>
        </is>
      </c>
      <c r="C362" t="inlineStr">
        <is>
          <t>Societa Entomologica Italiana — Youtube ufficiale</t>
        </is>
      </c>
      <c r="D362" t="inlineStr">
        <is>
          <t>https://www.youtube.com/channel/UCnY1rs74L8pttWxtBiZwULQ</t>
        </is>
      </c>
      <c r="E362" t="inlineStr">
        <is>
          <t>canal de video oficial de SEI sobre entomologia, insetti — alimenta T3 (praga, doenca e infestanti), T5 (ciencia)</t>
        </is>
      </c>
      <c r="F362" t="inlineStr">
        <is>
          <t>claude-code (missao ITALY-200-SOURCES-DISCOVERY, 2026-09-14)</t>
        </is>
      </c>
      <c r="G362" t="inlineStr">
        <is>
          <t>declarado no site oficial do dono: https://www.societaentomologicaitaliana.it/</t>
        </is>
      </c>
      <c r="H362" t="inlineStr">
        <is>
          <t>id estavel de plataforma: UCnY1rs74L8pttWxtBiZwULQ · CANDIDATA validada em 2026-09-14; SOURCE_ID nao atribuido (nasce na porta canonica)</t>
        </is>
      </c>
    </row>
    <row r="363">
      <c r="A363" t="inlineStr">
        <is>
          <t>YOUTUBE</t>
        </is>
      </c>
      <c r="B363" t="inlineStr">
        <is>
          <t>IT</t>
        </is>
      </c>
      <c r="C363" t="inlineStr">
        <is>
          <t>Stato Brado — canale YouTube</t>
        </is>
      </c>
      <c r="D363" t="inlineStr">
        <is>
          <t>https://www.youtube.com/@statobrado</t>
        </is>
      </c>
      <c r="E363" t="inlineStr">
        <is>
          <t>canal de video oficial de Stato Brado sobre agricoltura, allevamento, divulgazione — alimenta T8 (agricultores e influenciadores), T1 (cultura e producao)</t>
        </is>
      </c>
      <c r="F363" t="inlineStr">
        <is>
          <t>claude-code (missao ITALY-200-SOURCES-DISCOVERY, 2026-09-14)</t>
        </is>
      </c>
      <c r="G363" t="inlineStr">
        <is>
          <t>descoberta por familia de fonte 'creator' e verificada por sonda HTTP</t>
        </is>
      </c>
      <c r="H363" t="inlineStr">
        <is>
          <t>id estavel de plataforma: UC-bCqmo3pB9hTaYLXbL63tA · CANDIDATA validada em 2026-09-14; SOURCE_ID nao atribuido (nasce na porta canonica)</t>
        </is>
      </c>
    </row>
    <row r="364">
      <c r="A364" t="inlineStr">
        <is>
          <t>YOUTUBE</t>
        </is>
      </c>
      <c r="B364" t="inlineStr">
        <is>
          <t>IT</t>
        </is>
      </c>
      <c r="C364" t="inlineStr">
        <is>
          <t>Agromoderni — canale YouTube</t>
        </is>
      </c>
      <c r="D364" t="inlineStr">
        <is>
          <t>https://www.youtube.com/@Agromoderni</t>
        </is>
      </c>
      <c r="E364" t="inlineStr">
        <is>
          <t>canal de video oficial de Nicolo Barbano — Agromoderni sobre agricoltura moderna, macchine, divulgazione — alimenta T8 (agricultores e influenciadores), T1 (cultura e producao), T7 (rede tecnica)</t>
        </is>
      </c>
      <c r="F364" t="inlineStr">
        <is>
          <t>claude-code (missao ITALY-200-SOURCES-DISCOVERY, 2026-09-14)</t>
        </is>
      </c>
      <c r="G364" t="inlineStr">
        <is>
          <t>descoberta por familia de fonte 'creator' e verificada por sonda HTTP</t>
        </is>
      </c>
      <c r="H364" t="inlineStr">
        <is>
          <t>id estavel de plataforma: UCL5CytQ5EchuoCl0QQhElQw · CANDIDATA validada em 2026-09-14; SOURCE_ID nao atribuido (nasce na porta canonica)</t>
        </is>
      </c>
    </row>
    <row r="365">
      <c r="A365" t="inlineStr">
        <is>
          <t>YOUTUBE</t>
        </is>
      </c>
      <c r="B365" t="inlineStr">
        <is>
          <t>IT</t>
        </is>
      </c>
      <c r="C365" t="inlineStr">
        <is>
          <t>Regione Piemonte — Agricoltura e cibo — Youtube ufficiale</t>
        </is>
      </c>
      <c r="D365" t="inlineStr">
        <is>
          <t>https://www.youtube.com/user/LaRegionePiemonte</t>
        </is>
      </c>
      <c r="E365" t="inlineStr">
        <is>
          <t>canal de video oficial de Regione Piemonte sobre agricoltura, fitosanitario, PSR — alimenta T1 (cultura e producao), T4 (regulatorio), T3 (praga, doenca e infestanti)</t>
        </is>
      </c>
      <c r="F365" t="inlineStr">
        <is>
          <t>claude-code (missao ITALY-200-SOURCES-DISCOVERY, 2026-09-14)</t>
        </is>
      </c>
      <c r="G365" t="inlineStr">
        <is>
          <t>declarado no site oficial do dono: https://www.regione.piemonte.it/web/temi/agricoltura</t>
        </is>
      </c>
      <c r="H365" t="inlineStr">
        <is>
          <t>id estavel de plataforma: UCZd755PSrP2Jm8zk38LgtHA · CANDIDATA validada em 2026-09-14; SOURCE_ID nao atribuido (nasce na porta canonica)</t>
        </is>
      </c>
    </row>
    <row r="366">
      <c r="A366" t="inlineStr">
        <is>
          <t>YOUTUBE</t>
        </is>
      </c>
      <c r="B366" t="inlineStr">
        <is>
          <t>IT</t>
        </is>
      </c>
      <c r="C366" t="inlineStr">
        <is>
          <t>Agrilevante — Youtube ufficiale</t>
        </is>
      </c>
      <c r="D366" t="inlineStr">
        <is>
          <t>https://www.youtube.com/user/Agrilevante/feed</t>
        </is>
      </c>
      <c r="E366" t="inlineStr">
        <is>
          <t>canal de video oficial de FederUnacoma sobre fiera meccanizzazione mediterraneo — alimenta T11 (eventos), T10 (mercado e industria)</t>
        </is>
      </c>
      <c r="F366" t="inlineStr">
        <is>
          <t>claude-code (missao ITALY-200-SOURCES-DISCOVERY, 2026-09-14)</t>
        </is>
      </c>
      <c r="G366" t="inlineStr">
        <is>
          <t>declarado no site oficial do dono: https://www.agrilevante.eu/</t>
        </is>
      </c>
      <c r="H366" t="inlineStr">
        <is>
          <t>id estavel de plataforma: UCxqWrxc-sInT6ODtyHUzZRA · CANDIDATA validada em 2026-09-14; SOURCE_ID nao atribuido (nasce na porta canonica)</t>
        </is>
      </c>
    </row>
    <row r="367">
      <c r="A367" t="inlineStr">
        <is>
          <t>YOUTUBE</t>
        </is>
      </c>
      <c r="B367" t="inlineStr">
        <is>
          <t>IT</t>
        </is>
      </c>
      <c r="C367" t="inlineStr">
        <is>
          <t>UNIBA DiSSPA — Dipartimento di Scienze del Suolo della Pianta e degli Alimenti — Youtube ufficiale</t>
        </is>
      </c>
      <c r="D367" t="inlineStr">
        <is>
          <t>https://www.youtube.com/user/unialdomoro</t>
        </is>
      </c>
      <c r="E367" t="inlineStr">
        <is>
          <t>canal de video oficial de Universita di Bari Aldo Moro sobre patologia, Xylella, olivo, vite — alimenta T5 (ciencia), T6 (pesquisadores), T3 (praga, doenca e infestanti)</t>
        </is>
      </c>
      <c r="F367" t="inlineStr">
        <is>
          <t>claude-code (missao ITALY-200-SOURCES-DISCOVERY, 2026-09-14)</t>
        </is>
      </c>
      <c r="G367" t="inlineStr">
        <is>
          <t>declarado no site oficial do dono: https://www.uniba.it/it/ricerca/dipartimenti/disspa</t>
        </is>
      </c>
      <c r="H367" t="inlineStr">
        <is>
          <t>id estavel de plataforma: UCWD-2QiKuzZIA8WW1SAoH0w · CANDIDATA validada em 2026-09-14; SOURCE_ID nao atribuido (nasce na porta canonica)</t>
        </is>
      </c>
    </row>
    <row r="368">
      <c r="A368" t="inlineStr">
        <is>
          <t>YOUTUBE</t>
        </is>
      </c>
      <c r="B368" t="inlineStr">
        <is>
          <t>IT</t>
        </is>
      </c>
      <c r="C368" t="inlineStr">
        <is>
          <t>UNICT Di3A — Dipartimento di Agricoltura Alimentazione e Ambiente — Youtube ufficiale</t>
        </is>
      </c>
      <c r="D368" t="inlineStr">
        <is>
          <t>https://www.youtube.com/channel/UCKdQcnPtPZs3k08e5jrFSNQ</t>
        </is>
      </c>
      <c r="E368" t="inlineStr">
        <is>
          <t>canal de video oficial de Universita di Catania sobre agrumi, difesa, agronomia — alimenta T5 (ciencia), T6 (pesquisadores), T3 (praga, doenca e infestanti)</t>
        </is>
      </c>
      <c r="F368" t="inlineStr">
        <is>
          <t>claude-code (missao ITALY-200-SOURCES-DISCOVERY, 2026-09-14)</t>
        </is>
      </c>
      <c r="G368" t="inlineStr">
        <is>
          <t>declarado no site oficial do dono: https://www.di3a.unict.it/</t>
        </is>
      </c>
      <c r="H368" t="inlineStr">
        <is>
          <t>id estavel de plataforma: UCKdQcnPtPZs3k08e5jrFSNQ · CANDIDATA validada em 2026-09-14; SOURCE_ID nao atribuido (nasce na porta canonica)</t>
        </is>
      </c>
    </row>
    <row r="369">
      <c r="A369" t="inlineStr">
        <is>
          <t>YOUTUBE</t>
        </is>
      </c>
      <c r="B369" t="inlineStr">
        <is>
          <t>IT</t>
        </is>
      </c>
      <c r="C369" t="inlineStr">
        <is>
          <t>Consorzio Vino Chianti Classico — Youtube ufficiale</t>
        </is>
      </c>
      <c r="D369" t="inlineStr">
        <is>
          <t>https://www.youtube.com/user/vinochianticlassico</t>
        </is>
      </c>
      <c r="E369" t="inlineStr">
        <is>
          <t>canal de video oficial de Consorzio Vino Chianti Classico sobre vino, DOCG, viticoltura — alimenta T10 (mercado e industria), T1 (cultura e producao)</t>
        </is>
      </c>
      <c r="F369" t="inlineStr">
        <is>
          <t>claude-code (missao ITALY-200-SOURCES-DISCOVERY, 2026-09-14)</t>
        </is>
      </c>
      <c r="G369" t="inlineStr">
        <is>
          <t>declarado no site oficial do dono: https://www.chianticlassico.com/</t>
        </is>
      </c>
      <c r="H369" t="inlineStr">
        <is>
          <t>id estavel de plataforma: UCC19gccUupOm590hcozwdBA · CANDIDATA validada em 2026-09-14; SOURCE_ID nao atribuido (nasce na porta canonica)</t>
        </is>
      </c>
    </row>
    <row r="370">
      <c r="A370" t="inlineStr">
        <is>
          <t>YOUTUBE</t>
        </is>
      </c>
      <c r="B370" t="inlineStr">
        <is>
          <t>IT</t>
        </is>
      </c>
      <c r="C370" t="inlineStr">
        <is>
          <t>Consorzio del Vino Brunello di Montalcino — Youtube ufficiale</t>
        </is>
      </c>
      <c r="D370" t="inlineStr">
        <is>
          <t>https://www.youtube.com/user/brunello1888</t>
        </is>
      </c>
      <c r="E370" t="inlineStr">
        <is>
          <t>canal de video oficial de Consorzio Brunello di Montalcino sobre vino, DOCG — alimenta T10 (mercado e industria), T1 (cultura e producao)</t>
        </is>
      </c>
      <c r="F370" t="inlineStr">
        <is>
          <t>claude-code (missao ITALY-200-SOURCES-DISCOVERY, 2026-09-14)</t>
        </is>
      </c>
      <c r="G370" t="inlineStr">
        <is>
          <t>declarado no site oficial do dono: https://www.consorziobrunellodimontalcino.it/</t>
        </is>
      </c>
      <c r="H370" t="inlineStr">
        <is>
          <t>id estavel de plataforma: UCFEHyFgwGUYCa2OKHjDUd1g · CANDIDATA validada em 2026-09-14; SOURCE_ID nao atribuido (nasce na porta canonica)</t>
        </is>
      </c>
    </row>
    <row r="371">
      <c r="A371" t="inlineStr">
        <is>
          <t>YOUTUBE</t>
        </is>
      </c>
      <c r="B371" t="inlineStr">
        <is>
          <t>IT</t>
        </is>
      </c>
      <c r="C371" t="inlineStr">
        <is>
          <t>Georgofili INFO — notiziario — Youtube ufficiale</t>
        </is>
      </c>
      <c r="D371" t="inlineStr">
        <is>
          <t>https://www.youtube.com/channel/UCosKzVZGcw6VR3sW9QKGkVw</t>
        </is>
      </c>
      <c r="E371" t="inlineStr">
        <is>
          <t>canal de video oficial de Accademia dei Georgofili sobre notiziario tecnico, divulgazione — alimenta T5 (ciencia), T12 (politica e ambiente agricola), T11 (eventos)</t>
        </is>
      </c>
      <c r="F371" t="inlineStr">
        <is>
          <t>claude-code (missao ITALY-200-SOURCES-DISCOVERY, 2026-09-14)</t>
        </is>
      </c>
      <c r="G371" t="inlineStr">
        <is>
          <t>declarado no site oficial do dono: https://www.georgofili.info/</t>
        </is>
      </c>
      <c r="H371" t="inlineStr">
        <is>
          <t>id estavel de plataforma: UCosKzVZGcw6VR3sW9QKGkVw · CANDIDATA validada em 2026-09-14; SOURCE_ID nao atribuido (nasce na porta canonica)</t>
        </is>
      </c>
    </row>
    <row r="372">
      <c r="A372" t="inlineStr">
        <is>
          <t>YOUTUBE</t>
        </is>
      </c>
      <c r="B372" t="inlineStr">
        <is>
          <t>IT</t>
        </is>
      </c>
      <c r="C372" t="inlineStr">
        <is>
          <t>Regione Toscana — Agricoltura — Youtube ufficiale</t>
        </is>
      </c>
      <c r="D372" t="inlineStr">
        <is>
          <t>https://www.youtube.com/c/RegioneToscanaUfficiale</t>
        </is>
      </c>
      <c r="E372" t="inlineStr">
        <is>
          <t>canal de video oficial de Regione Toscana sobre agricoltura, PSR, olivo, vite — alimenta T1 (cultura e producao), T4 (regulatorio), T12 (politica e ambiente agricola)</t>
        </is>
      </c>
      <c r="F372" t="inlineStr">
        <is>
          <t>claude-code (missao ITALY-200-SOURCES-DISCOVERY, 2026-09-14)</t>
        </is>
      </c>
      <c r="G372" t="inlineStr">
        <is>
          <t>declarado no site oficial do dono: https://www.regione.toscana.it/agricoltura</t>
        </is>
      </c>
      <c r="H372" t="inlineStr">
        <is>
          <t>id estavel de plataforma: UC8fp1anRLt5xmyirKPIE_zg · CANDIDATA validada em 2026-09-14; SOURCE_ID nao atribuido (nasce na porta canonica)</t>
        </is>
      </c>
    </row>
    <row r="373">
      <c r="A373" t="inlineStr">
        <is>
          <t>YOUTUBE</t>
        </is>
      </c>
      <c r="B373" t="inlineStr">
        <is>
          <t>IT</t>
        </is>
      </c>
      <c r="C373" t="inlineStr">
        <is>
          <t>WineNews — Youtube ufficiale</t>
        </is>
      </c>
      <c r="D373" t="inlineStr">
        <is>
          <t>https://www.youtube.com/user/winetv</t>
        </is>
      </c>
      <c r="E373" t="inlineStr">
        <is>
          <t>canal de video oficial de WineNews sobre vino, mercato — alimenta T10 (mercado e industria), T1 (cultura e producao)</t>
        </is>
      </c>
      <c r="F373" t="inlineStr">
        <is>
          <t>claude-code (missao ITALY-200-SOURCES-DISCOVERY, 2026-09-14)</t>
        </is>
      </c>
      <c r="G373" t="inlineStr">
        <is>
          <t>declarado no site oficial do dono: https://winenews.it/</t>
        </is>
      </c>
      <c r="H373" t="inlineStr">
        <is>
          <t>id estavel de plataforma: UCVc4Edn_BaeH00XULZ0SqgQ · CANDIDATA validada em 2026-09-14; SOURCE_ID nao atribuido (nasce na porta canonica)</t>
        </is>
      </c>
    </row>
    <row r="374">
      <c r="A374" t="inlineStr">
        <is>
          <t>YOUTUBE</t>
        </is>
      </c>
      <c r="B374" t="inlineStr">
        <is>
          <t>IT</t>
        </is>
      </c>
      <c r="C374" t="inlineStr">
        <is>
          <t>APPA Trento — Agenzia provinciale protezione ambiente — Youtube ufficiale</t>
        </is>
      </c>
      <c r="D374" t="inlineStr">
        <is>
          <t>https://www.youtube.com/channel/UCxIuSXfCNVnzTLD3EJFcQng</t>
        </is>
      </c>
      <c r="E374" t="inlineStr">
        <is>
          <t>canal de video oficial de Provincia autonoma di Trento sobre ambiente, acque — alimenta T2 (clima/acqua/suolo), T12 (politica e ambiente agricola)</t>
        </is>
      </c>
      <c r="F374" t="inlineStr">
        <is>
          <t>claude-code (missao ITALY-200-SOURCES-DISCOVERY, 2026-09-14)</t>
        </is>
      </c>
      <c r="G374" t="inlineStr">
        <is>
          <t>declarado no site oficial do dono: https://appa.provincia.tn.it/</t>
        </is>
      </c>
      <c r="H374" t="inlineStr">
        <is>
          <t>id estavel de plataforma: UCxIuSXfCNVnzTLD3EJFcQng · CANDIDATA validada em 2026-09-14; SOURCE_ID nao atribuido (nasce na porta canonica)</t>
        </is>
      </c>
    </row>
    <row r="375">
      <c r="A375" t="inlineStr">
        <is>
          <t>YOUTUBE</t>
        </is>
      </c>
      <c r="B375" t="inlineStr">
        <is>
          <t>IT</t>
        </is>
      </c>
      <c r="C375" t="inlineStr">
        <is>
          <t>Interpoma — Youtube ufficiale</t>
        </is>
      </c>
      <c r="D375" t="inlineStr">
        <is>
          <t>https://www.youtube.com/channel/UCCIKHiNQVo8mIJyu_6aYHWA</t>
        </is>
      </c>
      <c r="E375" t="inlineStr">
        <is>
          <t>canal de video oficial de Fiera Bolzano sobre fiera melo, frutticoltura — alimenta T11 (eventos), T1 (cultura e producao)</t>
        </is>
      </c>
      <c r="F375" t="inlineStr">
        <is>
          <t>claude-code (missao ITALY-200-SOURCES-DISCOVERY, 2026-09-14)</t>
        </is>
      </c>
      <c r="G375" t="inlineStr">
        <is>
          <t>declarado no site oficial do dono: https://www.interpoma.it/</t>
        </is>
      </c>
      <c r="H375" t="inlineStr">
        <is>
          <t>id estavel de plataforma: UCCIKHiNQVo8mIJyu_6aYHWA · CANDIDATA validada em 2026-09-14; SOURCE_ID nao atribuido (nasce na porta canonica)</t>
        </is>
      </c>
    </row>
    <row r="376">
      <c r="A376" t="inlineStr">
        <is>
          <t>YOUTUBE</t>
        </is>
      </c>
      <c r="B376" t="inlineStr">
        <is>
          <t>IT</t>
        </is>
      </c>
      <c r="C376" t="inlineStr">
        <is>
          <t>Libera Universita di Bolzano — Facolta di Scienze agrarie ambientali e alimentari — Youtube ufficiale</t>
        </is>
      </c>
      <c r="D376" t="inlineStr">
        <is>
          <t>https://www.youtube.com/channel/UCWRr0vMGqdmyqzdm3bNGY4Q</t>
        </is>
      </c>
      <c r="E376" t="inlineStr">
        <is>
          <t>canal de video oficial de Libera Universita di Bolzano sobre frutticoltura, melo, montagna — alimenta T5 (ciencia), T6 (pesquisadores), T1 (cultura e producao)</t>
        </is>
      </c>
      <c r="F376" t="inlineStr">
        <is>
          <t>claude-code (missao ITALY-200-SOURCES-DISCOVERY, 2026-09-14)</t>
        </is>
      </c>
      <c r="G376" t="inlineStr">
        <is>
          <t>declarado no site oficial do dono: https://www.unibz.it/it/faculties/agricultural-environmental-food-sciences/</t>
        </is>
      </c>
      <c r="H376" t="inlineStr">
        <is>
          <t>id estavel de plataforma: UCWRr0vMGqdmyqzdm3bNGY4Q · CANDIDATA validada em 2026-09-14; SOURCE_ID nao atribuido (nasce na porta canonica)</t>
        </is>
      </c>
    </row>
    <row r="377">
      <c r="A377" t="inlineStr">
        <is>
          <t>YOUTUBE</t>
        </is>
      </c>
      <c r="B377" t="inlineStr">
        <is>
          <t>IT</t>
        </is>
      </c>
      <c r="C377" t="inlineStr">
        <is>
          <t>Agriumbria — Youtube ufficiale</t>
        </is>
      </c>
      <c r="D377" t="inlineStr">
        <is>
          <t>https://www.youtube.com/user/Agriumbria</t>
        </is>
      </c>
      <c r="E377" t="inlineStr">
        <is>
          <t>canal de video oficial de Umbriafiere sobre fiera agricoltura, zootecnia — alimenta T11 (eventos), T1 (cultura e producao)</t>
        </is>
      </c>
      <c r="F377" t="inlineStr">
        <is>
          <t>claude-code (missao ITALY-200-SOURCES-DISCOVERY, 2026-09-14)</t>
        </is>
      </c>
      <c r="G377" t="inlineStr">
        <is>
          <t>declarado no site oficial do dono: https://www.agriumbria.eu/</t>
        </is>
      </c>
      <c r="H377" t="inlineStr">
        <is>
          <t>id estavel de plataforma: UCB345okRbU6TqQyWXd8D8oA · CANDIDATA validada em 2026-09-14; SOURCE_ID nao atribuido (nasce na porta canonica)</t>
        </is>
      </c>
    </row>
    <row r="378">
      <c r="A378" t="inlineStr">
        <is>
          <t>YOUTUBE</t>
        </is>
      </c>
      <c r="B378" t="inlineStr">
        <is>
          <t>IT</t>
        </is>
      </c>
      <c r="C378" t="inlineStr">
        <is>
          <t>Regione Valle d'Aosta — Agricoltura — Youtube ufficiale</t>
        </is>
      </c>
      <c r="D378" t="inlineStr">
        <is>
          <t>https://www.youtube.com/channel/UC4wxlAIQauBZe7CDnLXkWqA</t>
        </is>
      </c>
      <c r="E378" t="inlineStr">
        <is>
          <t>canal de video oficial de Regione Autonoma Valle d'Aosta sobre agricoltura di montagna, viticoltura — alimenta T1 (cultura e producao), T4 (regulatorio)</t>
        </is>
      </c>
      <c r="F378" t="inlineStr">
        <is>
          <t>claude-code (missao ITALY-200-SOURCES-DISCOVERY, 2026-09-14)</t>
        </is>
      </c>
      <c r="G378" t="inlineStr">
        <is>
          <t>declarado no site oficial do dono: https://www.regione.vda.it/agricoltura/</t>
        </is>
      </c>
      <c r="H378" t="inlineStr">
        <is>
          <t>id estavel de plataforma: UC4wxlAIQauBZe7CDnLXkWqA · CANDIDATA validada em 2026-09-14; SOURCE_ID nao atribuido (nasce na porta canonica)</t>
        </is>
      </c>
    </row>
    <row r="379">
      <c r="A379" t="inlineStr">
        <is>
          <t>YOUTUBE</t>
        </is>
      </c>
      <c r="B379" t="inlineStr">
        <is>
          <t>IT</t>
        </is>
      </c>
      <c r="C379" t="inlineStr">
        <is>
          <t>Consorzio Tutela Prosecco DOC — Youtube ufficiale</t>
        </is>
      </c>
      <c r="D379" t="inlineStr">
        <is>
          <t>https://www.youtube.com/user/ProseccoSuperiore</t>
        </is>
      </c>
      <c r="E379" t="inlineStr">
        <is>
          <t>canal de video oficial de Consorzio Tutela Prosecco DOC sobre vino, DOC, viticoltura — alimenta T10 (mercado e industria), T1 (cultura e producao)</t>
        </is>
      </c>
      <c r="F379" t="inlineStr">
        <is>
          <t>claude-code (missao ITALY-200-SOURCES-DISCOVERY, 2026-09-14)</t>
        </is>
      </c>
      <c r="G379" t="inlineStr">
        <is>
          <t>declarado no site oficial do dono: https://www.prosecco.it/</t>
        </is>
      </c>
      <c r="H379" t="inlineStr">
        <is>
          <t>id estavel de plataforma: UC3VPPuduz1p_fouWblztteQ · CANDIDATA validada em 2026-09-14; SOURCE_ID nao atribuido (nasce na porta canonica)</t>
        </is>
      </c>
    </row>
    <row r="380">
      <c r="A380" t="inlineStr">
        <is>
          <t>YOUTUBE</t>
        </is>
      </c>
      <c r="B380" t="inlineStr">
        <is>
          <t>IT</t>
        </is>
      </c>
      <c r="C380" t="inlineStr">
        <is>
          <t>Consorzio Tutela Vini Valpolicella — Youtube ufficiale</t>
        </is>
      </c>
      <c r="D380" t="inlineStr">
        <is>
          <t>https://www.youtube.com/channel/UCpdWeEtUCU1aHhJnj2TwheA</t>
        </is>
      </c>
      <c r="E380" t="inlineStr">
        <is>
          <t>canal de video oficial de Consorzio Tutela Vini Valpolicella sobre vino, DOC, viticoltura — alimenta T10 (mercado e industria), T1 (cultura e producao)</t>
        </is>
      </c>
      <c r="F380" t="inlineStr">
        <is>
          <t>claude-code (missao ITALY-200-SOURCES-DISCOVERY, 2026-09-14)</t>
        </is>
      </c>
      <c r="G380" t="inlineStr">
        <is>
          <t>declarado no site oficial do dono: https://www.consorziovalpolicella.it/</t>
        </is>
      </c>
      <c r="H380" t="inlineStr">
        <is>
          <t>id estavel de plataforma: UCpdWeEtUCU1aHhJnj2TwheA · CANDIDATA validada em 2026-09-14; SOURCE_ID nao atribuido (nasce na porta canonica)</t>
        </is>
      </c>
    </row>
    <row r="381">
      <c r="A381" t="inlineStr">
        <is>
          <t>YOUTUBE</t>
        </is>
      </c>
      <c r="B381" t="inlineStr">
        <is>
          <t>IT</t>
        </is>
      </c>
      <c r="C381" t="inlineStr">
        <is>
          <t>Consorzio di Bonifica Piave — Youtube ufficiale</t>
        </is>
      </c>
      <c r="D381" t="inlineStr">
        <is>
          <t>https://www.youtube.com/channel/UCmRWXB6nOPLc5x42XXhGrWg</t>
        </is>
      </c>
      <c r="E381" t="inlineStr">
        <is>
          <t>canal de video oficial de Consorzio di Bonifica Piave sobre irrigazione, acqua — alimenta T2 (clima/acqua/suolo), T1 (cultura e producao)</t>
        </is>
      </c>
      <c r="F381" t="inlineStr">
        <is>
          <t>claude-code (missao ITALY-200-SOURCES-DISCOVERY, 2026-09-14)</t>
        </is>
      </c>
      <c r="G381" t="inlineStr">
        <is>
          <t>declarado no site oficial do dono: https://www.consorziopiave.it/</t>
        </is>
      </c>
      <c r="H381" t="inlineStr">
        <is>
          <t>id estavel de plataforma: UCmRWXB6nOPLc5x42XXhGrWg · CANDIDATA validada em 2026-09-14; SOURCE_ID nao atribuido (nasce na porta canonica)</t>
        </is>
      </c>
    </row>
    <row r="382">
      <c r="A382" t="inlineStr">
        <is>
          <t>YOUTUBE</t>
        </is>
      </c>
      <c r="B382" t="inlineStr">
        <is>
          <t>IT</t>
        </is>
      </c>
      <c r="C382" t="inlineStr">
        <is>
          <t>L'Informatore Agrario — canale YouTube</t>
        </is>
      </c>
      <c r="D382" t="inlineStr">
        <is>
          <t>https://www.youtube.com/@informatoreagrario</t>
        </is>
      </c>
      <c r="E382" t="inlineStr">
        <is>
          <t>canal de video oficial de Edizioni L'Informatore Agrario sobre rivista tecnica, video — alimenta T8 (agricultores e influenciadores), T1 (cultura e producao), T3 (praga, doenca e infestanti)</t>
        </is>
      </c>
      <c r="F382" t="inlineStr">
        <is>
          <t>claude-code (missao ITALY-200-SOURCES-DISCOVERY, 2026-09-14)</t>
        </is>
      </c>
      <c r="G382" t="inlineStr">
        <is>
          <t>descoberta por familia de fonte 'imprensa_tecnica' e verificada por sonda HTTP</t>
        </is>
      </c>
      <c r="H382" t="inlineStr">
        <is>
          <t>id estavel de plataforma: UCLqKnJJf6VBExBf5qp8N74w · CANDIDATA validada em 2026-09-14; SOURCE_ID nao atribuido (nasce na porta canonica)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46" customWidth="1" min="2" max="2"/>
    <col width="14" customWidth="1" min="3" max="3"/>
    <col width="15" customWidth="1" min="4" max="4"/>
    <col width="40" customWidth="1" min="5" max="5"/>
    <col width="46" customWidth="1" min="6" max="6"/>
    <col width="46" customWidth="1" min="7" max="7"/>
    <col width="46" customWidth="1" min="8" max="8"/>
    <col width="15" customWidth="1" min="9" max="9"/>
    <col width="16" customWidth="1" min="10" max="10"/>
    <col width="18" customWidth="1" min="11" max="11"/>
    <col width="14" customWidth="1" min="12" max="12"/>
    <col width="14" customWidth="1" min="13" max="13"/>
    <col width="15" customWidth="1" min="14" max="14"/>
    <col width="14" customWidth="1" min="15" max="15"/>
    <col width="42" customWidth="1" min="16" max="16"/>
    <col width="46" customWidth="1" min="17" max="17"/>
    <col width="54" customWidth="1" min="18" max="18"/>
    <col width="16" customWidth="1" min="19" max="19"/>
    <col width="21" customWidth="1" min="20" max="20"/>
    <col width="54" customWidth="1" min="21" max="21"/>
    <col width="15" customWidth="1" min="22" max="22"/>
    <col width="14" customWidth="1" min="23" max="23"/>
    <col width="14" customWidth="1" min="24" max="24"/>
    <col width="14" customWidth="1" min="25" max="25"/>
    <col width="40" customWidth="1" min="26" max="26"/>
    <col width="46" customWidth="1" min="27" max="27"/>
    <col width="17" customWidth="1" min="28" max="28"/>
    <col width="18" customWidth="1" min="29" max="29"/>
    <col width="15" customWidth="1" min="30" max="30"/>
    <col width="14" customWidth="1" min="31" max="31"/>
    <col width="40" customWidth="1" min="32" max="32"/>
  </cols>
  <sheetData>
    <row r="1">
      <c r="A1" s="1" t="inlineStr">
        <is>
          <t>ROW_KEY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ENTITY_KIND</t>
        </is>
      </c>
      <c r="E1" s="1" t="inlineStr">
        <is>
          <t>OWNER</t>
        </is>
      </c>
      <c r="F1" s="1" t="inlineStr">
        <is>
          <t>URL_ENCONTRADA</t>
        </is>
      </c>
      <c r="G1" s="1" t="inlineStr">
        <is>
          <t>URL_TESTADA</t>
        </is>
      </c>
      <c r="H1" s="1" t="inlineStr">
        <is>
          <t>URL_FINAL</t>
        </is>
      </c>
      <c r="I1" s="1" t="inlineStr">
        <is>
          <t>HTTP_STATUS</t>
        </is>
      </c>
      <c r="J1" s="1" t="inlineStr">
        <is>
          <t>CONTENT_TYPE</t>
        </is>
      </c>
      <c r="K1" s="1" t="inlineStr">
        <is>
          <t>REDIRECT_COUNT</t>
        </is>
      </c>
      <c r="L1" s="1" t="inlineStr">
        <is>
          <t>DNS_OK</t>
        </is>
      </c>
      <c r="M1" s="1" t="inlineStr">
        <is>
          <t>TLS_OK</t>
        </is>
      </c>
      <c r="N1" s="1" t="inlineStr">
        <is>
          <t>OWNER_MATCH</t>
        </is>
      </c>
      <c r="O1" s="1" t="inlineStr">
        <is>
          <t>TYPE_MATCH</t>
        </is>
      </c>
      <c r="P1" s="1" t="inlineStr">
        <is>
          <t>ITALY_SCOPE_PROVED</t>
        </is>
      </c>
      <c r="Q1" s="1" t="inlineStr">
        <is>
          <t>OFFICIALITY_EVIDENCE</t>
        </is>
      </c>
      <c r="R1" s="1" t="inlineStr">
        <is>
          <t>VALIDATION_METHOD</t>
        </is>
      </c>
      <c r="S1" s="1" t="inlineStr">
        <is>
          <t>VALIDATED_AT</t>
        </is>
      </c>
      <c r="T1" s="1" t="inlineStr">
        <is>
          <t>VALIDATION_RESULT</t>
        </is>
      </c>
      <c r="U1" s="1" t="inlineStr">
        <is>
          <t>REJECTION_REASON</t>
        </is>
      </c>
      <c r="V1" s="1" t="inlineStr">
        <is>
          <t>TERRITORIES</t>
        </is>
      </c>
      <c r="W1" s="1" t="inlineStr">
        <is>
          <t>REGION</t>
        </is>
      </c>
      <c r="X1" s="1" t="inlineStr">
        <is>
          <t>CROPS</t>
        </is>
      </c>
      <c r="Y1" s="1" t="inlineStr">
        <is>
          <t>TOPICS</t>
        </is>
      </c>
      <c r="Z1" s="1" t="inlineStr">
        <is>
          <t>IDENTITY_ANCHOR_1</t>
        </is>
      </c>
      <c r="AA1" s="1" t="inlineStr">
        <is>
          <t>IDENTITY_ANCHOR_2</t>
        </is>
      </c>
      <c r="AB1" s="1" t="inlineStr">
        <is>
          <t>SEGUNDA_PROVA</t>
        </is>
      </c>
      <c r="AC1" s="1" t="inlineStr">
        <is>
          <t>REVISAO_MANUAL</t>
        </is>
      </c>
      <c r="AD1" s="1" t="inlineStr">
        <is>
          <t>PLATFORM_ID</t>
        </is>
      </c>
      <c r="AE1" s="1" t="inlineStr">
        <is>
          <t>FLAGS</t>
        </is>
      </c>
      <c r="AF1" s="1" t="inlineStr">
        <is>
          <t>NOTES</t>
        </is>
      </c>
    </row>
    <row r="2">
      <c r="A2" t="inlineStr">
        <is>
          <t>IT-DISC-2026-09-14-0001</t>
        </is>
      </c>
      <c r="B2" t="inlineStr">
        <is>
          <t>ARTA Abruzzo</t>
        </is>
      </c>
      <c r="C2" t="inlineStr">
        <is>
          <t>BASE_OFICIAL</t>
        </is>
      </c>
      <c r="D2" t="inlineStr">
        <is>
          <t>ORG</t>
        </is>
      </c>
      <c r="E2" t="inlineStr">
        <is>
          <t>ARTA Abruzzo</t>
        </is>
      </c>
      <c r="F2" t="inlineStr">
        <is>
          <t>https://www.artaabruzzo.it/</t>
        </is>
      </c>
      <c r="G2" t="inlineStr">
        <is>
          <t>https://www.artaabruzzo.it/</t>
        </is>
      </c>
      <c r="H2" t="inlineStr">
        <is>
          <t>https://www.artaabruzzo.it/</t>
        </is>
      </c>
      <c r="I2" t="n">
        <v>200</v>
      </c>
      <c r="J2" t="inlineStr">
        <is>
          <t>text/html</t>
        </is>
      </c>
      <c r="K2" t="n">
        <v>0</v>
      </c>
      <c r="L2" t="b">
        <v>1</v>
      </c>
      <c r="M2" t="b">
        <v>1</v>
      </c>
      <c r="N2" t="inlineStr">
        <is>
          <t>PROVED_DIRECT</t>
        </is>
      </c>
      <c r="O2" t="inlineStr">
        <is>
          <t>SIM</t>
        </is>
      </c>
      <c r="P2" t="inlineStr">
        <is>
          <t>SIM — dominio .it e conteudo em italiano</t>
        </is>
      </c>
      <c r="Q2" t="inlineStr">
        <is>
          <t>Arpa Abruzzo</t>
        </is>
      </c>
      <c r="R2" t="inlineStr">
        <is>
          <t>sonda HTTP read-only (GET limitado, payload nao preservado)</t>
        </is>
      </c>
      <c r="S2" t="inlineStr">
        <is>
          <t>2026-09-14T11:04:51Z</t>
        </is>
      </c>
      <c r="T2" t="inlineStr">
        <is>
          <t>PASS</t>
        </is>
      </c>
      <c r="U2" t="inlineStr"/>
      <c r="V2" t="inlineStr">
        <is>
          <t>T2;T12</t>
        </is>
      </c>
      <c r="W2" t="inlineStr">
        <is>
          <t>ABRUZZO</t>
        </is>
      </c>
      <c r="X2" t="inlineStr"/>
      <c r="Y2" t="inlineStr">
        <is>
          <t>ambiente;monitoraggio</t>
        </is>
      </c>
      <c r="Z2" t="inlineStr">
        <is>
          <t>titulo da pagina: Arpa Abruzzo</t>
        </is>
      </c>
      <c r="AA2" t="inlineStr">
        <is>
          <t>dominio institucional do dono</t>
        </is>
      </c>
      <c r="AB2" t="inlineStr">
        <is>
          <t>nao sorteada</t>
        </is>
      </c>
      <c r="AC2" t="inlineStr">
        <is>
          <t>nao sorteada</t>
        </is>
      </c>
      <c r="AE2" t="inlineStr"/>
      <c r="AF2" t="inlineStr"/>
    </row>
    <row r="3">
      <c r="A3" t="inlineStr">
        <is>
          <t>IT-DISC-2026-09-14-0002</t>
        </is>
      </c>
      <c r="B3" t="inlineStr">
        <is>
          <t>Regione Abruzzo — Agricoltura</t>
        </is>
      </c>
      <c r="C3" t="inlineStr">
        <is>
          <t>BASE_OFICIAL</t>
        </is>
      </c>
      <c r="D3" t="inlineStr">
        <is>
          <t>ORG</t>
        </is>
      </c>
      <c r="E3" t="inlineStr">
        <is>
          <t>Regione Abruzzo</t>
        </is>
      </c>
      <c r="F3" t="inlineStr">
        <is>
          <t>https://www.regione.abruzzo.it/content/agricoltura</t>
        </is>
      </c>
      <c r="G3" t="inlineStr">
        <is>
          <t>https://www.regione.abruzzo.it/</t>
        </is>
      </c>
      <c r="H3" t="inlineStr">
        <is>
          <t>https://www.regione.abruzzo.it/</t>
        </is>
      </c>
      <c r="I3" t="n">
        <v>200</v>
      </c>
      <c r="J3" t="inlineStr">
        <is>
          <t>text/html</t>
        </is>
      </c>
      <c r="K3" t="n">
        <v>0</v>
      </c>
      <c r="L3" t="b">
        <v>1</v>
      </c>
      <c r="M3" t="b">
        <v>1</v>
      </c>
      <c r="N3" t="inlineStr">
        <is>
          <t>PROVED_DIRECT</t>
        </is>
      </c>
      <c r="O3" t="inlineStr">
        <is>
          <t>SIM</t>
        </is>
      </c>
      <c r="P3" t="inlineStr">
        <is>
          <t>SIM — dominio .it e conteudo em italiano</t>
        </is>
      </c>
      <c r="Q3" t="inlineStr">
        <is>
          <t>| Regione Abruzzo</t>
        </is>
      </c>
      <c r="R3" t="inlineStr">
        <is>
          <t>sonda HTTP read-only (GET limitado, payload nao preservado) + cadeia TLS completada por AIA</t>
        </is>
      </c>
      <c r="S3" t="inlineStr">
        <is>
          <t>2026-09-14T11:22:29Z</t>
        </is>
      </c>
      <c r="T3" t="inlineStr">
        <is>
          <t>PASS</t>
        </is>
      </c>
      <c r="U3" t="inlineStr"/>
      <c r="V3" t="inlineStr">
        <is>
          <t>T1;T4</t>
        </is>
      </c>
      <c r="W3" t="inlineStr">
        <is>
          <t>ABRUZZO</t>
        </is>
      </c>
      <c r="X3" t="inlineStr"/>
      <c r="Y3" t="inlineStr">
        <is>
          <t>agricoltura;PSR</t>
        </is>
      </c>
      <c r="Z3" t="inlineStr">
        <is>
          <t>titulo da pagina: | Regione Abruzzo</t>
        </is>
      </c>
      <c r="AA3" t="inlineStr">
        <is>
          <t>dominio institucional do dono</t>
        </is>
      </c>
      <c r="AB3" t="inlineStr">
        <is>
          <t>nao sorteada</t>
        </is>
      </c>
      <c r="AC3" t="inlineStr">
        <is>
          <t>nao sorteada</t>
        </is>
      </c>
      <c r="AE3" t="inlineStr">
        <is>
          <t>VIA_CURL_TLS_FALLBACK</t>
        </is>
      </c>
      <c r="AF3" t="inlineStr">
        <is>
          <t>caminho devolve 404; raiz responde</t>
        </is>
      </c>
    </row>
    <row r="4">
      <c r="A4" t="inlineStr">
        <is>
          <t>IT-DISC-2026-09-14-0003</t>
        </is>
      </c>
      <c r="B4" t="inlineStr">
        <is>
          <t>ARPA Basilicata</t>
        </is>
      </c>
      <c r="C4" t="inlineStr">
        <is>
          <t>BASE_OFICIAL</t>
        </is>
      </c>
      <c r="D4" t="inlineStr">
        <is>
          <t>ORG</t>
        </is>
      </c>
      <c r="E4" t="inlineStr">
        <is>
          <t>ARPAB</t>
        </is>
      </c>
      <c r="F4" t="inlineStr">
        <is>
          <t>https://www.arpab.it/</t>
        </is>
      </c>
      <c r="G4" t="inlineStr">
        <is>
          <t>https://www.arpab.it/</t>
        </is>
      </c>
      <c r="H4" t="inlineStr">
        <is>
          <t>https://www.arpab.it/</t>
        </is>
      </c>
      <c r="I4" t="n">
        <v>200</v>
      </c>
      <c r="J4" t="inlineStr">
        <is>
          <t>text/html</t>
        </is>
      </c>
      <c r="K4" t="n">
        <v>0</v>
      </c>
      <c r="L4" t="b">
        <v>1</v>
      </c>
      <c r="M4" t="b">
        <v>1</v>
      </c>
      <c r="N4" t="inlineStr">
        <is>
          <t>PROVED_DIRECT</t>
        </is>
      </c>
      <c r="O4" t="inlineStr">
        <is>
          <t>SIM</t>
        </is>
      </c>
      <c r="P4" t="inlineStr">
        <is>
          <t>SIM — dominio .it e conteudo em italiano</t>
        </is>
      </c>
      <c r="Q4" t="inlineStr">
        <is>
          <t>Homepage - ARPA Basilicata</t>
        </is>
      </c>
      <c r="R4" t="inlineStr">
        <is>
          <t>sonda HTTP read-only (GET limitado, payload nao preservado)</t>
        </is>
      </c>
      <c r="S4" t="inlineStr">
        <is>
          <t>2026-09-14T11:04:51Z</t>
        </is>
      </c>
      <c r="T4" t="inlineStr">
        <is>
          <t>PASS</t>
        </is>
      </c>
      <c r="U4" t="inlineStr"/>
      <c r="V4" t="inlineStr">
        <is>
          <t>T2;T12</t>
        </is>
      </c>
      <c r="W4" t="inlineStr">
        <is>
          <t>BASILICATA</t>
        </is>
      </c>
      <c r="X4" t="inlineStr"/>
      <c r="Y4" t="inlineStr">
        <is>
          <t>ambiente;monitoraggio</t>
        </is>
      </c>
      <c r="Z4" t="inlineStr">
        <is>
          <t>titulo da pagina: Homepage - ARPA Basilicata</t>
        </is>
      </c>
      <c r="AA4" t="inlineStr">
        <is>
          <t>dominio institucional do dono</t>
        </is>
      </c>
      <c r="AB4" t="inlineStr">
        <is>
          <t>nao sorteada</t>
        </is>
      </c>
      <c r="AC4" t="inlineStr">
        <is>
          <t>nao sorteada</t>
        </is>
      </c>
      <c r="AE4" t="inlineStr"/>
      <c r="AF4" t="inlineStr"/>
    </row>
    <row r="5">
      <c r="A5" t="inlineStr">
        <is>
          <t>IT-DISC-2026-09-14-0004</t>
        </is>
      </c>
      <c r="B5" t="inlineStr">
        <is>
          <t>ARPACAL Calabria</t>
        </is>
      </c>
      <c r="C5" t="inlineStr">
        <is>
          <t>BASE_OFICIAL</t>
        </is>
      </c>
      <c r="D5" t="inlineStr">
        <is>
          <t>ORG</t>
        </is>
      </c>
      <c r="E5" t="inlineStr">
        <is>
          <t>ARPACAL</t>
        </is>
      </c>
      <c r="F5" t="inlineStr">
        <is>
          <t>https://www.arpacal.it/</t>
        </is>
      </c>
      <c r="G5" t="inlineStr">
        <is>
          <t>https://www.arpacal.it/</t>
        </is>
      </c>
      <c r="H5" t="inlineStr">
        <is>
          <t>https://www.arpacal.it/</t>
        </is>
      </c>
      <c r="I5" t="n">
        <v>200</v>
      </c>
      <c r="J5" t="inlineStr">
        <is>
          <t>text/html</t>
        </is>
      </c>
      <c r="K5" t="n">
        <v>0</v>
      </c>
      <c r="L5" t="b">
        <v>1</v>
      </c>
      <c r="M5" t="b">
        <v>1</v>
      </c>
      <c r="N5" t="inlineStr">
        <is>
          <t>PROVED_DIRECT</t>
        </is>
      </c>
      <c r="O5" t="inlineStr">
        <is>
          <t>SIM</t>
        </is>
      </c>
      <c r="P5" t="inlineStr">
        <is>
          <t>SIM — dominio .it e conteudo em italiano</t>
        </is>
      </c>
      <c r="Q5" t="inlineStr">
        <is>
          <t>ARPACAL</t>
        </is>
      </c>
      <c r="R5" t="inlineStr">
        <is>
          <t>sonda HTTP read-only (GET limitado, payload nao preservado)</t>
        </is>
      </c>
      <c r="S5" t="inlineStr">
        <is>
          <t>2026-09-14T11:04:50Z</t>
        </is>
      </c>
      <c r="T5" t="inlineStr">
        <is>
          <t>PASS</t>
        </is>
      </c>
      <c r="U5" t="inlineStr"/>
      <c r="V5" t="inlineStr">
        <is>
          <t>T2;T12</t>
        </is>
      </c>
      <c r="W5" t="inlineStr">
        <is>
          <t>CALABRIA</t>
        </is>
      </c>
      <c r="X5" t="inlineStr"/>
      <c r="Y5" t="inlineStr">
        <is>
          <t>ambiente;agrometeorologia;CFM</t>
        </is>
      </c>
      <c r="Z5" t="inlineStr">
        <is>
          <t>titulo da pagina: ARPACAL</t>
        </is>
      </c>
      <c r="AA5" t="inlineStr">
        <is>
          <t>meta description: L</t>
        </is>
      </c>
      <c r="AB5" t="inlineStr">
        <is>
          <t>nao sorteada</t>
        </is>
      </c>
      <c r="AC5" t="inlineStr">
        <is>
          <t>nao sorteada</t>
        </is>
      </c>
      <c r="AE5" t="inlineStr"/>
      <c r="AF5" t="inlineStr"/>
    </row>
    <row r="6">
      <c r="A6" t="inlineStr">
        <is>
          <t>IT-DISC-2026-09-14-0005</t>
        </is>
      </c>
      <c r="B6" t="inlineStr">
        <is>
          <t>ARSAC Calabria — Azienda Regionale per lo Sviluppo dell'Agricoltura Calabrese</t>
        </is>
      </c>
      <c r="C6" t="inlineStr">
        <is>
          <t>BASE_OFICIAL</t>
        </is>
      </c>
      <c r="D6" t="inlineStr">
        <is>
          <t>ORG</t>
        </is>
      </c>
      <c r="E6" t="inlineStr">
        <is>
          <t>Regione Calabria</t>
        </is>
      </c>
      <c r="F6" t="inlineStr">
        <is>
          <t>https://www.arsac.calabria.it/</t>
        </is>
      </c>
      <c r="G6" t="inlineStr">
        <is>
          <t>https://www.arsac.calabria.it/</t>
        </is>
      </c>
      <c r="H6" t="inlineStr">
        <is>
          <t>https://arsac.calabria.it/</t>
        </is>
      </c>
      <c r="I6" t="n">
        <v>200</v>
      </c>
      <c r="J6" t="inlineStr">
        <is>
          <t>text/html</t>
        </is>
      </c>
      <c r="K6" t="n">
        <v>1</v>
      </c>
      <c r="L6" t="b">
        <v>1</v>
      </c>
      <c r="M6" t="b">
        <v>1</v>
      </c>
      <c r="N6" t="inlineStr">
        <is>
          <t>PROVED_DIRECT</t>
        </is>
      </c>
      <c r="O6" t="inlineStr">
        <is>
          <t>SIM</t>
        </is>
      </c>
      <c r="P6" t="inlineStr">
        <is>
          <t>SIM — dominio .it e conteudo em italiano</t>
        </is>
      </c>
      <c r="Q6" t="inlineStr">
        <is>
          <t>ARSAC &amp;#8211; Agricoltura in Calabria</t>
        </is>
      </c>
      <c r="R6" t="inlineStr">
        <is>
          <t>sonda HTTP read-only (GET limitado, payload nao preservado)</t>
        </is>
      </c>
      <c r="S6" t="inlineStr">
        <is>
          <t>2026-09-14T11:04:40Z</t>
        </is>
      </c>
      <c r="T6" t="inlineStr">
        <is>
          <t>PASS</t>
        </is>
      </c>
      <c r="U6" t="inlineStr"/>
      <c r="V6" t="inlineStr">
        <is>
          <t>T1;T7;T3</t>
        </is>
      </c>
      <c r="W6" t="inlineStr">
        <is>
          <t>CALABRIA</t>
        </is>
      </c>
      <c r="X6" t="inlineStr"/>
      <c r="Y6" t="inlineStr">
        <is>
          <t>assistenza tecnica;divulgazione;fitosanitario</t>
        </is>
      </c>
      <c r="Z6" t="inlineStr">
        <is>
          <t>titulo da pagina: ARSAC &amp;#8211; Agricoltura in Calabria</t>
        </is>
      </c>
      <c r="AA6" t="inlineStr">
        <is>
          <t>dominio institucional do dono</t>
        </is>
      </c>
      <c r="AB6" t="inlineStr">
        <is>
          <t>nao sorteada</t>
        </is>
      </c>
      <c r="AC6" t="inlineStr">
        <is>
          <t>SIM</t>
        </is>
      </c>
      <c r="AE6" t="inlineStr"/>
      <c r="AF6" t="inlineStr"/>
    </row>
    <row r="7">
      <c r="A7" t="inlineStr">
        <is>
          <t>IT-DISC-2026-09-14-0006</t>
        </is>
      </c>
      <c r="B7" t="inlineStr">
        <is>
          <t>Calabria — Dipartimento Agricoltura</t>
        </is>
      </c>
      <c r="C7" t="inlineStr">
        <is>
          <t>BASE_OFICIAL</t>
        </is>
      </c>
      <c r="D7" t="inlineStr">
        <is>
          <t>ORG</t>
        </is>
      </c>
      <c r="E7" t="inlineStr">
        <is>
          <t>Regione Calabria</t>
        </is>
      </c>
      <c r="F7" t="inlineStr">
        <is>
          <t>https://www.regione.calabria.it/website/portaltemplates/view/view.cfm?21</t>
        </is>
      </c>
      <c r="G7" t="inlineStr">
        <is>
          <t>https://www.regione.calabria.it/website/portaltemplates/view/view.cfm?21</t>
        </is>
      </c>
      <c r="H7" t="inlineStr">
        <is>
          <t>https://www.regione.calabria.it/website/portaltemplates/view/view.cfm?21</t>
        </is>
      </c>
      <c r="I7" t="n">
        <v>200</v>
      </c>
      <c r="J7" t="inlineStr">
        <is>
          <t>text/html</t>
        </is>
      </c>
      <c r="K7" t="n">
        <v>0</v>
      </c>
      <c r="L7" t="b">
        <v>1</v>
      </c>
      <c r="M7" t="b">
        <v>1</v>
      </c>
      <c r="N7" t="inlineStr">
        <is>
          <t>PROVED_DIRECT</t>
        </is>
      </c>
      <c r="O7" t="inlineStr">
        <is>
          <t>SIM</t>
        </is>
      </c>
      <c r="P7" t="inlineStr">
        <is>
          <t>SIM — dominio .it e conteudo em italiano</t>
        </is>
      </c>
      <c r="Q7" t="inlineStr">
        <is>
          <t>L'Assessore regionale Musmanno ha scritto alla Direzione regionale di Trenitalia</t>
        </is>
      </c>
      <c r="R7" t="inlineStr">
        <is>
          <t>sonda HTTP read-only (GET limitado, payload nao preservado)</t>
        </is>
      </c>
      <c r="S7" t="inlineStr">
        <is>
          <t>2026-09-14T11:22:31Z</t>
        </is>
      </c>
      <c r="T7" t="inlineStr">
        <is>
          <t>PASS</t>
        </is>
      </c>
      <c r="U7" t="inlineStr"/>
      <c r="V7" t="inlineStr">
        <is>
          <t>T1;T4</t>
        </is>
      </c>
      <c r="W7" t="inlineStr">
        <is>
          <t>CALABRIA</t>
        </is>
      </c>
      <c r="X7" t="inlineStr"/>
      <c r="Y7" t="inlineStr">
        <is>
          <t>agricoltura;PSR</t>
        </is>
      </c>
      <c r="Z7" t="inlineStr">
        <is>
          <t xml:space="preserve">titulo da pagina: L'Assessore regionale Musmanno ha scritto alla Direzione regionale di </t>
        </is>
      </c>
      <c r="AA7" t="inlineStr">
        <is>
          <t>meta description: L</t>
        </is>
      </c>
      <c r="AB7" t="inlineStr">
        <is>
          <t>CONFIRMA</t>
        </is>
      </c>
      <c r="AC7" t="inlineStr">
        <is>
          <t>nao sorteada</t>
        </is>
      </c>
      <c r="AE7" t="inlineStr"/>
      <c r="AF7" t="inlineStr"/>
    </row>
    <row r="8">
      <c r="A8" t="inlineStr">
        <is>
          <t>IT-DISC-2026-09-14-0007</t>
        </is>
      </c>
      <c r="B8" t="inlineStr">
        <is>
          <t>ARPA Campania</t>
        </is>
      </c>
      <c r="C8" t="inlineStr">
        <is>
          <t>BASE_OFICIAL</t>
        </is>
      </c>
      <c r="D8" t="inlineStr">
        <is>
          <t>ORG</t>
        </is>
      </c>
      <c r="E8" t="inlineStr">
        <is>
          <t>ARPAC</t>
        </is>
      </c>
      <c r="F8" t="inlineStr">
        <is>
          <t>https://www.arpacampania.it/</t>
        </is>
      </c>
      <c r="G8" t="inlineStr">
        <is>
          <t>https://www.arpacampania.it/</t>
        </is>
      </c>
      <c r="H8" t="inlineStr">
        <is>
          <t>https://www.arpacampania.it/</t>
        </is>
      </c>
      <c r="I8" t="n">
        <v>200</v>
      </c>
      <c r="J8" t="inlineStr">
        <is>
          <t>text/html</t>
        </is>
      </c>
      <c r="K8" t="n">
        <v>0</v>
      </c>
      <c r="L8" t="b">
        <v>1</v>
      </c>
      <c r="M8" t="b">
        <v>1</v>
      </c>
      <c r="N8" t="inlineStr">
        <is>
          <t>PROVED_DIRECT</t>
        </is>
      </c>
      <c r="O8" t="inlineStr">
        <is>
          <t>SIM</t>
        </is>
      </c>
      <c r="P8" t="inlineStr">
        <is>
          <t>SIM — dominio .it e conteudo em italiano</t>
        </is>
      </c>
      <c r="Q8" t="inlineStr">
        <is>
          <t>Home - Arpac</t>
        </is>
      </c>
      <c r="R8" t="inlineStr">
        <is>
          <t>sonda HTTP read-only (GET limitado, payload nao preservado)</t>
        </is>
      </c>
      <c r="S8" t="inlineStr">
        <is>
          <t>2026-09-14T11:04:49Z</t>
        </is>
      </c>
      <c r="T8" t="inlineStr">
        <is>
          <t>PASS</t>
        </is>
      </c>
      <c r="U8" t="inlineStr"/>
      <c r="V8" t="inlineStr">
        <is>
          <t>T2;T12</t>
        </is>
      </c>
      <c r="W8" t="inlineStr">
        <is>
          <t>CAMPANIA</t>
        </is>
      </c>
      <c r="X8" t="inlineStr"/>
      <c r="Y8" t="inlineStr">
        <is>
          <t>ambiente;acque;meteo</t>
        </is>
      </c>
      <c r="Z8" t="inlineStr">
        <is>
          <t>titulo da pagina: Home - Arpac</t>
        </is>
      </c>
      <c r="AA8" t="inlineStr">
        <is>
          <t>dominio institucional do dono</t>
        </is>
      </c>
      <c r="AB8" t="inlineStr">
        <is>
          <t>nao sorteada</t>
        </is>
      </c>
      <c r="AC8" t="inlineStr">
        <is>
          <t>nao sorteada</t>
        </is>
      </c>
      <c r="AE8" t="inlineStr"/>
      <c r="AF8" t="inlineStr"/>
    </row>
    <row r="9">
      <c r="A9" t="inlineStr">
        <is>
          <t>IT-DISC-2026-09-14-0008</t>
        </is>
      </c>
      <c r="B9" t="inlineStr">
        <is>
          <t>Borsa Merci Bologna — Camera di Commercio</t>
        </is>
      </c>
      <c r="C9" t="inlineStr">
        <is>
          <t>BASE_OFICIAL</t>
        </is>
      </c>
      <c r="D9" t="inlineStr">
        <is>
          <t>ORG</t>
        </is>
      </c>
      <c r="E9" t="inlineStr">
        <is>
          <t>Camera di Commercio di Bologna</t>
        </is>
      </c>
      <c r="F9" t="inlineStr">
        <is>
          <t>https://www.bo.camcom.gov.it/it/servizi-imprese/borsa-merci</t>
        </is>
      </c>
      <c r="G9" t="inlineStr">
        <is>
          <t>https://www.bo.camcom.gov.it/</t>
        </is>
      </c>
      <c r="H9" t="inlineStr">
        <is>
          <t>https://www.bo.camcom.gov.it/</t>
        </is>
      </c>
      <c r="I9" t="n">
        <v>200</v>
      </c>
      <c r="J9" t="inlineStr">
        <is>
          <t>text/html</t>
        </is>
      </c>
      <c r="K9" t="n">
        <v>0</v>
      </c>
      <c r="L9" t="b">
        <v>1</v>
      </c>
      <c r="M9" t="b">
        <v>1</v>
      </c>
      <c r="N9" t="inlineStr">
        <is>
          <t>PROVED_DIRECT</t>
        </is>
      </c>
      <c r="O9" t="inlineStr">
        <is>
          <t>SIM</t>
        </is>
      </c>
      <c r="P9" t="inlineStr">
        <is>
          <t>SIM — dominio .it e conteudo em italiano</t>
        </is>
      </c>
      <c r="Q9" t="inlineStr">
        <is>
          <t>Home | Camera di Commercio di Bologna</t>
        </is>
      </c>
      <c r="R9" t="inlineStr">
        <is>
          <t>sonda HTTP read-only (GET limitado, payload nao preservado)</t>
        </is>
      </c>
      <c r="S9" t="inlineStr">
        <is>
          <t>2026-09-14T11:17:28Z</t>
        </is>
      </c>
      <c r="T9" t="inlineStr">
        <is>
          <t>PASS</t>
        </is>
      </c>
      <c r="U9" t="inlineStr"/>
      <c r="V9" t="inlineStr">
        <is>
          <t>T10</t>
        </is>
      </c>
      <c r="W9" t="inlineStr">
        <is>
          <t>EMILIA-ROMAGNA</t>
        </is>
      </c>
      <c r="X9" t="inlineStr">
        <is>
          <t>cereali</t>
        </is>
      </c>
      <c r="Y9" t="inlineStr">
        <is>
          <t>prezzi;cereali;borsa merci</t>
        </is>
      </c>
      <c r="Z9" t="inlineStr">
        <is>
          <t>titulo da pagina: Home | Camera di Commercio di Bologna</t>
        </is>
      </c>
      <c r="AA9" t="inlineStr">
        <is>
          <t>dominio institucional do dono</t>
        </is>
      </c>
      <c r="AB9" t="inlineStr">
        <is>
          <t>nao sorteada</t>
        </is>
      </c>
      <c r="AC9" t="inlineStr">
        <is>
          <t>nao sorteada</t>
        </is>
      </c>
      <c r="AE9" t="inlineStr"/>
      <c r="AF9" t="inlineStr">
        <is>
          <t>caminho devolve 404; raiz responde</t>
        </is>
      </c>
    </row>
    <row r="10">
      <c r="A10" t="inlineStr">
        <is>
          <t>IT-DISC-2026-09-14-0009</t>
        </is>
      </c>
      <c r="B10" t="inlineStr">
        <is>
          <t>Emilia-Romagna — Servizio Fitosanitario</t>
        </is>
      </c>
      <c r="C10" t="inlineStr">
        <is>
          <t>BASE_OFICIAL</t>
        </is>
      </c>
      <c r="D10" t="inlineStr">
        <is>
          <t>ORG</t>
        </is>
      </c>
      <c r="E10" t="inlineStr">
        <is>
          <t>Regione Emilia-Romagna</t>
        </is>
      </c>
      <c r="F10" t="inlineStr">
        <is>
          <t>https://agricoltura.regione.emilia-romagna.it/fitosanitario</t>
        </is>
      </c>
      <c r="G10" t="inlineStr">
        <is>
          <t>https://agricoltura.regione.emilia-romagna.it/fitosanitario</t>
        </is>
      </c>
      <c r="H10" t="inlineStr">
        <is>
          <t>https://agricoltura.regione.emilia-romagna.it/fitosanitario</t>
        </is>
      </c>
      <c r="I10" t="n">
        <v>200</v>
      </c>
      <c r="J10" t="inlineStr">
        <is>
          <t>text/html</t>
        </is>
      </c>
      <c r="K10" t="n">
        <v>0</v>
      </c>
      <c r="L10" t="b">
        <v>1</v>
      </c>
      <c r="M10" t="b">
        <v>1</v>
      </c>
      <c r="N10" t="inlineStr">
        <is>
          <t>PROVED_DIRECT</t>
        </is>
      </c>
      <c r="O10" t="inlineStr">
        <is>
          <t>SIM</t>
        </is>
      </c>
      <c r="P10" t="inlineStr">
        <is>
          <t>SIM — dominio .it e conteudo em italiano</t>
        </is>
      </c>
      <c r="Q10" t="inlineStr">
        <is>
          <t>Fitosanitario e difesa delle produzioni - Fitosanitario e difesa delle produzion</t>
        </is>
      </c>
      <c r="R10" t="inlineStr">
        <is>
          <t>sonda HTTP read-only (GET limitado, payload nao preservado)</t>
        </is>
      </c>
      <c r="S10" t="inlineStr">
        <is>
          <t>2026-09-14T11:22:34Z</t>
        </is>
      </c>
      <c r="T10" t="inlineStr">
        <is>
          <t>PASS</t>
        </is>
      </c>
      <c r="U10" t="inlineStr"/>
      <c r="V10" t="inlineStr">
        <is>
          <t>T3;T4</t>
        </is>
      </c>
      <c r="W10" t="inlineStr">
        <is>
          <t>EMILIA-ROMAGNA</t>
        </is>
      </c>
      <c r="X10" t="inlineStr"/>
      <c r="Y10" t="inlineStr">
        <is>
          <t>servizio fitosanitario;bollettini</t>
        </is>
      </c>
      <c r="Z10" t="inlineStr">
        <is>
          <t>titulo da pagina: Fitosanitario e difesa delle produzioni - Fitosanitario e difesa delle</t>
        </is>
      </c>
      <c r="AA10" t="inlineStr">
        <is>
          <t>dominio institucional do dono</t>
        </is>
      </c>
      <c r="AB10" t="inlineStr">
        <is>
          <t>nao sorteada</t>
        </is>
      </c>
      <c r="AC10" t="inlineStr">
        <is>
          <t>nao sorteada</t>
        </is>
      </c>
      <c r="AE10" t="inlineStr"/>
      <c r="AF10" t="inlineStr"/>
    </row>
    <row r="11">
      <c r="A11" t="inlineStr">
        <is>
          <t>IT-DISC-2026-09-14-0010</t>
        </is>
      </c>
      <c r="B11" t="inlineStr">
        <is>
          <t>Fitogest — banca dati agrofarmaci</t>
        </is>
      </c>
      <c r="C11" t="inlineStr">
        <is>
          <t>BASE_OFICIAL</t>
        </is>
      </c>
      <c r="D11" t="inlineStr">
        <is>
          <t>ORG</t>
        </is>
      </c>
      <c r="E11" t="inlineStr">
        <is>
          <t>Image Line</t>
        </is>
      </c>
      <c r="F11" t="inlineStr">
        <is>
          <t>https://fitogest.imagelinenetwork.com/</t>
        </is>
      </c>
      <c r="G11" t="inlineStr">
        <is>
          <t>https://fitogest.imagelinenetwork.com/</t>
        </is>
      </c>
      <c r="H11" t="inlineStr">
        <is>
          <t>https://fitogest.imagelinenetwork.com/</t>
        </is>
      </c>
      <c r="I11" t="n">
        <v>200</v>
      </c>
      <c r="J11" t="inlineStr">
        <is>
          <t>text/html</t>
        </is>
      </c>
      <c r="K11" t="n">
        <v>0</v>
      </c>
      <c r="L11" t="b">
        <v>1</v>
      </c>
      <c r="M11" t="b">
        <v>1</v>
      </c>
      <c r="N11" t="inlineStr">
        <is>
          <t>PROVED_DIRECT</t>
        </is>
      </c>
      <c r="O11" t="inlineStr">
        <is>
          <t>SIM</t>
        </is>
      </c>
      <c r="P11" t="inlineStr">
        <is>
          <t>SIM — dono italiano identificado na pagina</t>
        </is>
      </c>
      <c r="Q11" t="inlineStr">
        <is>
          <t>Agrofarmaci e prodotti per un'agricoltura sostenibile | Fitogest</t>
        </is>
      </c>
      <c r="R11" t="inlineStr">
        <is>
          <t>sonda HTTP read-only (GET limitado, payload nao preservado)</t>
        </is>
      </c>
      <c r="S11" t="inlineStr">
        <is>
          <t>2026-09-14T11:22:27Z</t>
        </is>
      </c>
      <c r="T11" t="inlineStr">
        <is>
          <t>PASS</t>
        </is>
      </c>
      <c r="U11" t="inlineStr"/>
      <c r="V11" t="inlineStr">
        <is>
          <t>T4;T3</t>
        </is>
      </c>
      <c r="W11" t="inlineStr">
        <is>
          <t>EMILIA-ROMAGNA</t>
        </is>
      </c>
      <c r="X11" t="inlineStr"/>
      <c r="Y11" t="inlineStr">
        <is>
          <t>agrofarmaci;etichette;registro</t>
        </is>
      </c>
      <c r="Z11" t="inlineStr">
        <is>
          <t>titulo da pagina: Agrofarmaci e prodotti per un'agricoltura sostenibile | Fitogest</t>
        </is>
      </c>
      <c r="AA11" t="inlineStr">
        <is>
          <t>meta description: Dai fitofarmaci, o meglio prodotti fitosanitari, ai mezzi biologici co</t>
        </is>
      </c>
      <c r="AB11" t="inlineStr">
        <is>
          <t>nao sorteada</t>
        </is>
      </c>
      <c r="AC11" t="inlineStr">
        <is>
          <t>SIM</t>
        </is>
      </c>
      <c r="AE11" t="inlineStr"/>
      <c r="AF11" t="inlineStr"/>
    </row>
    <row r="12">
      <c r="A12" t="inlineStr">
        <is>
          <t>IT-DISC-2026-09-14-0011</t>
        </is>
      </c>
      <c r="B12" t="inlineStr">
        <is>
          <t>Plantgest — banca dati varieta</t>
        </is>
      </c>
      <c r="C12" t="inlineStr">
        <is>
          <t>BASE_OFICIAL</t>
        </is>
      </c>
      <c r="D12" t="inlineStr">
        <is>
          <t>ORG</t>
        </is>
      </c>
      <c r="E12" t="inlineStr">
        <is>
          <t>Image Line</t>
        </is>
      </c>
      <c r="F12" t="inlineStr">
        <is>
          <t>https://plantgest.imagelinenetwork.com/</t>
        </is>
      </c>
      <c r="G12" t="inlineStr">
        <is>
          <t>https://plantgest.imagelinenetwork.com/</t>
        </is>
      </c>
      <c r="H12" t="inlineStr">
        <is>
          <t>https://plantgest.imagelinenetwork.com/</t>
        </is>
      </c>
      <c r="I12" t="n">
        <v>200</v>
      </c>
      <c r="J12" t="inlineStr">
        <is>
          <t>text/html</t>
        </is>
      </c>
      <c r="K12" t="n">
        <v>0</v>
      </c>
      <c r="L12" t="b">
        <v>1</v>
      </c>
      <c r="M12" t="b">
        <v>1</v>
      </c>
      <c r="N12" t="inlineStr">
        <is>
          <t>PROVED_DIRECT</t>
        </is>
      </c>
      <c r="O12" t="inlineStr">
        <is>
          <t>SIM</t>
        </is>
      </c>
      <c r="P12" t="inlineStr">
        <is>
          <t>SIM — dono italiano identificado na pagina</t>
        </is>
      </c>
      <c r="Q12" t="inlineStr">
        <is>
          <t>Plantgest - Varietà di piante da frutto e orticole, news e vivai</t>
        </is>
      </c>
      <c r="R12" t="inlineStr">
        <is>
          <t>sonda HTTP read-only (GET limitado, payload nao preservado)</t>
        </is>
      </c>
      <c r="S12" t="inlineStr">
        <is>
          <t>2026-09-14T11:22:27Z</t>
        </is>
      </c>
      <c r="T12" t="inlineStr">
        <is>
          <t>PASS</t>
        </is>
      </c>
      <c r="U12" t="inlineStr"/>
      <c r="V12" t="inlineStr">
        <is>
          <t>T1;T4</t>
        </is>
      </c>
      <c r="W12" t="inlineStr">
        <is>
          <t>EMILIA-ROMAGNA</t>
        </is>
      </c>
      <c r="X12" t="inlineStr"/>
      <c r="Y12" t="inlineStr">
        <is>
          <t>varieta vegetali;schede</t>
        </is>
      </c>
      <c r="Z12" t="inlineStr">
        <is>
          <t>titulo da pagina: Plantgest - Varietà di piante da frutto e orticole, news e vivai</t>
        </is>
      </c>
      <c r="AA12" t="inlineStr">
        <is>
          <t>meta description: Su Plantgest trovi informazioni su varietà di piante da frutto e orto</t>
        </is>
      </c>
      <c r="AB12" t="inlineStr">
        <is>
          <t>nao sorteada</t>
        </is>
      </c>
      <c r="AC12" t="inlineStr">
        <is>
          <t>nao sorteada</t>
        </is>
      </c>
      <c r="AE12" t="inlineStr"/>
      <c r="AF12" t="inlineStr"/>
    </row>
    <row r="13">
      <c r="A13" t="inlineStr">
        <is>
          <t>IT-DISC-2026-09-14-0012</t>
        </is>
      </c>
      <c r="B13" t="inlineStr">
        <is>
          <t>ARPA Friuli Venezia Giulia — OSMER</t>
        </is>
      </c>
      <c r="C13" t="inlineStr">
        <is>
          <t>BASE_OFICIAL</t>
        </is>
      </c>
      <c r="D13" t="inlineStr">
        <is>
          <t>ORG</t>
        </is>
      </c>
      <c r="E13" t="inlineStr">
        <is>
          <t>ARPA FVG</t>
        </is>
      </c>
      <c r="F13" t="inlineStr">
        <is>
          <t>https://www.arpa.fvg.it/</t>
        </is>
      </c>
      <c r="G13" t="inlineStr">
        <is>
          <t>https://www.arpa.fvg.it/</t>
        </is>
      </c>
      <c r="H13" t="inlineStr">
        <is>
          <t>https://www.arpa.fvg.it/</t>
        </is>
      </c>
      <c r="I13" t="n">
        <v>200</v>
      </c>
      <c r="J13" t="inlineStr">
        <is>
          <t>text/html</t>
        </is>
      </c>
      <c r="K13" t="n">
        <v>0</v>
      </c>
      <c r="L13" t="b">
        <v>1</v>
      </c>
      <c r="M13" t="b">
        <v>1</v>
      </c>
      <c r="N13" t="inlineStr">
        <is>
          <t>PROVED_DIRECT</t>
        </is>
      </c>
      <c r="O13" t="inlineStr">
        <is>
          <t>SIM</t>
        </is>
      </c>
      <c r="P13" t="inlineStr">
        <is>
          <t>SIM — dominio .it e conteudo em italiano</t>
        </is>
      </c>
      <c r="Q13" t="inlineStr">
        <is>
          <t xml:space="preserve">Arpa FVG - Agenzia regionale per la protezione dell’ambiente del Friuli Venezia </t>
        </is>
      </c>
      <c r="R13" t="inlineStr">
        <is>
          <t>sonda HTTP read-only (GET limitado, payload nao preservado)</t>
        </is>
      </c>
      <c r="S13" t="inlineStr">
        <is>
          <t>2026-09-14T11:04:48Z</t>
        </is>
      </c>
      <c r="T13" t="inlineStr">
        <is>
          <t>PASS</t>
        </is>
      </c>
      <c r="U13" t="inlineStr"/>
      <c r="V13" t="inlineStr">
        <is>
          <t>T2</t>
        </is>
      </c>
      <c r="W13" t="inlineStr">
        <is>
          <t>FRIULI-VENEZIA GIULIA</t>
        </is>
      </c>
      <c r="X13" t="inlineStr"/>
      <c r="Y13" t="inlineStr">
        <is>
          <t>meteo;agrometeo;OSMER</t>
        </is>
      </c>
      <c r="Z13" t="inlineStr">
        <is>
          <t>titulo da pagina: Arpa FVG - Agenzia regionale per la protezione dell’ambiente del Friul</t>
        </is>
      </c>
      <c r="AA13" t="inlineStr">
        <is>
          <t>dominio institucional do dono</t>
        </is>
      </c>
      <c r="AB13" t="inlineStr">
        <is>
          <t>nao sorteada</t>
        </is>
      </c>
      <c r="AC13" t="inlineStr">
        <is>
          <t>nao sorteada</t>
        </is>
      </c>
      <c r="AE13" t="inlineStr"/>
      <c r="AF13" t="inlineStr"/>
    </row>
    <row r="14">
      <c r="A14" t="inlineStr">
        <is>
          <t>IT-DISC-2026-09-14-0013</t>
        </is>
      </c>
      <c r="B14" t="inlineStr">
        <is>
          <t>ERSA FVG — Agenzia regionale per lo sviluppo rurale</t>
        </is>
      </c>
      <c r="C14" t="inlineStr">
        <is>
          <t>BASE_OFICIAL</t>
        </is>
      </c>
      <c r="D14" t="inlineStr">
        <is>
          <t>ORG</t>
        </is>
      </c>
      <c r="E14" t="inlineStr">
        <is>
          <t>Regione Friuli-Venezia Giulia</t>
        </is>
      </c>
      <c r="F14" t="inlineStr">
        <is>
          <t>https://www.ersa.fvg.it/</t>
        </is>
      </c>
      <c r="G14" t="inlineStr">
        <is>
          <t>https://www.ersa.fvg.it/</t>
        </is>
      </c>
      <c r="H14" t="inlineStr">
        <is>
          <t>https://www.ersa.fvg.it/cms/hp/;jsessionid=11B823636D180A959FB4DE60E5939A7A</t>
        </is>
      </c>
      <c r="I14" t="n">
        <v>200</v>
      </c>
      <c r="J14" t="inlineStr">
        <is>
          <t>text/html</t>
        </is>
      </c>
      <c r="K14" t="n">
        <v>1</v>
      </c>
      <c r="L14" t="b">
        <v>1</v>
      </c>
      <c r="M14" t="b">
        <v>1</v>
      </c>
      <c r="N14" t="inlineStr">
        <is>
          <t>PROVED_DIRECT</t>
        </is>
      </c>
      <c r="O14" t="inlineStr">
        <is>
          <t>SIM</t>
        </is>
      </c>
      <c r="P14" t="inlineStr">
        <is>
          <t>SIM — dominio .it e conteudo em italiano</t>
        </is>
      </c>
      <c r="Q14" t="inlineStr">
        <is>
          <t>ERSA FVG : Homepage</t>
        </is>
      </c>
      <c r="R14" t="inlineStr">
        <is>
          <t>sonda HTTP read-only (GET limitado, payload nao preservado)</t>
        </is>
      </c>
      <c r="S14" t="inlineStr">
        <is>
          <t>2026-09-14T11:04:40Z</t>
        </is>
      </c>
      <c r="T14" t="inlineStr">
        <is>
          <t>PASS</t>
        </is>
      </c>
      <c r="U14" t="inlineStr"/>
      <c r="V14" t="inlineStr">
        <is>
          <t>T3;T1;T7</t>
        </is>
      </c>
      <c r="W14" t="inlineStr">
        <is>
          <t>FRIULI-VENEZIA GIULIA</t>
        </is>
      </c>
      <c r="X14" t="inlineStr">
        <is>
          <t>vite</t>
        </is>
      </c>
      <c r="Y14" t="inlineStr">
        <is>
          <t>servizio fitosanitario;vite;divulgazione</t>
        </is>
      </c>
      <c r="Z14" t="inlineStr">
        <is>
          <t>titulo da pagina: ERSA FVG : Homepage</t>
        </is>
      </c>
      <c r="AA14" t="inlineStr">
        <is>
          <t>dominio institucional do dono</t>
        </is>
      </c>
      <c r="AB14" t="inlineStr">
        <is>
          <t>nao sorteada</t>
        </is>
      </c>
      <c r="AC14" t="inlineStr">
        <is>
          <t>nao sorteada</t>
        </is>
      </c>
      <c r="AE14" t="inlineStr"/>
      <c r="AF14" t="inlineStr"/>
    </row>
    <row r="15">
      <c r="A15" t="inlineStr">
        <is>
          <t>IT-DISC-2026-09-14-0014</t>
        </is>
      </c>
      <c r="B15" t="inlineStr">
        <is>
          <t>ARPA Lazio</t>
        </is>
      </c>
      <c r="C15" t="inlineStr">
        <is>
          <t>BASE_OFICIAL</t>
        </is>
      </c>
      <c r="D15" t="inlineStr">
        <is>
          <t>ORG</t>
        </is>
      </c>
      <c r="E15" t="inlineStr">
        <is>
          <t>ARPA Lazio</t>
        </is>
      </c>
      <c r="F15" t="inlineStr">
        <is>
          <t>https://www.arpalazio.it/</t>
        </is>
      </c>
      <c r="G15" t="inlineStr">
        <is>
          <t>https://www.arpalazio.it/</t>
        </is>
      </c>
      <c r="H15" t="inlineStr">
        <is>
          <t>https://www.arpalazio.it/</t>
        </is>
      </c>
      <c r="I15" t="n">
        <v>200</v>
      </c>
      <c r="J15" t="inlineStr">
        <is>
          <t>text/html</t>
        </is>
      </c>
      <c r="K15" t="n">
        <v>0</v>
      </c>
      <c r="L15" t="b">
        <v>1</v>
      </c>
      <c r="M15" t="b">
        <v>1</v>
      </c>
      <c r="N15" t="inlineStr">
        <is>
          <t>PROVED_DIRECT</t>
        </is>
      </c>
      <c r="O15" t="inlineStr">
        <is>
          <t>SIM</t>
        </is>
      </c>
      <c r="P15" t="inlineStr">
        <is>
          <t>SIM — dominio .it e conteudo em italiano</t>
        </is>
      </c>
      <c r="Q15" t="inlineStr">
        <is>
          <t>Ambiente - ARPA Lazio</t>
        </is>
      </c>
      <c r="R15" t="inlineStr">
        <is>
          <t>sonda HTTP read-only (GET limitado, payload nao preservado)</t>
        </is>
      </c>
      <c r="S15" t="inlineStr">
        <is>
          <t>2026-09-14T11:04:52Z</t>
        </is>
      </c>
      <c r="T15" t="inlineStr">
        <is>
          <t>PASS</t>
        </is>
      </c>
      <c r="U15" t="inlineStr"/>
      <c r="V15" t="inlineStr">
        <is>
          <t>T2;T12</t>
        </is>
      </c>
      <c r="W15" t="inlineStr">
        <is>
          <t>LAZIO</t>
        </is>
      </c>
      <c r="X15" t="inlineStr"/>
      <c r="Y15" t="inlineStr">
        <is>
          <t>ambiente;aria;acque</t>
        </is>
      </c>
      <c r="Z15" t="inlineStr">
        <is>
          <t>titulo da pagina: Ambiente - ARPA Lazio</t>
        </is>
      </c>
      <c r="AA15" t="inlineStr">
        <is>
          <t>dominio institucional do dono</t>
        </is>
      </c>
      <c r="AB15" t="inlineStr">
        <is>
          <t>nao sorteada</t>
        </is>
      </c>
      <c r="AC15" t="inlineStr">
        <is>
          <t>SIM</t>
        </is>
      </c>
      <c r="AE15" t="inlineStr"/>
      <c r="AF15" t="inlineStr"/>
    </row>
    <row r="16">
      <c r="A16" t="inlineStr">
        <is>
          <t>IT-DISC-2026-09-14-0015</t>
        </is>
      </c>
      <c r="B16" t="inlineStr">
        <is>
          <t>ARSIAL — Agenzia Regionale Sviluppo Innovazione Agricoltura Lazio</t>
        </is>
      </c>
      <c r="C16" t="inlineStr">
        <is>
          <t>BASE_OFICIAL</t>
        </is>
      </c>
      <c r="D16" t="inlineStr">
        <is>
          <t>ORG</t>
        </is>
      </c>
      <c r="E16" t="inlineStr">
        <is>
          <t>Regione Lazio</t>
        </is>
      </c>
      <c r="F16" t="inlineStr">
        <is>
          <t>https://www.arsial.it/</t>
        </is>
      </c>
      <c r="G16" t="inlineStr">
        <is>
          <t>https://www.arsial.it/</t>
        </is>
      </c>
      <c r="H16" t="inlineStr">
        <is>
          <t>https://www.arsial.it/</t>
        </is>
      </c>
      <c r="I16" t="n">
        <v>200</v>
      </c>
      <c r="J16" t="inlineStr">
        <is>
          <t>text/html</t>
        </is>
      </c>
      <c r="K16" t="n">
        <v>0</v>
      </c>
      <c r="L16" t="b">
        <v>1</v>
      </c>
      <c r="M16" t="b">
        <v>1</v>
      </c>
      <c r="N16" t="inlineStr">
        <is>
          <t>PROVED_DIRECT</t>
        </is>
      </c>
      <c r="O16" t="inlineStr">
        <is>
          <t>SIM</t>
        </is>
      </c>
      <c r="P16" t="inlineStr">
        <is>
          <t>SIM — dominio .it e conteudo em italiano</t>
        </is>
      </c>
      <c r="Q16" t="inlineStr">
        <is>
          <t>Homepage - Arsial</t>
        </is>
      </c>
      <c r="R16" t="inlineStr">
        <is>
          <t>sonda HTTP read-only (GET limitado, payload nao preservado)</t>
        </is>
      </c>
      <c r="S16" t="inlineStr">
        <is>
          <t>2026-09-14T11:04:40Z</t>
        </is>
      </c>
      <c r="T16" t="inlineStr">
        <is>
          <t>PASS</t>
        </is>
      </c>
      <c r="U16" t="inlineStr"/>
      <c r="V16" t="inlineStr">
        <is>
          <t>T1;T7;T3</t>
        </is>
      </c>
      <c r="W16" t="inlineStr">
        <is>
          <t>LAZIO</t>
        </is>
      </c>
      <c r="X16" t="inlineStr"/>
      <c r="Y16" t="inlineStr">
        <is>
          <t>sviluppo agricolo;biodiversita;assistenza</t>
        </is>
      </c>
      <c r="Z16" t="inlineStr">
        <is>
          <t>titulo da pagina: Homepage - Arsial</t>
        </is>
      </c>
      <c r="AA16" t="inlineStr">
        <is>
          <t>dominio institucional do dono</t>
        </is>
      </c>
      <c r="AB16" t="inlineStr">
        <is>
          <t>CONFIRMA</t>
        </is>
      </c>
      <c r="AC16" t="inlineStr">
        <is>
          <t>nao sorteada</t>
        </is>
      </c>
      <c r="AE16" t="inlineStr"/>
      <c r="AF16" t="inlineStr"/>
    </row>
    <row r="17">
      <c r="A17" t="inlineStr">
        <is>
          <t>IT-DISC-2026-09-14-0016</t>
        </is>
      </c>
      <c r="B17" t="inlineStr">
        <is>
          <t>Lazio — Agricoltura Regione Lazio</t>
        </is>
      </c>
      <c r="C17" t="inlineStr">
        <is>
          <t>BASE_OFICIAL</t>
        </is>
      </c>
      <c r="D17" t="inlineStr">
        <is>
          <t>ORG</t>
        </is>
      </c>
      <c r="E17" t="inlineStr">
        <is>
          <t>Regione Lazio</t>
        </is>
      </c>
      <c r="F17" t="inlineStr">
        <is>
          <t>https://www.regione.lazio.it/cittadini/agricoltura</t>
        </is>
      </c>
      <c r="G17" t="inlineStr">
        <is>
          <t>https://www.regione.lazio.it/cittadini/agricoltura</t>
        </is>
      </c>
      <c r="H17" t="inlineStr">
        <is>
          <t>https://www.regione.lazio.it/cittadini/agricoltura</t>
        </is>
      </c>
      <c r="I17" t="n">
        <v>200</v>
      </c>
      <c r="J17" t="inlineStr">
        <is>
          <t>text/html</t>
        </is>
      </c>
      <c r="K17" t="n">
        <v>0</v>
      </c>
      <c r="L17" t="b">
        <v>1</v>
      </c>
      <c r="M17" t="b">
        <v>1</v>
      </c>
      <c r="N17" t="inlineStr">
        <is>
          <t>PROVED_DIRECT</t>
        </is>
      </c>
      <c r="O17" t="inlineStr">
        <is>
          <t>SIM</t>
        </is>
      </c>
      <c r="P17" t="inlineStr">
        <is>
          <t>SIM — dominio .it e conteudo em italiano</t>
        </is>
      </c>
      <c r="Q17" t="inlineStr">
        <is>
          <t>| Regione Lazio | CITTADINI-AGRICOLTURA</t>
        </is>
      </c>
      <c r="R17" t="inlineStr">
        <is>
          <t>sonda HTTP read-only (GET limitado, payload nao preservado)</t>
        </is>
      </c>
      <c r="S17" t="inlineStr">
        <is>
          <t>2026-09-14T11:22:32Z</t>
        </is>
      </c>
      <c r="T17" t="inlineStr">
        <is>
          <t>PASS</t>
        </is>
      </c>
      <c r="U17" t="inlineStr"/>
      <c r="V17" t="inlineStr">
        <is>
          <t>T1;T4</t>
        </is>
      </c>
      <c r="W17" t="inlineStr">
        <is>
          <t>LAZIO</t>
        </is>
      </c>
      <c r="X17" t="inlineStr"/>
      <c r="Y17" t="inlineStr">
        <is>
          <t>agricoltura;PSR</t>
        </is>
      </c>
      <c r="Z17" t="inlineStr">
        <is>
          <t>titulo da pagina: | Regione Lazio | CITTADINI-AGRICOLTURA</t>
        </is>
      </c>
      <c r="AA17" t="inlineStr">
        <is>
          <t>dominio institucional do dono</t>
        </is>
      </c>
      <c r="AB17" t="inlineStr">
        <is>
          <t>nao sorteada</t>
        </is>
      </c>
      <c r="AC17" t="inlineStr">
        <is>
          <t>nao sorteada</t>
        </is>
      </c>
      <c r="AE17" t="inlineStr"/>
      <c r="AF17" t="inlineStr"/>
    </row>
    <row r="18">
      <c r="A18" t="inlineStr">
        <is>
          <t>IT-DISC-2026-09-14-0017</t>
        </is>
      </c>
      <c r="B18" t="inlineStr">
        <is>
          <t>ARPA Liguria</t>
        </is>
      </c>
      <c r="C18" t="inlineStr">
        <is>
          <t>BASE_OFICIAL</t>
        </is>
      </c>
      <c r="D18" t="inlineStr">
        <is>
          <t>ORG</t>
        </is>
      </c>
      <c r="E18" t="inlineStr">
        <is>
          <t>ARPAL</t>
        </is>
      </c>
      <c r="F18" t="inlineStr">
        <is>
          <t>https://www.arpal.liguria.it/</t>
        </is>
      </c>
      <c r="G18" t="inlineStr">
        <is>
          <t>https://www.arpal.liguria.it/</t>
        </is>
      </c>
      <c r="H18" t="inlineStr">
        <is>
          <t>https://www.arpal.liguria.it/</t>
        </is>
      </c>
      <c r="I18" t="n">
        <v>200</v>
      </c>
      <c r="J18" t="inlineStr">
        <is>
          <t>text/html</t>
        </is>
      </c>
      <c r="K18" t="n">
        <v>0</v>
      </c>
      <c r="L18" t="b">
        <v>1</v>
      </c>
      <c r="M18" t="b">
        <v>1</v>
      </c>
      <c r="N18" t="inlineStr">
        <is>
          <t>PROVED_DIRECT</t>
        </is>
      </c>
      <c r="O18" t="inlineStr">
        <is>
          <t>SIM</t>
        </is>
      </c>
      <c r="P18" t="inlineStr">
        <is>
          <t>SIM — dominio .it e conteudo em italiano</t>
        </is>
      </c>
      <c r="Q18" t="inlineStr">
        <is>
          <t>Arpal Liguria - Home page</t>
        </is>
      </c>
      <c r="R18" t="inlineStr">
        <is>
          <t>sonda HTTP read-only (GET limitado, payload nao preservado)</t>
        </is>
      </c>
      <c r="S18" t="inlineStr">
        <is>
          <t>2026-09-14T11:04:51Z</t>
        </is>
      </c>
      <c r="T18" t="inlineStr">
        <is>
          <t>PASS</t>
        </is>
      </c>
      <c r="U18" t="inlineStr"/>
      <c r="V18" t="inlineStr">
        <is>
          <t>T2;T12</t>
        </is>
      </c>
      <c r="W18" t="inlineStr">
        <is>
          <t>LIGURIA</t>
        </is>
      </c>
      <c r="X18" t="inlineStr"/>
      <c r="Y18" t="inlineStr">
        <is>
          <t>meteo;ambiente;allerta</t>
        </is>
      </c>
      <c r="Z18" t="inlineStr">
        <is>
          <t>titulo da pagina: Arpal Liguria - Home page</t>
        </is>
      </c>
      <c r="AA18" t="inlineStr">
        <is>
          <t>meta description: Descrizione del sito</t>
        </is>
      </c>
      <c r="AB18" t="inlineStr">
        <is>
          <t>nao sorteada</t>
        </is>
      </c>
      <c r="AC18" t="inlineStr">
        <is>
          <t>nao sorteada</t>
        </is>
      </c>
      <c r="AE18" t="inlineStr"/>
      <c r="AF18" t="inlineStr"/>
    </row>
    <row r="19">
      <c r="A19" t="inlineStr">
        <is>
          <t>IT-DISC-2026-09-14-0018</t>
        </is>
      </c>
      <c r="B19" t="inlineStr">
        <is>
          <t>Agriligurianet — Regione Liguria agricoltura</t>
        </is>
      </c>
      <c r="C19" t="inlineStr">
        <is>
          <t>BASE_OFICIAL</t>
        </is>
      </c>
      <c r="D19" t="inlineStr">
        <is>
          <t>ORG</t>
        </is>
      </c>
      <c r="E19" t="inlineStr">
        <is>
          <t>Regione Liguria</t>
        </is>
      </c>
      <c r="F19" t="inlineStr">
        <is>
          <t>https://www.agriligurianet.it/</t>
        </is>
      </c>
      <c r="G19" t="inlineStr">
        <is>
          <t>https://www.agriligurianet.it/</t>
        </is>
      </c>
      <c r="H19" t="inlineStr">
        <is>
          <t>https://www.agriligurianet.it/it/</t>
        </is>
      </c>
      <c r="I19" t="n">
        <v>200</v>
      </c>
      <c r="J19" t="inlineStr">
        <is>
          <t>text/html</t>
        </is>
      </c>
      <c r="K19" t="n">
        <v>1</v>
      </c>
      <c r="L19" t="b">
        <v>1</v>
      </c>
      <c r="M19" t="b">
        <v>1</v>
      </c>
      <c r="N19" t="inlineStr">
        <is>
          <t>PROVED_DIRECT</t>
        </is>
      </c>
      <c r="O19" t="inlineStr">
        <is>
          <t>SIM</t>
        </is>
      </c>
      <c r="P19" t="inlineStr">
        <is>
          <t>SIM — dominio .it e conteudo em italiano</t>
        </is>
      </c>
      <c r="Q19" t="inlineStr">
        <is>
          <t>Gestione e sviluppo dell'impresa - Agriligurianet</t>
        </is>
      </c>
      <c r="R19" t="inlineStr">
        <is>
          <t>sonda HTTP read-only (GET limitado, payload nao preservado)</t>
        </is>
      </c>
      <c r="S19" t="inlineStr">
        <is>
          <t>2026-09-14T11:04:42Z</t>
        </is>
      </c>
      <c r="T19" t="inlineStr">
        <is>
          <t>PASS</t>
        </is>
      </c>
      <c r="U19" t="inlineStr"/>
      <c r="V19" t="inlineStr">
        <is>
          <t>T1;T3;T7</t>
        </is>
      </c>
      <c r="W19" t="inlineStr">
        <is>
          <t>LIGURIA</t>
        </is>
      </c>
      <c r="X19" t="inlineStr"/>
      <c r="Y19" t="inlineStr">
        <is>
          <t>agricoltura ligure;floricoltura;fitosanitario</t>
        </is>
      </c>
      <c r="Z19" t="inlineStr">
        <is>
          <t>titulo da pagina: Gestione e sviluppo dell'impresa - Agriligurianet</t>
        </is>
      </c>
      <c r="AA19" t="inlineStr">
        <is>
          <t>meta description: Sito ufficiale di Agriligurianet</t>
        </is>
      </c>
      <c r="AB19" t="inlineStr">
        <is>
          <t>nao sorteada</t>
        </is>
      </c>
      <c r="AC19" t="inlineStr">
        <is>
          <t>nao sorteada</t>
        </is>
      </c>
      <c r="AE19" t="inlineStr"/>
      <c r="AF19" t="inlineStr"/>
    </row>
    <row r="20">
      <c r="A20" t="inlineStr">
        <is>
          <t>IT-DISC-2026-09-14-0019</t>
        </is>
      </c>
      <c r="B20" t="inlineStr">
        <is>
          <t>Liguria — Regione Liguria agricoltura</t>
        </is>
      </c>
      <c r="C20" t="inlineStr">
        <is>
          <t>BASE_OFICIAL</t>
        </is>
      </c>
      <c r="D20" t="inlineStr">
        <is>
          <t>ORG</t>
        </is>
      </c>
      <c r="E20" t="inlineStr">
        <is>
          <t>Regione Liguria</t>
        </is>
      </c>
      <c r="F20" t="inlineStr">
        <is>
          <t>https://www.regione.liguria.it/homepage-agricoltura.html</t>
        </is>
      </c>
      <c r="G20" t="inlineStr">
        <is>
          <t>https://www.regione.liguria.it/homepage-agricoltura.html</t>
        </is>
      </c>
      <c r="H20" t="inlineStr">
        <is>
          <t>https://www.regione.liguria.it/homepage-agricoltura.html</t>
        </is>
      </c>
      <c r="I20" t="n">
        <v>200</v>
      </c>
      <c r="J20" t="inlineStr">
        <is>
          <t>text/html</t>
        </is>
      </c>
      <c r="K20" t="n">
        <v>0</v>
      </c>
      <c r="L20" t="b">
        <v>1</v>
      </c>
      <c r="M20" t="b">
        <v>1</v>
      </c>
      <c r="N20" t="inlineStr">
        <is>
          <t>PROVED_DIRECT</t>
        </is>
      </c>
      <c r="O20" t="inlineStr">
        <is>
          <t>SIM</t>
        </is>
      </c>
      <c r="P20" t="inlineStr">
        <is>
          <t>SIM — dominio .it e conteudo em italiano</t>
        </is>
      </c>
      <c r="Q20" t="inlineStr">
        <is>
          <t>homepage agricoltura - Regione Liguria</t>
        </is>
      </c>
      <c r="R20" t="inlineStr">
        <is>
          <t>sonda HTTP read-only (GET limitado, payload nao preservado)</t>
        </is>
      </c>
      <c r="S20" t="inlineStr">
        <is>
          <t>2026-09-14T11:22:30Z</t>
        </is>
      </c>
      <c r="T20" t="inlineStr">
        <is>
          <t>PASS</t>
        </is>
      </c>
      <c r="U20" t="inlineStr"/>
      <c r="V20" t="inlineStr">
        <is>
          <t>T1;T4</t>
        </is>
      </c>
      <c r="W20" t="inlineStr">
        <is>
          <t>LIGURIA</t>
        </is>
      </c>
      <c r="X20" t="inlineStr"/>
      <c r="Y20" t="inlineStr">
        <is>
          <t>agricoltura;floricoltura</t>
        </is>
      </c>
      <c r="Z20" t="inlineStr">
        <is>
          <t>titulo da pagina: homepage agricoltura - Regione Liguria</t>
        </is>
      </c>
      <c r="AA20" t="inlineStr">
        <is>
          <t>meta description: Il sito ufficiale della Regione Liguria: tutti i servizi online e le p</t>
        </is>
      </c>
      <c r="AB20" t="inlineStr">
        <is>
          <t>nao sorteada</t>
        </is>
      </c>
      <c r="AC20" t="inlineStr">
        <is>
          <t>nao sorteada</t>
        </is>
      </c>
      <c r="AE20" t="inlineStr"/>
      <c r="AF20" t="inlineStr"/>
    </row>
    <row r="21">
      <c r="A21" t="inlineStr">
        <is>
          <t>IT-DISC-2026-09-14-0020</t>
        </is>
      </c>
      <c r="B21" t="inlineStr">
        <is>
          <t>ARPA Lombardia</t>
        </is>
      </c>
      <c r="C21" t="inlineStr">
        <is>
          <t>BASE_OFICIAL</t>
        </is>
      </c>
      <c r="D21" t="inlineStr">
        <is>
          <t>ORG</t>
        </is>
      </c>
      <c r="E21" t="inlineStr">
        <is>
          <t>ARPA Lombardia</t>
        </is>
      </c>
      <c r="F21" t="inlineStr">
        <is>
          <t>https://www.arpalombardia.it/</t>
        </is>
      </c>
      <c r="G21" t="inlineStr">
        <is>
          <t>https://www.arpalombardia.it/</t>
        </is>
      </c>
      <c r="H21" t="inlineStr">
        <is>
          <t>https://www.arpalombardia.it/</t>
        </is>
      </c>
      <c r="I21" t="n">
        <v>200</v>
      </c>
      <c r="J21" t="inlineStr">
        <is>
          <t>text/html</t>
        </is>
      </c>
      <c r="K21" t="n">
        <v>0</v>
      </c>
      <c r="L21" t="b">
        <v>1</v>
      </c>
      <c r="M21" t="b">
        <v>1</v>
      </c>
      <c r="N21" t="inlineStr">
        <is>
          <t>PROVED_DIRECT</t>
        </is>
      </c>
      <c r="O21" t="inlineStr">
        <is>
          <t>SIM</t>
        </is>
      </c>
      <c r="P21" t="inlineStr">
        <is>
          <t>SIM — dominio .it e conteudo em italiano</t>
        </is>
      </c>
      <c r="Q21" t="inlineStr">
        <is>
          <t>ARPA Lombardia | Home Page - ARPA Lombardia</t>
        </is>
      </c>
      <c r="R21" t="inlineStr">
        <is>
          <t>sonda HTTP read-only (GET limitado, payload nao preservado)</t>
        </is>
      </c>
      <c r="S21" t="inlineStr">
        <is>
          <t>2026-09-14T11:04:47Z</t>
        </is>
      </c>
      <c r="T21" t="inlineStr">
        <is>
          <t>PASS</t>
        </is>
      </c>
      <c r="U21" t="inlineStr"/>
      <c r="V21" t="inlineStr">
        <is>
          <t>T2;T12</t>
        </is>
      </c>
      <c r="W21" t="inlineStr">
        <is>
          <t>LOMBARDIA</t>
        </is>
      </c>
      <c r="X21" t="inlineStr"/>
      <c r="Y21" t="inlineStr">
        <is>
          <t>meteo;aria;acqua;agrometeo</t>
        </is>
      </c>
      <c r="Z21" t="inlineStr">
        <is>
          <t>titulo da pagina: ARPA Lombardia | Home Page - ARPA Lombardia</t>
        </is>
      </c>
      <c r="AA21" t="inlineStr">
        <is>
          <t>meta description: Il portale ufficiale di ARPA Lombardia | Agenzia Regionale per la Prot</t>
        </is>
      </c>
      <c r="AB21" t="inlineStr">
        <is>
          <t>CONFIRMA</t>
        </is>
      </c>
      <c r="AC21" t="inlineStr">
        <is>
          <t>nao sorteada</t>
        </is>
      </c>
      <c r="AE21" t="inlineStr"/>
      <c r="AF21" t="inlineStr"/>
    </row>
    <row r="22">
      <c r="A22" t="inlineStr">
        <is>
          <t>IT-DISC-2026-09-14-0021</t>
        </is>
      </c>
      <c r="B22" t="inlineStr">
        <is>
          <t>Agricoltura Regione Lombardia</t>
        </is>
      </c>
      <c r="C22" t="inlineStr">
        <is>
          <t>BASE_OFICIAL</t>
        </is>
      </c>
      <c r="D22" t="inlineStr">
        <is>
          <t>ORG</t>
        </is>
      </c>
      <c r="E22" t="inlineStr">
        <is>
          <t>Regione Lombardia</t>
        </is>
      </c>
      <c r="F22" t="inlineStr">
        <is>
          <t>https://www.agricoltura.regione.lombardia.it/</t>
        </is>
      </c>
      <c r="G22" t="inlineStr">
        <is>
          <t>https://www.ersaf.lombardia.it/it</t>
        </is>
      </c>
      <c r="H22" t="inlineStr">
        <is>
          <t>https://www.ersaf.lombardia.it/montagna/rifugi/it-servizi-alla-montagna-attivita-per-i-territori-montani-2022/</t>
        </is>
      </c>
      <c r="I22" t="n">
        <v>200</v>
      </c>
      <c r="J22" t="inlineStr">
        <is>
          <t>text/html</t>
        </is>
      </c>
      <c r="K22" t="n">
        <v>1</v>
      </c>
      <c r="L22" t="b">
        <v>1</v>
      </c>
      <c r="M22" t="b">
        <v>1</v>
      </c>
      <c r="N22" t="inlineStr">
        <is>
          <t>PROVED_DIRECT</t>
        </is>
      </c>
      <c r="O22" t="inlineStr">
        <is>
          <t>SIM</t>
        </is>
      </c>
      <c r="P22" t="inlineStr">
        <is>
          <t>SIM — dominio .it e conteudo em italiano</t>
        </is>
      </c>
      <c r="Q22" t="inlineStr">
        <is>
          <t>Iscrizione all&amp;#039;elenco regionale dei rifugi alpinistici ed escursionistici -</t>
        </is>
      </c>
      <c r="R22" t="inlineStr">
        <is>
          <t>sonda HTTP read-only (GET limitado, payload nao preservado)</t>
        </is>
      </c>
      <c r="S22" t="inlineStr">
        <is>
          <t>2026-09-14T11:24:24Z</t>
        </is>
      </c>
      <c r="T22" t="inlineStr">
        <is>
          <t>PASS</t>
        </is>
      </c>
      <c r="U22" t="inlineStr"/>
      <c r="V22" t="inlineStr">
        <is>
          <t>T1;T4;T12</t>
        </is>
      </c>
      <c r="W22" t="inlineStr">
        <is>
          <t>LOMBARDIA</t>
        </is>
      </c>
      <c r="X22" t="inlineStr"/>
      <c r="Y22" t="inlineStr">
        <is>
          <t>agricoltura;PSR;fitosanitario</t>
        </is>
      </c>
      <c r="Z22" t="inlineStr">
        <is>
          <t>titulo da pagina: Iscrizione all&amp;#039;elenco regionale dei rifugi alpinistici ed escursi</t>
        </is>
      </c>
      <c r="AA22" t="inlineStr">
        <is>
          <t xml:space="preserve">meta description: Ogni anno, dal 15 febbraio al 15 aprile, i rifugi non ancora iscritti </t>
        </is>
      </c>
      <c r="AB22" t="inlineStr">
        <is>
          <t>nao sorteada</t>
        </is>
      </c>
      <c r="AC22" t="inlineStr">
        <is>
          <t>nao sorteada</t>
        </is>
      </c>
      <c r="AE22" t="inlineStr"/>
      <c r="AF22" t="inlineStr">
        <is>
          <t>dominio nao resolve; ERSAF e o ente regional que serve a funcao</t>
        </is>
      </c>
    </row>
    <row r="23">
      <c r="A23" t="inlineStr">
        <is>
          <t>IT-DISC-2026-09-14-0022</t>
        </is>
      </c>
      <c r="B23" t="inlineStr">
        <is>
          <t>ERSAF Lombardia — Ente Regionale per i Servizi all'Agricoltura e alle Foreste</t>
        </is>
      </c>
      <c r="C23" t="inlineStr">
        <is>
          <t>BASE_OFICIAL</t>
        </is>
      </c>
      <c r="D23" t="inlineStr">
        <is>
          <t>ORG</t>
        </is>
      </c>
      <c r="E23" t="inlineStr">
        <is>
          <t>Regione Lombardia</t>
        </is>
      </c>
      <c r="F23" t="inlineStr">
        <is>
          <t>https://www.ersaf.lombardia.it/</t>
        </is>
      </c>
      <c r="G23" t="inlineStr">
        <is>
          <t>https://www.ersaf.lombardia.it/</t>
        </is>
      </c>
      <c r="H23" t="inlineStr">
        <is>
          <t>https://www.ersaf.lombardia.it/</t>
        </is>
      </c>
      <c r="I23" t="n">
        <v>200</v>
      </c>
      <c r="J23" t="inlineStr">
        <is>
          <t>text/html</t>
        </is>
      </c>
      <c r="K23" t="n">
        <v>0</v>
      </c>
      <c r="L23" t="b">
        <v>1</v>
      </c>
      <c r="M23" t="b">
        <v>1</v>
      </c>
      <c r="N23" t="inlineStr">
        <is>
          <t>PROVED_DIRECT</t>
        </is>
      </c>
      <c r="O23" t="inlineStr">
        <is>
          <t>SIM</t>
        </is>
      </c>
      <c r="P23" t="inlineStr">
        <is>
          <t>SIM — dominio .it e conteudo em italiano</t>
        </is>
      </c>
      <c r="Q23" t="inlineStr">
        <is>
          <t>Home - Ersaf</t>
        </is>
      </c>
      <c r="R23" t="inlineStr">
        <is>
          <t>sonda HTTP read-only (GET limitado, payload nao preservado)</t>
        </is>
      </c>
      <c r="S23" t="inlineStr">
        <is>
          <t>2026-09-14T11:22:33Z</t>
        </is>
      </c>
      <c r="T23" t="inlineStr">
        <is>
          <t>PASS</t>
        </is>
      </c>
      <c r="U23" t="inlineStr"/>
      <c r="V23" t="inlineStr">
        <is>
          <t>T1;T7;T2</t>
        </is>
      </c>
      <c r="W23" t="inlineStr">
        <is>
          <t>LOMBARDIA</t>
        </is>
      </c>
      <c r="X23" t="inlineStr"/>
      <c r="Y23" t="inlineStr">
        <is>
          <t>servizi agricoltura;foreste</t>
        </is>
      </c>
      <c r="Z23" t="inlineStr">
        <is>
          <t>titulo da pagina: Home - Ersaf</t>
        </is>
      </c>
      <c r="AA23" t="inlineStr">
        <is>
          <t>meta description: ERSAF ente regionale servizi agricoltura foreste Lombardia home page</t>
        </is>
      </c>
      <c r="AB23" t="inlineStr">
        <is>
          <t>nao sorteada</t>
        </is>
      </c>
      <c r="AC23" t="inlineStr">
        <is>
          <t>SIM</t>
        </is>
      </c>
      <c r="AE23" t="inlineStr"/>
      <c r="AF23" t="inlineStr"/>
    </row>
    <row r="24">
      <c r="A24" t="inlineStr">
        <is>
          <t>IT-DISC-2026-09-14-0023</t>
        </is>
      </c>
      <c r="B24" t="inlineStr">
        <is>
          <t>Ente Nazionale Risi</t>
        </is>
      </c>
      <c r="C24" t="inlineStr">
        <is>
          <t>BASE_OFICIAL</t>
        </is>
      </c>
      <c r="D24" t="inlineStr">
        <is>
          <t>ORG</t>
        </is>
      </c>
      <c r="E24" t="inlineStr">
        <is>
          <t>Ente Nazionale Risi</t>
        </is>
      </c>
      <c r="F24" t="inlineStr">
        <is>
          <t>https://www.enterisi.it/</t>
        </is>
      </c>
      <c r="G24" t="inlineStr">
        <is>
          <t>http://www.enterisi.it/</t>
        </is>
      </c>
      <c r="H24" t="inlineStr">
        <is>
          <t>http://www.enterisi.it/servizi/notizie/notizie_homepage.aspx</t>
        </is>
      </c>
      <c r="I24" t="n">
        <v>200</v>
      </c>
      <c r="J24" t="inlineStr">
        <is>
          <t>text/html</t>
        </is>
      </c>
      <c r="K24" t="n">
        <v>1</v>
      </c>
      <c r="L24" t="b">
        <v>1</v>
      </c>
      <c r="M24" t="b">
        <v>1</v>
      </c>
      <c r="N24" t="inlineStr">
        <is>
          <t>PROVED_DIRECT</t>
        </is>
      </c>
      <c r="O24" t="inlineStr">
        <is>
          <t>SIM</t>
        </is>
      </c>
      <c r="P24" t="inlineStr">
        <is>
          <t>SIM — dominio .it e conteudo em italiano</t>
        </is>
      </c>
      <c r="Q24" t="inlineStr">
        <is>
          <t>Ente Nazionale Risi</t>
        </is>
      </c>
      <c r="R24" t="inlineStr">
        <is>
          <t>sonda HTTP read-only (GET limitado, payload nao preservado)</t>
        </is>
      </c>
      <c r="S24" t="inlineStr">
        <is>
          <t>2026-09-14T11:24:26Z</t>
        </is>
      </c>
      <c r="T24" t="inlineStr">
        <is>
          <t>PASS</t>
        </is>
      </c>
      <c r="U24" t="inlineStr"/>
      <c r="V24" t="inlineStr">
        <is>
          <t>T1;T10;T4</t>
        </is>
      </c>
      <c r="W24" t="inlineStr">
        <is>
          <t>LOMBARDIA</t>
        </is>
      </c>
      <c r="X24" t="inlineStr">
        <is>
          <t>riso</t>
        </is>
      </c>
      <c r="Y24" t="inlineStr">
        <is>
          <t>riso;mercato;statistiche;varieta</t>
        </is>
      </c>
      <c r="Z24" t="inlineStr">
        <is>
          <t>titulo da pagina: Ente Nazionale Risi</t>
        </is>
      </c>
      <c r="AA24" t="inlineStr">
        <is>
          <t>meta description: Ente Nazionale Risi: Ente Nazionale Risi: L</t>
        </is>
      </c>
      <c r="AB24" t="inlineStr">
        <is>
          <t>nao sorteada</t>
        </is>
      </c>
      <c r="AC24" t="inlineStr">
        <is>
          <t>SIM</t>
        </is>
      </c>
      <c r="AE24" t="inlineStr"/>
      <c r="AF24" t="inlineStr">
        <is>
          <t>handshake TLS recusado; o endereco HTTP serve o ente</t>
        </is>
      </c>
    </row>
    <row r="25">
      <c r="A25" t="inlineStr">
        <is>
          <t>IT-DISC-2026-09-14-0024</t>
        </is>
      </c>
      <c r="B25" t="inlineStr">
        <is>
          <t>ARPA Marche</t>
        </is>
      </c>
      <c r="C25" t="inlineStr">
        <is>
          <t>BASE_OFICIAL</t>
        </is>
      </c>
      <c r="D25" t="inlineStr">
        <is>
          <t>ORG</t>
        </is>
      </c>
      <c r="E25" t="inlineStr">
        <is>
          <t>ARPAM</t>
        </is>
      </c>
      <c r="F25" t="inlineStr">
        <is>
          <t>https://www.arpa.marche.it/</t>
        </is>
      </c>
      <c r="G25" t="inlineStr">
        <is>
          <t>https://www.arpa.marche.it/</t>
        </is>
      </c>
      <c r="H25" t="inlineStr">
        <is>
          <t>https://www.arpa.marche.it/</t>
        </is>
      </c>
      <c r="I25" t="n">
        <v>200</v>
      </c>
      <c r="J25" t="inlineStr">
        <is>
          <t>text/html</t>
        </is>
      </c>
      <c r="K25" t="n">
        <v>0</v>
      </c>
      <c r="L25" t="b">
        <v>1</v>
      </c>
      <c r="M25" t="b">
        <v>1</v>
      </c>
      <c r="N25" t="inlineStr">
        <is>
          <t>PROVED_DIRECT</t>
        </is>
      </c>
      <c r="O25" t="inlineStr">
        <is>
          <t>SIM</t>
        </is>
      </c>
      <c r="P25" t="inlineStr">
        <is>
          <t>SIM — dominio .it e conteudo em italiano</t>
        </is>
      </c>
      <c r="Q25" t="inlineStr">
        <is>
          <t>Arpa Marche - Homepage</t>
        </is>
      </c>
      <c r="R25" t="inlineStr">
        <is>
          <t>sonda HTTP read-only (GET limitado, payload nao preservado)</t>
        </is>
      </c>
      <c r="S25" t="inlineStr">
        <is>
          <t>2026-09-14T11:04:50Z</t>
        </is>
      </c>
      <c r="T25" t="inlineStr">
        <is>
          <t>PASS</t>
        </is>
      </c>
      <c r="U25" t="inlineStr"/>
      <c r="V25" t="inlineStr">
        <is>
          <t>T2;T12</t>
        </is>
      </c>
      <c r="W25" t="inlineStr">
        <is>
          <t>MARCHE</t>
        </is>
      </c>
      <c r="X25" t="inlineStr"/>
      <c r="Y25" t="inlineStr">
        <is>
          <t>ambiente;meteo</t>
        </is>
      </c>
      <c r="Z25" t="inlineStr">
        <is>
          <t>titulo da pagina: Arpa Marche - Homepage</t>
        </is>
      </c>
      <c r="AA25" t="inlineStr">
        <is>
          <t>dominio institucional do dono</t>
        </is>
      </c>
      <c r="AB25" t="inlineStr">
        <is>
          <t>nao sorteada</t>
        </is>
      </c>
      <c r="AC25" t="inlineStr">
        <is>
          <t>nao sorteada</t>
        </is>
      </c>
      <c r="AE25" t="inlineStr"/>
      <c r="AF25" t="inlineStr"/>
    </row>
    <row r="26">
      <c r="A26" t="inlineStr">
        <is>
          <t>IT-DISC-2026-09-14-0025</t>
        </is>
      </c>
      <c r="B26" t="inlineStr">
        <is>
          <t>ASSAM Marche — Agenzia Servizi Settore Agroalimentare delle Marche</t>
        </is>
      </c>
      <c r="C26" t="inlineStr">
        <is>
          <t>BASE_OFICIAL</t>
        </is>
      </c>
      <c r="D26" t="inlineStr">
        <is>
          <t>ORG</t>
        </is>
      </c>
      <c r="E26" t="inlineStr">
        <is>
          <t>Regione Marche</t>
        </is>
      </c>
      <c r="F26" t="inlineStr">
        <is>
          <t>https://www.assam.marche.it/</t>
        </is>
      </c>
      <c r="G26" t="inlineStr">
        <is>
          <t>https://www.assam.marche.it/</t>
        </is>
      </c>
      <c r="H26" t="inlineStr">
        <is>
          <t>https://www.amap.marche.it/pagina-cortesia</t>
        </is>
      </c>
      <c r="I26" t="n">
        <v>200</v>
      </c>
      <c r="J26" t="inlineStr">
        <is>
          <t>text/html</t>
        </is>
      </c>
      <c r="K26" t="n">
        <v>2</v>
      </c>
      <c r="L26" t="b">
        <v>1</v>
      </c>
      <c r="M26" t="b">
        <v>1</v>
      </c>
      <c r="N26" t="inlineStr">
        <is>
          <t>PROVED_DIRECT</t>
        </is>
      </c>
      <c r="O26" t="inlineStr">
        <is>
          <t>SIM</t>
        </is>
      </c>
      <c r="P26" t="inlineStr">
        <is>
          <t>SIM — dominio .it e conteudo em italiano</t>
        </is>
      </c>
      <c r="Q26" t="inlineStr">
        <is>
          <t>Pagina di cortesia</t>
        </is>
      </c>
      <c r="R26" t="inlineStr">
        <is>
          <t>sonda HTTP read-only (GET limitado, payload nao preservado)</t>
        </is>
      </c>
      <c r="S26" t="inlineStr">
        <is>
          <t>2026-09-14T11:04:40Z</t>
        </is>
      </c>
      <c r="T26" t="inlineStr">
        <is>
          <t>PASS</t>
        </is>
      </c>
      <c r="U26" t="inlineStr"/>
      <c r="V26" t="inlineStr">
        <is>
          <t>T3;T2;T7</t>
        </is>
      </c>
      <c r="W26" t="inlineStr">
        <is>
          <t>MARCHE</t>
        </is>
      </c>
      <c r="X26" t="inlineStr"/>
      <c r="Y26" t="inlineStr">
        <is>
          <t>servizio fitosanitario;agrometeo;assistenza tecnica</t>
        </is>
      </c>
      <c r="Z26" t="inlineStr">
        <is>
          <t>titulo da pagina: Pagina di cortesia</t>
        </is>
      </c>
      <c r="AA26" t="inlineStr">
        <is>
          <t>meta description: Sito dell</t>
        </is>
      </c>
      <c r="AB26" t="inlineStr">
        <is>
          <t>nao sorteada</t>
        </is>
      </c>
      <c r="AC26" t="inlineStr">
        <is>
          <t>nao sorteada</t>
        </is>
      </c>
      <c r="AE26" t="inlineStr"/>
      <c r="AF26" t="inlineStr"/>
    </row>
    <row r="27">
      <c r="A27" t="inlineStr">
        <is>
          <t>IT-DISC-2026-09-14-0026</t>
        </is>
      </c>
      <c r="B27" t="inlineStr">
        <is>
          <t>ARPA Molise</t>
        </is>
      </c>
      <c r="C27" t="inlineStr">
        <is>
          <t>BASE_OFICIAL</t>
        </is>
      </c>
      <c r="D27" t="inlineStr">
        <is>
          <t>ORG</t>
        </is>
      </c>
      <c r="E27" t="inlineStr">
        <is>
          <t>ARPA Molise</t>
        </is>
      </c>
      <c r="F27" t="inlineStr">
        <is>
          <t>https://www.arpamolise.it/</t>
        </is>
      </c>
      <c r="G27" t="inlineStr">
        <is>
          <t>https://www.arpamolise.it/</t>
        </is>
      </c>
      <c r="H27" t="inlineStr">
        <is>
          <t>https://www.arpamolise.it/</t>
        </is>
      </c>
      <c r="I27" t="n">
        <v>200</v>
      </c>
      <c r="J27" t="inlineStr">
        <is>
          <t>text/html</t>
        </is>
      </c>
      <c r="K27" t="n">
        <v>0</v>
      </c>
      <c r="L27" t="b">
        <v>1</v>
      </c>
      <c r="M27" t="b">
        <v>1</v>
      </c>
      <c r="N27" t="inlineStr">
        <is>
          <t>PROVED_DIRECT</t>
        </is>
      </c>
      <c r="O27" t="inlineStr">
        <is>
          <t>SIM</t>
        </is>
      </c>
      <c r="P27" t="inlineStr">
        <is>
          <t>SIM — dominio .it e conteudo em italiano</t>
        </is>
      </c>
      <c r="Q27" t="inlineStr">
        <is>
          <t>ARPA Molise &amp;#8211; Arpa Molise</t>
        </is>
      </c>
      <c r="R27" t="inlineStr">
        <is>
          <t>sonda HTTP read-only (GET limitado, payload nao preservado)</t>
        </is>
      </c>
      <c r="S27" t="inlineStr">
        <is>
          <t>2026-09-14T11:04:51Z</t>
        </is>
      </c>
      <c r="T27" t="inlineStr">
        <is>
          <t>PASS</t>
        </is>
      </c>
      <c r="U27" t="inlineStr"/>
      <c r="V27" t="inlineStr">
        <is>
          <t>T2;T12</t>
        </is>
      </c>
      <c r="W27" t="inlineStr">
        <is>
          <t>MOLISE</t>
        </is>
      </c>
      <c r="X27" t="inlineStr"/>
      <c r="Y27" t="inlineStr">
        <is>
          <t>ambiente;meteo</t>
        </is>
      </c>
      <c r="Z27" t="inlineStr">
        <is>
          <t>titulo da pagina: ARPA Molise &amp;#8211; Arpa Molise</t>
        </is>
      </c>
      <c r="AA27" t="inlineStr">
        <is>
          <t>meta description: Arpa Molise</t>
        </is>
      </c>
      <c r="AB27" t="inlineStr">
        <is>
          <t>nao sorteada</t>
        </is>
      </c>
      <c r="AC27" t="inlineStr">
        <is>
          <t>nao sorteada</t>
        </is>
      </c>
      <c r="AE27" t="inlineStr"/>
      <c r="AF27" t="inlineStr"/>
    </row>
    <row r="28">
      <c r="A28" t="inlineStr">
        <is>
          <t>IT-DISC-2026-09-14-0027</t>
        </is>
      </c>
      <c r="B28" t="inlineStr">
        <is>
          <t>Regione Molise — Agricoltura</t>
        </is>
      </c>
      <c r="C28" t="inlineStr">
        <is>
          <t>BASE_OFICIAL</t>
        </is>
      </c>
      <c r="D28" t="inlineStr">
        <is>
          <t>ORG</t>
        </is>
      </c>
      <c r="E28" t="inlineStr">
        <is>
          <t>Regione Molise</t>
        </is>
      </c>
      <c r="F28" t="inlineStr">
        <is>
          <t>https://www.regione.molise.it/flex/cm/pages/ServeBLOB.php/L/IT/IDPagina/11683</t>
        </is>
      </c>
      <c r="G28" t="inlineStr">
        <is>
          <t>https://www.regione.molise.it/</t>
        </is>
      </c>
      <c r="H28" t="inlineStr">
        <is>
          <t>https://www.regione.molise.it/flex/cm/pages/ServeBLOB.php/L/IT/IDPagina/1</t>
        </is>
      </c>
      <c r="I28" t="n">
        <v>200</v>
      </c>
      <c r="J28" t="inlineStr">
        <is>
          <t>text/html</t>
        </is>
      </c>
      <c r="K28" t="n">
        <v>1</v>
      </c>
      <c r="L28" t="b">
        <v>1</v>
      </c>
      <c r="M28" t="b">
        <v>1</v>
      </c>
      <c r="N28" t="inlineStr">
        <is>
          <t>PROVED_DIRECT</t>
        </is>
      </c>
      <c r="O28" t="inlineStr">
        <is>
          <t>SIM</t>
        </is>
      </c>
      <c r="P28" t="inlineStr">
        <is>
          <t>SIM — dominio .it e conteudo em italiano</t>
        </is>
      </c>
      <c r="Q28" t="inlineStr">
        <is>
          <t>Regione Molise - Home</t>
        </is>
      </c>
      <c r="R28" t="inlineStr">
        <is>
          <t>sonda HTTP read-only (GET limitado, payload nao preservado)</t>
        </is>
      </c>
      <c r="S28" t="inlineStr">
        <is>
          <t>2026-09-14T11:22:29Z</t>
        </is>
      </c>
      <c r="T28" t="inlineStr">
        <is>
          <t>PASS</t>
        </is>
      </c>
      <c r="U28" t="inlineStr"/>
      <c r="V28" t="inlineStr">
        <is>
          <t>T1;T4</t>
        </is>
      </c>
      <c r="W28" t="inlineStr">
        <is>
          <t>MOLISE</t>
        </is>
      </c>
      <c r="X28" t="inlineStr"/>
      <c r="Y28" t="inlineStr">
        <is>
          <t>agricoltura;PSR</t>
        </is>
      </c>
      <c r="Z28" t="inlineStr">
        <is>
          <t>titulo da pagina: Regione Molise - Home</t>
        </is>
      </c>
      <c r="AA28" t="inlineStr">
        <is>
          <t>dominio institucional do dono</t>
        </is>
      </c>
      <c r="AB28" t="inlineStr">
        <is>
          <t>nao sorteada</t>
        </is>
      </c>
      <c r="AC28" t="inlineStr">
        <is>
          <t>nao sorteada</t>
        </is>
      </c>
      <c r="AE28" t="inlineStr"/>
      <c r="AF28" t="inlineStr">
        <is>
          <t>caminho instavel; raiz responde</t>
        </is>
      </c>
    </row>
    <row r="29">
      <c r="A29" t="inlineStr">
        <is>
          <t>IT-DISC-2026-09-14-0028</t>
        </is>
      </c>
      <c r="B29" t="inlineStr">
        <is>
          <t>ISMEA — Istituto di Servizi per il Mercato Agricolo Alimentare</t>
        </is>
      </c>
      <c r="C29" t="inlineStr">
        <is>
          <t>BASE_OFICIAL</t>
        </is>
      </c>
      <c r="D29" t="inlineStr">
        <is>
          <t>ORG</t>
        </is>
      </c>
      <c r="E29" t="inlineStr">
        <is>
          <t>ISMEA</t>
        </is>
      </c>
      <c r="F29" t="inlineStr">
        <is>
          <t>https://www.ismea.it/</t>
        </is>
      </c>
      <c r="G29" t="inlineStr">
        <is>
          <t>https://www.ismea.it/</t>
        </is>
      </c>
      <c r="H29" t="inlineStr">
        <is>
          <t>https://www.ismea.it/istituto-di-servizi-per-il-mercato-agricolo-alimentare</t>
        </is>
      </c>
      <c r="I29" t="n">
        <v>200</v>
      </c>
      <c r="J29" t="inlineStr">
        <is>
          <t>text/html</t>
        </is>
      </c>
      <c r="K29" t="n">
        <v>1</v>
      </c>
      <c r="L29" t="b">
        <v>1</v>
      </c>
      <c r="M29" t="b">
        <v>1</v>
      </c>
      <c r="N29" t="inlineStr">
        <is>
          <t>PROVED_DIRECT</t>
        </is>
      </c>
      <c r="O29" t="inlineStr">
        <is>
          <t>SIM</t>
        </is>
      </c>
      <c r="P29" t="inlineStr">
        <is>
          <t>SIM — dominio .it e conteudo em italiano</t>
        </is>
      </c>
      <c r="Q29" t="inlineStr">
        <is>
          <t>Ismea - Istituto di Servizi per il Mercato Agricolo Alimentare - Ismea</t>
        </is>
      </c>
      <c r="R29" t="inlineStr">
        <is>
          <t>sonda HTTP read-only (GET limitado, payload nao preservado) + cadeia TLS completada por AIA</t>
        </is>
      </c>
      <c r="S29" t="inlineStr">
        <is>
          <t>2026-09-14T11:04:30Z</t>
        </is>
      </c>
      <c r="T29" t="inlineStr">
        <is>
          <t>PASS</t>
        </is>
      </c>
      <c r="U29" t="inlineStr"/>
      <c r="V29" t="inlineStr">
        <is>
          <t>T10;T12</t>
        </is>
      </c>
      <c r="W29" t="inlineStr">
        <is>
          <t>NAZIONALE</t>
        </is>
      </c>
      <c r="X29" t="inlineStr"/>
      <c r="Y29" t="inlineStr">
        <is>
          <t>mercati;credito;filiere</t>
        </is>
      </c>
      <c r="Z29" t="inlineStr">
        <is>
          <t>titulo da pagina: Ismea - Istituto di Servizi per il Mercato Agricolo Alimentare - Ismea</t>
        </is>
      </c>
      <c r="AA29" t="inlineStr">
        <is>
          <t xml:space="preserve">meta description: L&amp;#039;ISMEA (Istituto di Servizi per il Mercato Agricolo Alimentare) </t>
        </is>
      </c>
      <c r="AB29" t="inlineStr">
        <is>
          <t>nao sorteada</t>
        </is>
      </c>
      <c r="AC29" t="inlineStr">
        <is>
          <t>nao sorteada</t>
        </is>
      </c>
      <c r="AE29" t="inlineStr">
        <is>
          <t>VIA_CURL_TLS_FALLBACK</t>
        </is>
      </c>
      <c r="AF29" t="inlineStr"/>
    </row>
    <row r="30">
      <c r="A30" t="inlineStr">
        <is>
          <t>IT-DISC-2026-09-14-0029</t>
        </is>
      </c>
      <c r="B30" t="inlineStr">
        <is>
          <t>ISPRA — Istituto Superiore per la Protezione e la Ricerca Ambientale</t>
        </is>
      </c>
      <c r="C30" t="inlineStr">
        <is>
          <t>BASE_OFICIAL</t>
        </is>
      </c>
      <c r="D30" t="inlineStr">
        <is>
          <t>ORG</t>
        </is>
      </c>
      <c r="E30" t="inlineStr">
        <is>
          <t>ISPRA</t>
        </is>
      </c>
      <c r="F30" t="inlineStr">
        <is>
          <t>https://www.isprambiente.gov.it/</t>
        </is>
      </c>
      <c r="G30" t="inlineStr">
        <is>
          <t>https://www.isprambiente.gov.it/</t>
        </is>
      </c>
      <c r="H30" t="inlineStr">
        <is>
          <t>https://www.isprambiente.gov.it/it</t>
        </is>
      </c>
      <c r="I30" t="n">
        <v>200</v>
      </c>
      <c r="J30" t="inlineStr">
        <is>
          <t>text/html</t>
        </is>
      </c>
      <c r="K30" t="n">
        <v>1</v>
      </c>
      <c r="L30" t="b">
        <v>1</v>
      </c>
      <c r="M30" t="b">
        <v>1</v>
      </c>
      <c r="N30" t="inlineStr">
        <is>
          <t>PROVED_DIRECT</t>
        </is>
      </c>
      <c r="O30" t="inlineStr">
        <is>
          <t>SIM</t>
        </is>
      </c>
      <c r="P30" t="inlineStr">
        <is>
          <t>SIM — dominio .it e conteudo em italiano</t>
        </is>
      </c>
      <c r="Q30" t="inlineStr">
        <is>
          <t>homepage — Italiano</t>
        </is>
      </c>
      <c r="R30" t="inlineStr">
        <is>
          <t>sonda HTTP read-only (GET limitado, payload nao preservado)</t>
        </is>
      </c>
      <c r="S30" t="inlineStr">
        <is>
          <t>2026-09-14T11:04:30Z</t>
        </is>
      </c>
      <c r="T30" t="inlineStr">
        <is>
          <t>PASS</t>
        </is>
      </c>
      <c r="U30" t="inlineStr"/>
      <c r="V30" t="inlineStr">
        <is>
          <t>T2;T12</t>
        </is>
      </c>
      <c r="W30" t="inlineStr">
        <is>
          <t>NAZIONALE</t>
        </is>
      </c>
      <c r="X30" t="inlineStr"/>
      <c r="Y30" t="inlineStr">
        <is>
          <t>ambiente;acque;suolo;indicatori</t>
        </is>
      </c>
      <c r="Z30" t="inlineStr">
        <is>
          <t>titulo da pagina: homepage — Italiano</t>
        </is>
      </c>
      <c r="AA30" t="inlineStr">
        <is>
          <t>dominio institucional do dono</t>
        </is>
      </c>
      <c r="AB30" t="inlineStr">
        <is>
          <t>nao sorteada</t>
        </is>
      </c>
      <c r="AC30" t="inlineStr">
        <is>
          <t>nao sorteada</t>
        </is>
      </c>
      <c r="AE30" t="inlineStr"/>
      <c r="AF30" t="inlineStr"/>
    </row>
    <row r="31">
      <c r="A31" t="inlineStr">
        <is>
          <t>IT-DISC-2026-09-14-0030</t>
        </is>
      </c>
      <c r="B31" t="inlineStr">
        <is>
          <t>Rete Rurale Nazionale</t>
        </is>
      </c>
      <c r="C31" t="inlineStr">
        <is>
          <t>BASE_OFICIAL</t>
        </is>
      </c>
      <c r="D31" t="inlineStr">
        <is>
          <t>ORG</t>
        </is>
      </c>
      <c r="E31" t="inlineStr">
        <is>
          <t>MASAF — Rete Rurale Nazionale</t>
        </is>
      </c>
      <c r="F31" t="inlineStr">
        <is>
          <t>https://www.reterurale.it/</t>
        </is>
      </c>
      <c r="G31" t="inlineStr">
        <is>
          <t>https://www.reterurale.it/</t>
        </is>
      </c>
      <c r="H31" t="inlineStr">
        <is>
          <t>https://www.reterurale.it/flex/cm/pages/ServeBLOB.php/L/IT/IDPagina/1</t>
        </is>
      </c>
      <c r="I31" t="n">
        <v>200</v>
      </c>
      <c r="J31" t="inlineStr">
        <is>
          <t>text/html</t>
        </is>
      </c>
      <c r="K31" t="n">
        <v>2</v>
      </c>
      <c r="L31" t="b">
        <v>1</v>
      </c>
      <c r="M31" t="b">
        <v>1</v>
      </c>
      <c r="N31" t="inlineStr">
        <is>
          <t>PROVED_DIRECT</t>
        </is>
      </c>
      <c r="O31" t="inlineStr">
        <is>
          <t>SIM</t>
        </is>
      </c>
      <c r="P31" t="inlineStr">
        <is>
          <t>SIM — dominio .it e conteudo em italiano</t>
        </is>
      </c>
      <c r="Q31" t="inlineStr">
        <is>
          <t>Rete PAC</t>
        </is>
      </c>
      <c r="R31" t="inlineStr">
        <is>
          <t>sonda HTTP read-only (GET limitado, payload nao preservado)</t>
        </is>
      </c>
      <c r="S31" t="inlineStr">
        <is>
          <t>2026-09-14T11:04:31Z</t>
        </is>
      </c>
      <c r="T31" t="inlineStr">
        <is>
          <t>PASS</t>
        </is>
      </c>
      <c r="U31" t="inlineStr"/>
      <c r="V31" t="inlineStr">
        <is>
          <t>T12;T7</t>
        </is>
      </c>
      <c r="W31" t="inlineStr">
        <is>
          <t>NAZIONALE</t>
        </is>
      </c>
      <c r="X31" t="inlineStr"/>
      <c r="Y31" t="inlineStr">
        <is>
          <t>PSR;sviluppo rurale;CAP</t>
        </is>
      </c>
      <c r="Z31" t="inlineStr">
        <is>
          <t>titulo da pagina: Rete PAC</t>
        </is>
      </c>
      <c r="AA31" t="inlineStr">
        <is>
          <t>meta description: Rete Nazionale della PAC.</t>
        </is>
      </c>
      <c r="AB31" t="inlineStr">
        <is>
          <t>nao sorteada</t>
        </is>
      </c>
      <c r="AC31" t="inlineStr">
        <is>
          <t>nao sorteada</t>
        </is>
      </c>
      <c r="AE31" t="inlineStr"/>
      <c r="AF31" t="inlineStr"/>
    </row>
    <row r="32">
      <c r="A32" t="inlineStr">
        <is>
          <t>IT-DISC-2026-09-14-0031</t>
        </is>
      </c>
      <c r="B32" t="inlineStr">
        <is>
          <t>SIAN — Sistema Informativo Agricolo Nazionale</t>
        </is>
      </c>
      <c r="C32" t="inlineStr">
        <is>
          <t>BASE_OFICIAL</t>
        </is>
      </c>
      <c r="D32" t="inlineStr">
        <is>
          <t>ORG</t>
        </is>
      </c>
      <c r="E32" t="inlineStr">
        <is>
          <t>MASAF/AGEA</t>
        </is>
      </c>
      <c r="F32" t="inlineStr">
        <is>
          <t>https://www.sian.it/</t>
        </is>
      </c>
      <c r="G32" t="inlineStr">
        <is>
          <t>https://www.sian.it/</t>
        </is>
      </c>
      <c r="H32" t="inlineStr">
        <is>
          <t>https://www.sian.it/portale/</t>
        </is>
      </c>
      <c r="I32" t="n">
        <v>200</v>
      </c>
      <c r="J32" t="inlineStr">
        <is>
          <t>text/html</t>
        </is>
      </c>
      <c r="K32" t="n">
        <v>2</v>
      </c>
      <c r="L32" t="b">
        <v>1</v>
      </c>
      <c r="M32" t="b">
        <v>1</v>
      </c>
      <c r="N32" t="inlineStr">
        <is>
          <t>PROVED_DIRECT</t>
        </is>
      </c>
      <c r="O32" t="inlineStr">
        <is>
          <t>SIM</t>
        </is>
      </c>
      <c r="P32" t="inlineStr">
        <is>
          <t>SIM — dominio .it e conteudo em italiano</t>
        </is>
      </c>
      <c r="Q32" t="inlineStr">
        <is>
          <t>SIAN</t>
        </is>
      </c>
      <c r="R32" t="inlineStr">
        <is>
          <t>sonda HTTP read-only (GET limitado, payload nao preservado)</t>
        </is>
      </c>
      <c r="S32" t="inlineStr">
        <is>
          <t>2026-09-14T11:04:30Z</t>
        </is>
      </c>
      <c r="T32" t="inlineStr">
        <is>
          <t>PASS</t>
        </is>
      </c>
      <c r="U32" t="inlineStr"/>
      <c r="V32" t="inlineStr">
        <is>
          <t>T4;T12</t>
        </is>
      </c>
      <c r="W32" t="inlineStr">
        <is>
          <t>NAZIONALE</t>
        </is>
      </c>
      <c r="X32" t="inlineStr"/>
      <c r="Y32" t="inlineStr">
        <is>
          <t>fascicolo aziendale;dati agricoli</t>
        </is>
      </c>
      <c r="Z32" t="inlineStr">
        <is>
          <t>titulo da pagina: SIAN</t>
        </is>
      </c>
      <c r="AA32" t="inlineStr">
        <is>
          <t>dominio institucional do dono</t>
        </is>
      </c>
      <c r="AB32" t="inlineStr">
        <is>
          <t>nao sorteada</t>
        </is>
      </c>
      <c r="AC32" t="inlineStr">
        <is>
          <t>SIM</t>
        </is>
      </c>
      <c r="AE32" t="inlineStr"/>
      <c r="AF32" t="inlineStr"/>
    </row>
    <row r="33">
      <c r="A33" t="inlineStr">
        <is>
          <t>IT-DISC-2026-09-14-0032</t>
        </is>
      </c>
      <c r="B33" t="inlineStr">
        <is>
          <t>Servizio Fitosanitario Nazionale — Protezione delle Piante</t>
        </is>
      </c>
      <c r="C33" t="inlineStr">
        <is>
          <t>BASE_OFICIAL</t>
        </is>
      </c>
      <c r="D33" t="inlineStr">
        <is>
          <t>ORG</t>
        </is>
      </c>
      <c r="E33" t="inlineStr">
        <is>
          <t>MASAF — Servizio Fitosanitario Centrale</t>
        </is>
      </c>
      <c r="F33" t="inlineStr">
        <is>
          <t>https://www.protezionedellepiante.it/</t>
        </is>
      </c>
      <c r="G33" t="inlineStr">
        <is>
          <t>https://www.protezionedellepiante.it/</t>
        </is>
      </c>
      <c r="H33" t="inlineStr">
        <is>
          <t>https://www.protezionedellepiante.it/</t>
        </is>
      </c>
      <c r="I33" t="n">
        <v>200</v>
      </c>
      <c r="J33" t="inlineStr">
        <is>
          <t>text/html</t>
        </is>
      </c>
      <c r="K33" t="n">
        <v>0</v>
      </c>
      <c r="L33" t="b">
        <v>1</v>
      </c>
      <c r="M33" t="b">
        <v>1</v>
      </c>
      <c r="N33" t="inlineStr">
        <is>
          <t>PROVED_DIRECT</t>
        </is>
      </c>
      <c r="O33" t="inlineStr">
        <is>
          <t>SIM</t>
        </is>
      </c>
      <c r="P33" t="inlineStr">
        <is>
          <t>SIM — dominio .it e conteudo em italiano</t>
        </is>
      </c>
      <c r="Q33" t="inlineStr">
        <is>
          <t>Home - Protezione delle piante</t>
        </is>
      </c>
      <c r="R33" t="inlineStr">
        <is>
          <t>sonda HTTP read-only (GET limitado, payload nao preservado)</t>
        </is>
      </c>
      <c r="S33" t="inlineStr">
        <is>
          <t>2026-09-14T11:04:30Z</t>
        </is>
      </c>
      <c r="T33" t="inlineStr">
        <is>
          <t>PASS</t>
        </is>
      </c>
      <c r="U33" t="inlineStr"/>
      <c r="V33" t="inlineStr">
        <is>
          <t>T3;T4</t>
        </is>
      </c>
      <c r="W33" t="inlineStr">
        <is>
          <t>NAZIONALE</t>
        </is>
      </c>
      <c r="X33" t="inlineStr"/>
      <c r="Y33" t="inlineStr">
        <is>
          <t>fitosanitario;organismi nocivi;quarantena</t>
        </is>
      </c>
      <c r="Z33" t="inlineStr">
        <is>
          <t>titulo da pagina: Home - Protezione delle piante</t>
        </is>
      </c>
      <c r="AA33" t="inlineStr">
        <is>
          <t>dominio institucional do dono</t>
        </is>
      </c>
      <c r="AB33" t="inlineStr">
        <is>
          <t>nao sorteada</t>
        </is>
      </c>
      <c r="AC33" t="inlineStr">
        <is>
          <t>SIM</t>
        </is>
      </c>
      <c r="AE33" t="inlineStr"/>
      <c r="AF33" t="inlineStr"/>
    </row>
    <row r="34">
      <c r="A34" t="inlineStr">
        <is>
          <t>IT-DISC-2026-09-14-0033</t>
        </is>
      </c>
      <c r="B34" t="inlineStr">
        <is>
          <t>ARPA Piemonte</t>
        </is>
      </c>
      <c r="C34" t="inlineStr">
        <is>
          <t>BASE_OFICIAL</t>
        </is>
      </c>
      <c r="D34" t="inlineStr">
        <is>
          <t>ORG</t>
        </is>
      </c>
      <c r="E34" t="inlineStr">
        <is>
          <t>ARPA Piemonte</t>
        </is>
      </c>
      <c r="F34" t="inlineStr">
        <is>
          <t>https://www.arpa.piemonte.it/</t>
        </is>
      </c>
      <c r="G34" t="inlineStr">
        <is>
          <t>https://www.arpa.piemonte.it/</t>
        </is>
      </c>
      <c r="H34" t="inlineStr">
        <is>
          <t>https://www.arpa.piemonte.it/</t>
        </is>
      </c>
      <c r="I34" t="n">
        <v>200</v>
      </c>
      <c r="J34" t="inlineStr">
        <is>
          <t>text/html</t>
        </is>
      </c>
      <c r="K34" t="n">
        <v>0</v>
      </c>
      <c r="L34" t="b">
        <v>1</v>
      </c>
      <c r="M34" t="b">
        <v>1</v>
      </c>
      <c r="N34" t="inlineStr">
        <is>
          <t>PROVED_DIRECT</t>
        </is>
      </c>
      <c r="O34" t="inlineStr">
        <is>
          <t>SIM</t>
        </is>
      </c>
      <c r="P34" t="inlineStr">
        <is>
          <t>SIM — dominio .it e conteudo em italiano</t>
        </is>
      </c>
      <c r="Q34" t="inlineStr">
        <is>
          <t>Home page | Arpa Piemonte</t>
        </is>
      </c>
      <c r="R34" t="inlineStr">
        <is>
          <t>sonda HTTP read-only (GET limitado, payload nao preservado)</t>
        </is>
      </c>
      <c r="S34" t="inlineStr">
        <is>
          <t>2026-09-14T11:04:47Z</t>
        </is>
      </c>
      <c r="T34" t="inlineStr">
        <is>
          <t>PASS</t>
        </is>
      </c>
      <c r="U34" t="inlineStr"/>
      <c r="V34" t="inlineStr">
        <is>
          <t>T2;T12</t>
        </is>
      </c>
      <c r="W34" t="inlineStr">
        <is>
          <t>PIEMONTE</t>
        </is>
      </c>
      <c r="X34" t="inlineStr"/>
      <c r="Y34" t="inlineStr">
        <is>
          <t>meteo;clima;agrometeorologia</t>
        </is>
      </c>
      <c r="Z34" t="inlineStr">
        <is>
          <t>titulo da pagina: Home page | Arpa Piemonte</t>
        </is>
      </c>
      <c r="AA34" t="inlineStr">
        <is>
          <t>dominio institucional do dono</t>
        </is>
      </c>
      <c r="AB34" t="inlineStr">
        <is>
          <t>nao sorteada</t>
        </is>
      </c>
      <c r="AC34" t="inlineStr">
        <is>
          <t>nao sorteada</t>
        </is>
      </c>
      <c r="AE34" t="inlineStr"/>
      <c r="AF34" t="inlineStr"/>
    </row>
    <row r="35">
      <c r="A35" t="inlineStr">
        <is>
          <t>IT-DISC-2026-09-14-0034</t>
        </is>
      </c>
      <c r="B35" t="inlineStr">
        <is>
          <t>Regione Piemonte — Agricoltura e cibo</t>
        </is>
      </c>
      <c r="C35" t="inlineStr">
        <is>
          <t>BASE_OFICIAL</t>
        </is>
      </c>
      <c r="D35" t="inlineStr">
        <is>
          <t>ORG</t>
        </is>
      </c>
      <c r="E35" t="inlineStr">
        <is>
          <t>Regione Piemonte</t>
        </is>
      </c>
      <c r="F35" t="inlineStr">
        <is>
          <t>https://www.regione.piemonte.it/web/temi/agricoltura</t>
        </is>
      </c>
      <c r="G35" t="inlineStr">
        <is>
          <t>https://www.regione.piemonte.it/web/temi/agricoltura</t>
        </is>
      </c>
      <c r="H35" t="inlineStr">
        <is>
          <t>https://www.regione.piemonte.it/web/temi/agricoltura</t>
        </is>
      </c>
      <c r="I35" t="n">
        <v>200</v>
      </c>
      <c r="J35" t="inlineStr">
        <is>
          <t>text/html</t>
        </is>
      </c>
      <c r="K35" t="n">
        <v>0</v>
      </c>
      <c r="L35" t="b">
        <v>1</v>
      </c>
      <c r="M35" t="b">
        <v>1</v>
      </c>
      <c r="N35" t="inlineStr">
        <is>
          <t>PROVED_DIRECT</t>
        </is>
      </c>
      <c r="O35" t="inlineStr">
        <is>
          <t>SIM</t>
        </is>
      </c>
      <c r="P35" t="inlineStr">
        <is>
          <t>SIM — dominio .it e conteudo em italiano</t>
        </is>
      </c>
      <c r="Q35" t="inlineStr">
        <is>
          <t>Agricoltura | Regione Piemonte</t>
        </is>
      </c>
      <c r="R35" t="inlineStr">
        <is>
          <t>sonda HTTP read-only (GET limitado, payload nao preservado)</t>
        </is>
      </c>
      <c r="S35" t="inlineStr">
        <is>
          <t>2026-09-14T11:04:42Z</t>
        </is>
      </c>
      <c r="T35" t="inlineStr">
        <is>
          <t>PASS</t>
        </is>
      </c>
      <c r="U35" t="inlineStr"/>
      <c r="V35" t="inlineStr">
        <is>
          <t>T1;T4;T3</t>
        </is>
      </c>
      <c r="W35" t="inlineStr">
        <is>
          <t>PIEMONTE</t>
        </is>
      </c>
      <c r="X35" t="inlineStr"/>
      <c r="Y35" t="inlineStr">
        <is>
          <t>agricoltura;fitosanitario;PSR</t>
        </is>
      </c>
      <c r="Z35" t="inlineStr">
        <is>
          <t>titulo da pagina: Agricoltura | Regione Piemonte</t>
        </is>
      </c>
      <c r="AA35" t="inlineStr">
        <is>
          <t>dominio institucional do dono</t>
        </is>
      </c>
      <c r="AB35" t="inlineStr">
        <is>
          <t>nao sorteada</t>
        </is>
      </c>
      <c r="AC35" t="inlineStr">
        <is>
          <t>nao sorteada</t>
        </is>
      </c>
      <c r="AE35" t="inlineStr"/>
      <c r="AF35" t="inlineStr"/>
    </row>
    <row r="36">
      <c r="A36" t="inlineStr">
        <is>
          <t>IT-DISC-2026-09-14-0035</t>
        </is>
      </c>
      <c r="B36" t="inlineStr">
        <is>
          <t>ARPA Puglia</t>
        </is>
      </c>
      <c r="C36" t="inlineStr">
        <is>
          <t>BASE_OFICIAL</t>
        </is>
      </c>
      <c r="D36" t="inlineStr">
        <is>
          <t>ORG</t>
        </is>
      </c>
      <c r="E36" t="inlineStr">
        <is>
          <t>ARPA Puglia</t>
        </is>
      </c>
      <c r="F36" t="inlineStr">
        <is>
          <t>https://www.arpa.puglia.it/</t>
        </is>
      </c>
      <c r="G36" t="inlineStr">
        <is>
          <t>https://www.arpa.puglia.it/</t>
        </is>
      </c>
      <c r="H36" t="inlineStr">
        <is>
          <t>https://www.arpa.puglia.it/</t>
        </is>
      </c>
      <c r="I36" t="n">
        <v>200</v>
      </c>
      <c r="J36" t="inlineStr">
        <is>
          <t>text/html</t>
        </is>
      </c>
      <c r="K36" t="n">
        <v>0</v>
      </c>
      <c r="L36" t="b">
        <v>1</v>
      </c>
      <c r="M36" t="b">
        <v>1</v>
      </c>
      <c r="N36" t="inlineStr">
        <is>
          <t>PROVED_DIRECT</t>
        </is>
      </c>
      <c r="O36" t="inlineStr">
        <is>
          <t>SIM</t>
        </is>
      </c>
      <c r="P36" t="inlineStr">
        <is>
          <t>SIM — dominio .it e conteudo em italiano</t>
        </is>
      </c>
      <c r="Q36" t="inlineStr">
        <is>
          <t>Agenzia Regionale per la Prevenzione e la Protezione dell'Ambiente - Home Page</t>
        </is>
      </c>
      <c r="R36" t="inlineStr">
        <is>
          <t>sonda HTTP read-only (GET limitado, payload nao preservado) + cadeia TLS completada por AIA</t>
        </is>
      </c>
      <c r="S36" t="inlineStr">
        <is>
          <t>2026-09-14T11:04:48Z</t>
        </is>
      </c>
      <c r="T36" t="inlineStr">
        <is>
          <t>PASS</t>
        </is>
      </c>
      <c r="U36" t="inlineStr"/>
      <c r="V36" t="inlineStr">
        <is>
          <t>T2;T12</t>
        </is>
      </c>
      <c r="W36" t="inlineStr">
        <is>
          <t>PUGLIA</t>
        </is>
      </c>
      <c r="X36" t="inlineStr"/>
      <c r="Y36" t="inlineStr">
        <is>
          <t>ambiente;meteo;monitoraggio</t>
        </is>
      </c>
      <c r="Z36" t="inlineStr">
        <is>
          <t>titulo da pagina: Agenzia Regionale per la Prevenzione e la Protezione dell'Ambiente - H</t>
        </is>
      </c>
      <c r="AA36" t="inlineStr">
        <is>
          <t>meta description: Il portale istituzionale dell&amp;#039;Agenzia Regionale per la Prevenzion</t>
        </is>
      </c>
      <c r="AB36" t="inlineStr">
        <is>
          <t>CONFIRMA</t>
        </is>
      </c>
      <c r="AC36" t="inlineStr">
        <is>
          <t>SIM</t>
        </is>
      </c>
      <c r="AE36" t="inlineStr">
        <is>
          <t>VIA_CURL_TLS_FALLBACK</t>
        </is>
      </c>
      <c r="AF36" t="inlineStr"/>
    </row>
    <row r="37">
      <c r="A37" t="inlineStr">
        <is>
          <t>IT-DISC-2026-09-14-0036</t>
        </is>
      </c>
      <c r="B37" t="inlineStr">
        <is>
          <t>AGRIS Sardegna — Agenzia per la ricerca in agricoltura</t>
        </is>
      </c>
      <c r="C37" t="inlineStr">
        <is>
          <t>BASE_OFICIAL</t>
        </is>
      </c>
      <c r="D37" t="inlineStr">
        <is>
          <t>ORG</t>
        </is>
      </c>
      <c r="E37" t="inlineStr">
        <is>
          <t>Regione Sardegna — AGRIS</t>
        </is>
      </c>
      <c r="F37" t="inlineStr">
        <is>
          <t>https://www.sardegnaagricoltura.it/agris/</t>
        </is>
      </c>
      <c r="G37" t="inlineStr">
        <is>
          <t>https://www.sardegnaagricoltura.it/index.php?xsl=443</t>
        </is>
      </c>
      <c r="H37" t="inlineStr">
        <is>
          <t>https://www.sardegnaagricoltura.it/index.php?xsl=443</t>
        </is>
      </c>
      <c r="I37" t="n">
        <v>200</v>
      </c>
      <c r="J37" t="inlineStr">
        <is>
          <t>text/html</t>
        </is>
      </c>
      <c r="K37" t="n">
        <v>0</v>
      </c>
      <c r="L37" t="b">
        <v>1</v>
      </c>
      <c r="M37" t="b">
        <v>1</v>
      </c>
      <c r="N37" t="inlineStr">
        <is>
          <t>PROVED_DIRECT</t>
        </is>
      </c>
      <c r="O37" t="inlineStr">
        <is>
          <t>SIM</t>
        </is>
      </c>
      <c r="P37" t="inlineStr">
        <is>
          <t>SIM — dominio .it e conteudo em italiano</t>
        </is>
      </c>
      <c r="Q37" t="inlineStr">
        <is>
          <t>Sardegna Agricoltura -</t>
        </is>
      </c>
      <c r="R37" t="inlineStr">
        <is>
          <t>sonda HTTP read-only (GET limitado, payload nao preservado)</t>
        </is>
      </c>
      <c r="S37" t="inlineStr">
        <is>
          <t>2026-09-14T11:06:34Z</t>
        </is>
      </c>
      <c r="T37" t="inlineStr">
        <is>
          <t>PASS</t>
        </is>
      </c>
      <c r="U37" t="inlineStr"/>
      <c r="V37" t="inlineStr">
        <is>
          <t>T5;T1</t>
        </is>
      </c>
      <c r="W37" t="inlineStr">
        <is>
          <t>SARDEGNA</t>
        </is>
      </c>
      <c r="X37" t="inlineStr"/>
      <c r="Y37" t="inlineStr">
        <is>
          <t>ricerca agricola;sperimentazione</t>
        </is>
      </c>
      <c r="Z37" t="inlineStr">
        <is>
          <t>titulo da pagina: Sardegna Agricoltura -</t>
        </is>
      </c>
      <c r="AA37" t="inlineStr">
        <is>
          <t>dominio institucional do dono</t>
        </is>
      </c>
      <c r="AB37" t="inlineStr">
        <is>
          <t>nao sorteada</t>
        </is>
      </c>
      <c r="AC37" t="inlineStr">
        <is>
          <t>nao sorteada</t>
        </is>
      </c>
      <c r="AE37" t="inlineStr"/>
      <c r="AF37" t="inlineStr">
        <is>
          <t>caminho /agris/ devolve 404; a rota real usa parametro xsl</t>
        </is>
      </c>
    </row>
    <row r="38">
      <c r="A38" t="inlineStr">
        <is>
          <t>IT-DISC-2026-09-14-0037</t>
        </is>
      </c>
      <c r="B38" t="inlineStr">
        <is>
          <t>ARPA Sardegna</t>
        </is>
      </c>
      <c r="C38" t="inlineStr">
        <is>
          <t>BASE_OFICIAL</t>
        </is>
      </c>
      <c r="D38" t="inlineStr">
        <is>
          <t>ORG</t>
        </is>
      </c>
      <c r="E38" t="inlineStr">
        <is>
          <t>ARPAS</t>
        </is>
      </c>
      <c r="F38" t="inlineStr">
        <is>
          <t>https://www.arpa.sardegna.it/</t>
        </is>
      </c>
      <c r="G38" t="inlineStr">
        <is>
          <t>https://www.arpa.sardegna.it/</t>
        </is>
      </c>
      <c r="H38" t="inlineStr">
        <is>
          <t>https://www.arpa.sardegna.it/</t>
        </is>
      </c>
      <c r="I38" t="n">
        <v>200</v>
      </c>
      <c r="J38" t="inlineStr">
        <is>
          <t>text/html</t>
        </is>
      </c>
      <c r="K38" t="n">
        <v>0</v>
      </c>
      <c r="L38" t="b">
        <v>1</v>
      </c>
      <c r="M38" t="b">
        <v>1</v>
      </c>
      <c r="N38" t="inlineStr">
        <is>
          <t>PROVED_DIRECT</t>
        </is>
      </c>
      <c r="O38" t="inlineStr">
        <is>
          <t>SIM</t>
        </is>
      </c>
      <c r="P38" t="inlineStr">
        <is>
          <t>SIM — dominio .it e conteudo em italiano</t>
        </is>
      </c>
      <c r="Q38" t="inlineStr"/>
      <c r="R38" t="inlineStr">
        <is>
          <t>sonda HTTP read-only (GET limitado, payload nao preservado)</t>
        </is>
      </c>
      <c r="S38" t="inlineStr">
        <is>
          <t>2026-09-14T11:04:53Z</t>
        </is>
      </c>
      <c r="T38" t="inlineStr">
        <is>
          <t>PASS</t>
        </is>
      </c>
      <c r="U38" t="inlineStr"/>
      <c r="V38" t="inlineStr">
        <is>
          <t>T2;T12</t>
        </is>
      </c>
      <c r="W38" t="inlineStr">
        <is>
          <t>SARDEGNA</t>
        </is>
      </c>
      <c r="X38" t="inlineStr"/>
      <c r="Y38" t="inlineStr">
        <is>
          <t>meteo;agrometeorologia;ambiente</t>
        </is>
      </c>
      <c r="Z38" t="inlineStr">
        <is>
          <t xml:space="preserve">titulo da pagina: </t>
        </is>
      </c>
      <c r="AA38" t="inlineStr">
        <is>
          <t>dominio institucional do dono</t>
        </is>
      </c>
      <c r="AB38" t="inlineStr">
        <is>
          <t>nao sorteada</t>
        </is>
      </c>
      <c r="AC38" t="inlineStr">
        <is>
          <t>nao sorteada</t>
        </is>
      </c>
      <c r="AE38" t="inlineStr">
        <is>
          <t>THIN_BODY</t>
        </is>
      </c>
      <c r="AF38" t="inlineStr"/>
    </row>
    <row r="39">
      <c r="A39" t="inlineStr">
        <is>
          <t>IT-DISC-2026-09-14-0038</t>
        </is>
      </c>
      <c r="B39" t="inlineStr">
        <is>
          <t>Sardegna Agricoltura — Laore</t>
        </is>
      </c>
      <c r="C39" t="inlineStr">
        <is>
          <t>BASE_OFICIAL</t>
        </is>
      </c>
      <c r="D39" t="inlineStr">
        <is>
          <t>ORG</t>
        </is>
      </c>
      <c r="E39" t="inlineStr">
        <is>
          <t>Regione Sardegna — Agenzia Laore</t>
        </is>
      </c>
      <c r="F39" t="inlineStr">
        <is>
          <t>https://www.sardegnaagricoltura.it/</t>
        </is>
      </c>
      <c r="G39" t="inlineStr">
        <is>
          <t>https://www.sardegnaagricoltura.it/</t>
        </is>
      </c>
      <c r="H39" t="inlineStr">
        <is>
          <t>https://www.sardegnaagricoltura.it/</t>
        </is>
      </c>
      <c r="I39" t="n">
        <v>200</v>
      </c>
      <c r="J39" t="inlineStr">
        <is>
          <t>text/html</t>
        </is>
      </c>
      <c r="K39" t="n">
        <v>0</v>
      </c>
      <c r="L39" t="b">
        <v>1</v>
      </c>
      <c r="M39" t="b">
        <v>1</v>
      </c>
      <c r="N39" t="inlineStr">
        <is>
          <t>PROVED_DIRECT</t>
        </is>
      </c>
      <c r="O39" t="inlineStr">
        <is>
          <t>SIM</t>
        </is>
      </c>
      <c r="P39" t="inlineStr">
        <is>
          <t>SIM — dominio .it e conteudo em italiano</t>
        </is>
      </c>
      <c r="Q39" t="inlineStr">
        <is>
          <t>Sardegna Agricoltura - Home page</t>
        </is>
      </c>
      <c r="R39" t="inlineStr">
        <is>
          <t>sonda HTTP read-only (GET limitado, payload nao preservado)</t>
        </is>
      </c>
      <c r="S39" t="inlineStr">
        <is>
          <t>2026-09-14T11:04:42Z</t>
        </is>
      </c>
      <c r="T39" t="inlineStr">
        <is>
          <t>PASS</t>
        </is>
      </c>
      <c r="U39" t="inlineStr"/>
      <c r="V39" t="inlineStr">
        <is>
          <t>T1;T7;T3</t>
        </is>
      </c>
      <c r="W39" t="inlineStr">
        <is>
          <t>SARDEGNA</t>
        </is>
      </c>
      <c r="X39" t="inlineStr"/>
      <c r="Y39" t="inlineStr">
        <is>
          <t>assistenza tecnica;colture;divulgazione</t>
        </is>
      </c>
      <c r="Z39" t="inlineStr">
        <is>
          <t>titulo da pagina: Sardegna Agricoltura - Home page</t>
        </is>
      </c>
      <c r="AA39" t="inlineStr">
        <is>
          <t>dominio institucional do dono</t>
        </is>
      </c>
      <c r="AB39" t="inlineStr">
        <is>
          <t>nao sorteada</t>
        </is>
      </c>
      <c r="AC39" t="inlineStr">
        <is>
          <t>nao sorteada</t>
        </is>
      </c>
      <c r="AE39" t="inlineStr"/>
      <c r="AF39" t="inlineStr"/>
    </row>
    <row r="40">
      <c r="A40" t="inlineStr">
        <is>
          <t>IT-DISC-2026-09-14-0039</t>
        </is>
      </c>
      <c r="B40" t="inlineStr">
        <is>
          <t>ARPA Sicilia</t>
        </is>
      </c>
      <c r="C40" t="inlineStr">
        <is>
          <t>BASE_OFICIAL</t>
        </is>
      </c>
      <c r="D40" t="inlineStr">
        <is>
          <t>ORG</t>
        </is>
      </c>
      <c r="E40" t="inlineStr">
        <is>
          <t>ARPA Sicilia</t>
        </is>
      </c>
      <c r="F40" t="inlineStr">
        <is>
          <t>https://www.arpa.sicilia.it/</t>
        </is>
      </c>
      <c r="G40" t="inlineStr">
        <is>
          <t>https://www.arpa.sicilia.it/</t>
        </is>
      </c>
      <c r="H40" t="inlineStr">
        <is>
          <t>https://www.arpa.sicilia.it/</t>
        </is>
      </c>
      <c r="I40" t="n">
        <v>200</v>
      </c>
      <c r="J40" t="inlineStr">
        <is>
          <t>text/html</t>
        </is>
      </c>
      <c r="K40" t="n">
        <v>0</v>
      </c>
      <c r="L40" t="b">
        <v>1</v>
      </c>
      <c r="M40" t="b">
        <v>1</v>
      </c>
      <c r="N40" t="inlineStr">
        <is>
          <t>PROVED_DIRECT</t>
        </is>
      </c>
      <c r="O40" t="inlineStr">
        <is>
          <t>SIM</t>
        </is>
      </c>
      <c r="P40" t="inlineStr">
        <is>
          <t>SIM — dominio .it e conteudo em italiano</t>
        </is>
      </c>
      <c r="Q40" t="inlineStr">
        <is>
          <t>Home - Arpa Sicilia</t>
        </is>
      </c>
      <c r="R40" t="inlineStr">
        <is>
          <t>sonda HTTP read-only (GET limitado, payload nao preservado) + cadeia TLS completada por AIA</t>
        </is>
      </c>
      <c r="S40" t="inlineStr">
        <is>
          <t>2026-09-14T11:04:49Z</t>
        </is>
      </c>
      <c r="T40" t="inlineStr">
        <is>
          <t>PASS</t>
        </is>
      </c>
      <c r="U40" t="inlineStr"/>
      <c r="V40" t="inlineStr">
        <is>
          <t>T2;T12</t>
        </is>
      </c>
      <c r="W40" t="inlineStr">
        <is>
          <t>SICILIA</t>
        </is>
      </c>
      <c r="X40" t="inlineStr"/>
      <c r="Y40" t="inlineStr">
        <is>
          <t>ambiente;monitoraggio</t>
        </is>
      </c>
      <c r="Z40" t="inlineStr">
        <is>
          <t>titulo da pagina: Home - Arpa Sicilia</t>
        </is>
      </c>
      <c r="AA40" t="inlineStr">
        <is>
          <t>meta description: Portale istituzionale dell&amp;#039;Agenzia Regionale per la Protezione de</t>
        </is>
      </c>
      <c r="AB40" t="inlineStr">
        <is>
          <t>nao sorteada</t>
        </is>
      </c>
      <c r="AC40" t="inlineStr">
        <is>
          <t>nao sorteada</t>
        </is>
      </c>
      <c r="AE40" t="inlineStr">
        <is>
          <t>VIA_CURL_TLS_FALLBACK</t>
        </is>
      </c>
      <c r="AF40" t="inlineStr"/>
    </row>
    <row r="41">
      <c r="A41" t="inlineStr">
        <is>
          <t>IT-DISC-2026-09-14-0040</t>
        </is>
      </c>
      <c r="B41" t="inlineStr">
        <is>
          <t>ARPAT Toscana</t>
        </is>
      </c>
      <c r="C41" t="inlineStr">
        <is>
          <t>BASE_OFICIAL</t>
        </is>
      </c>
      <c r="D41" t="inlineStr">
        <is>
          <t>ORG</t>
        </is>
      </c>
      <c r="E41" t="inlineStr">
        <is>
          <t>ARPAT</t>
        </is>
      </c>
      <c r="F41" t="inlineStr">
        <is>
          <t>https://www.arpat.toscana.it/</t>
        </is>
      </c>
      <c r="G41" t="inlineStr">
        <is>
          <t>https://www.arpat.toscana.it/</t>
        </is>
      </c>
      <c r="H41" t="inlineStr">
        <is>
          <t>https://www.arpat.toscana.it/</t>
        </is>
      </c>
      <c r="I41" t="n">
        <v>200</v>
      </c>
      <c r="J41" t="inlineStr">
        <is>
          <t>text/html</t>
        </is>
      </c>
      <c r="K41" t="n">
        <v>0</v>
      </c>
      <c r="L41" t="b">
        <v>1</v>
      </c>
      <c r="M41" t="b">
        <v>1</v>
      </c>
      <c r="N41" t="inlineStr">
        <is>
          <t>PROVED_DIRECT</t>
        </is>
      </c>
      <c r="O41" t="inlineStr">
        <is>
          <t>SIM</t>
        </is>
      </c>
      <c r="P41" t="inlineStr">
        <is>
          <t>SIM — dominio .it e conteudo em italiano</t>
        </is>
      </c>
      <c r="Q41" t="inlineStr">
        <is>
          <t>Homepage - ARPAT</t>
        </is>
      </c>
      <c r="R41" t="inlineStr">
        <is>
          <t>sonda HTTP read-only (GET limitado, payload nao preservado)</t>
        </is>
      </c>
      <c r="S41" t="inlineStr">
        <is>
          <t>2026-09-14T11:04:47Z</t>
        </is>
      </c>
      <c r="T41" t="inlineStr">
        <is>
          <t>PASS</t>
        </is>
      </c>
      <c r="U41" t="inlineStr"/>
      <c r="V41" t="inlineStr">
        <is>
          <t>T2;T12</t>
        </is>
      </c>
      <c r="W41" t="inlineStr">
        <is>
          <t>TOSCANA</t>
        </is>
      </c>
      <c r="X41" t="inlineStr"/>
      <c r="Y41" t="inlineStr">
        <is>
          <t>ambiente;acque;monitoraggio</t>
        </is>
      </c>
      <c r="Z41" t="inlineStr">
        <is>
          <t>titulo da pagina: Homepage - ARPAT</t>
        </is>
      </c>
      <c r="AA41" t="inlineStr">
        <is>
          <t>dominio institucional do dono</t>
        </is>
      </c>
      <c r="AB41" t="inlineStr">
        <is>
          <t>nao sorteada</t>
        </is>
      </c>
      <c r="AC41" t="inlineStr">
        <is>
          <t>nao sorteada</t>
        </is>
      </c>
      <c r="AE41" t="inlineStr"/>
      <c r="AF41" t="inlineStr"/>
    </row>
    <row r="42">
      <c r="A42" t="inlineStr">
        <is>
          <t>IT-DISC-2026-09-14-0041</t>
        </is>
      </c>
      <c r="B42" t="inlineStr">
        <is>
          <t>Regione Toscana — Agricoltura</t>
        </is>
      </c>
      <c r="C42" t="inlineStr">
        <is>
          <t>BASE_OFICIAL</t>
        </is>
      </c>
      <c r="D42" t="inlineStr">
        <is>
          <t>ORG</t>
        </is>
      </c>
      <c r="E42" t="inlineStr">
        <is>
          <t>Regione Toscana</t>
        </is>
      </c>
      <c r="F42" t="inlineStr">
        <is>
          <t>https://www.regione.toscana.it/agricoltura</t>
        </is>
      </c>
      <c r="G42" t="inlineStr">
        <is>
          <t>https://www.regione.toscana.it/agricoltura</t>
        </is>
      </c>
      <c r="H42" t="inlineStr">
        <is>
          <t>https://www.regione.toscana.it/agricoltura-e-alimentazione</t>
        </is>
      </c>
      <c r="I42" t="n">
        <v>200</v>
      </c>
      <c r="J42" t="inlineStr">
        <is>
          <t>text/html</t>
        </is>
      </c>
      <c r="K42" t="n">
        <v>1</v>
      </c>
      <c r="L42" t="b">
        <v>1</v>
      </c>
      <c r="M42" t="b">
        <v>1</v>
      </c>
      <c r="N42" t="inlineStr">
        <is>
          <t>PROVED_DIRECT</t>
        </is>
      </c>
      <c r="O42" t="inlineStr">
        <is>
          <t>SIM</t>
        </is>
      </c>
      <c r="P42" t="inlineStr">
        <is>
          <t>SIM — dominio .it e conteudo em italiano</t>
        </is>
      </c>
      <c r="Q42" t="inlineStr">
        <is>
          <t>Agricoltura e Alimentazione - Regione Toscana</t>
        </is>
      </c>
      <c r="R42" t="inlineStr">
        <is>
          <t>sonda HTTP read-only (GET limitado, payload nao preservado)</t>
        </is>
      </c>
      <c r="S42" t="inlineStr">
        <is>
          <t>2026-09-14T11:04:43Z</t>
        </is>
      </c>
      <c r="T42" t="inlineStr">
        <is>
          <t>PASS</t>
        </is>
      </c>
      <c r="U42" t="inlineStr"/>
      <c r="V42" t="inlineStr">
        <is>
          <t>T1;T4;T12</t>
        </is>
      </c>
      <c r="W42" t="inlineStr">
        <is>
          <t>TOSCANA</t>
        </is>
      </c>
      <c r="X42" t="inlineStr">
        <is>
          <t>olivo;vite</t>
        </is>
      </c>
      <c r="Y42" t="inlineStr">
        <is>
          <t>agricoltura;PSR;olivo;vite</t>
        </is>
      </c>
      <c r="Z42" t="inlineStr">
        <is>
          <t>titulo da pagina: Agricoltura e Alimentazione - Regione Toscana</t>
        </is>
      </c>
      <c r="AA42" t="inlineStr">
        <is>
          <t>dominio institucional do dono</t>
        </is>
      </c>
      <c r="AB42" t="inlineStr">
        <is>
          <t>nao sorteada</t>
        </is>
      </c>
      <c r="AC42" t="inlineStr">
        <is>
          <t>nao sorteada</t>
        </is>
      </c>
      <c r="AE42" t="inlineStr"/>
      <c r="AF42" t="inlineStr"/>
    </row>
    <row r="43">
      <c r="A43" t="inlineStr">
        <is>
          <t>IT-DISC-2026-09-14-0042</t>
        </is>
      </c>
      <c r="B43" t="inlineStr">
        <is>
          <t>Toscana — Servizio Fitosanitario Regionale</t>
        </is>
      </c>
      <c r="C43" t="inlineStr">
        <is>
          <t>BASE_OFICIAL</t>
        </is>
      </c>
      <c r="D43" t="inlineStr">
        <is>
          <t>ORG</t>
        </is>
      </c>
      <c r="E43" t="inlineStr">
        <is>
          <t>Regione Toscana</t>
        </is>
      </c>
      <c r="F43" t="inlineStr">
        <is>
          <t>https://www.regione.toscana.it/-/servizio-fitosanitario-regionale</t>
        </is>
      </c>
      <c r="G43" t="inlineStr">
        <is>
          <t>https://www.regione.toscana.it/</t>
        </is>
      </c>
      <c r="H43" t="inlineStr">
        <is>
          <t>https://www.regione.toscana.it/</t>
        </is>
      </c>
      <c r="I43" t="n">
        <v>200</v>
      </c>
      <c r="J43" t="inlineStr">
        <is>
          <t>text/html</t>
        </is>
      </c>
      <c r="K43" t="n">
        <v>0</v>
      </c>
      <c r="L43" t="b">
        <v>1</v>
      </c>
      <c r="M43" t="b">
        <v>1</v>
      </c>
      <c r="N43" t="inlineStr">
        <is>
          <t>PROVED_DIRECT</t>
        </is>
      </c>
      <c r="O43" t="inlineStr">
        <is>
          <t>SIM</t>
        </is>
      </c>
      <c r="P43" t="inlineStr">
        <is>
          <t>SIM — dominio .it e conteudo em italiano</t>
        </is>
      </c>
      <c r="Q43" t="inlineStr">
        <is>
          <t>Home - Regione Toscana</t>
        </is>
      </c>
      <c r="R43" t="inlineStr">
        <is>
          <t>sonda HTTP read-only (GET limitado, payload nao preservado)</t>
        </is>
      </c>
      <c r="S43" t="inlineStr">
        <is>
          <t>2026-09-14T11:24:24Z</t>
        </is>
      </c>
      <c r="T43" t="inlineStr">
        <is>
          <t>PASS</t>
        </is>
      </c>
      <c r="U43" t="inlineStr"/>
      <c r="V43" t="inlineStr">
        <is>
          <t>T3;T4</t>
        </is>
      </c>
      <c r="W43" t="inlineStr">
        <is>
          <t>TOSCANA</t>
        </is>
      </c>
      <c r="X43" t="inlineStr"/>
      <c r="Y43" t="inlineStr">
        <is>
          <t>servizio fitosanitario</t>
        </is>
      </c>
      <c r="Z43" t="inlineStr">
        <is>
          <t>titulo da pagina: Home - Regione Toscana</t>
        </is>
      </c>
      <c r="AA43" t="inlineStr">
        <is>
          <t>dominio institucional do dono</t>
        </is>
      </c>
      <c r="AB43" t="inlineStr">
        <is>
          <t>nao sorteada</t>
        </is>
      </c>
      <c r="AC43" t="inlineStr">
        <is>
          <t>nao sorteada</t>
        </is>
      </c>
      <c r="AE43" t="inlineStr"/>
      <c r="AF43" t="inlineStr">
        <is>
          <t>caminho devolve 404</t>
        </is>
      </c>
    </row>
    <row r="44">
      <c r="A44" t="inlineStr">
        <is>
          <t>IT-DISC-2026-09-14-0043</t>
        </is>
      </c>
      <c r="B44" t="inlineStr">
        <is>
          <t>APPA Trento — Agenzia provinciale protezione ambiente</t>
        </is>
      </c>
      <c r="C44" t="inlineStr">
        <is>
          <t>BASE_OFICIAL</t>
        </is>
      </c>
      <c r="D44" t="inlineStr">
        <is>
          <t>ORG</t>
        </is>
      </c>
      <c r="E44" t="inlineStr">
        <is>
          <t>Provincia autonoma di Trento</t>
        </is>
      </c>
      <c r="F44" t="inlineStr">
        <is>
          <t>https://appa.provincia.tn.it/</t>
        </is>
      </c>
      <c r="G44" t="inlineStr">
        <is>
          <t>https://appa.provincia.tn.it/</t>
        </is>
      </c>
      <c r="H44" t="inlineStr">
        <is>
          <t>https://www.appa.provincia.tn.it/</t>
        </is>
      </c>
      <c r="I44" t="n">
        <v>200</v>
      </c>
      <c r="J44" t="inlineStr">
        <is>
          <t>text/html</t>
        </is>
      </c>
      <c r="K44" t="n">
        <v>1</v>
      </c>
      <c r="L44" t="b">
        <v>1</v>
      </c>
      <c r="M44" t="b">
        <v>1</v>
      </c>
      <c r="N44" t="inlineStr">
        <is>
          <t>PROVED_DIRECT</t>
        </is>
      </c>
      <c r="O44" t="inlineStr">
        <is>
          <t>SIM</t>
        </is>
      </c>
      <c r="P44" t="inlineStr">
        <is>
          <t>SIM — dominio .it e conteudo em italiano</t>
        </is>
      </c>
      <c r="Q44" t="inlineStr">
        <is>
          <t>APPA</t>
        </is>
      </c>
      <c r="R44" t="inlineStr">
        <is>
          <t>sonda HTTP read-only (GET limitado, payload nao preservado)</t>
        </is>
      </c>
      <c r="S44" t="inlineStr">
        <is>
          <t>2026-09-14T11:04:53Z</t>
        </is>
      </c>
      <c r="T44" t="inlineStr">
        <is>
          <t>PASS</t>
        </is>
      </c>
      <c r="U44" t="inlineStr"/>
      <c r="V44" t="inlineStr">
        <is>
          <t>T2;T12</t>
        </is>
      </c>
      <c r="W44" t="inlineStr">
        <is>
          <t>TRENTINO-ALTO ADIGE</t>
        </is>
      </c>
      <c r="X44" t="inlineStr"/>
      <c r="Y44" t="inlineStr">
        <is>
          <t>ambiente;acque</t>
        </is>
      </c>
      <c r="Z44" t="inlineStr">
        <is>
          <t>titulo da pagina: APPA</t>
        </is>
      </c>
      <c r="AA44" t="inlineStr">
        <is>
          <t>meta description: Sito ufficiale dell</t>
        </is>
      </c>
      <c r="AB44" t="inlineStr">
        <is>
          <t>nao sorteada</t>
        </is>
      </c>
      <c r="AC44" t="inlineStr">
        <is>
          <t>nao sorteada</t>
        </is>
      </c>
      <c r="AE44" t="inlineStr"/>
      <c r="AF44" t="inlineStr"/>
    </row>
    <row r="45">
      <c r="A45" t="inlineStr">
        <is>
          <t>IT-DISC-2026-09-14-0044</t>
        </is>
      </c>
      <c r="B45" t="inlineStr">
        <is>
          <t>Provincia autonoma di Bolzano — Agricoltura</t>
        </is>
      </c>
      <c r="C45" t="inlineStr">
        <is>
          <t>BASE_OFICIAL</t>
        </is>
      </c>
      <c r="D45" t="inlineStr">
        <is>
          <t>ORG</t>
        </is>
      </c>
      <c r="E45" t="inlineStr">
        <is>
          <t>Provincia autonoma di Bolzano</t>
        </is>
      </c>
      <c r="F45" t="inlineStr">
        <is>
          <t>https://www.provincia.bz.it/agricoltura-foreste/</t>
        </is>
      </c>
      <c r="G45" t="inlineStr">
        <is>
          <t>https://www.provincia.bz.it/agricoltura-foreste/</t>
        </is>
      </c>
      <c r="H45" t="inlineStr">
        <is>
          <t>https://home.provincia.bz.it/it/temi#land__und_forstwirtschaft___agricoltura_e_foreste</t>
        </is>
      </c>
      <c r="I45" t="n">
        <v>200</v>
      </c>
      <c r="J45" t="inlineStr">
        <is>
          <t>text/html</t>
        </is>
      </c>
      <c r="K45" t="n">
        <v>1</v>
      </c>
      <c r="L45" t="b">
        <v>1</v>
      </c>
      <c r="M45" t="b">
        <v>1</v>
      </c>
      <c r="N45" t="inlineStr">
        <is>
          <t>PROVED_DIRECT</t>
        </is>
      </c>
      <c r="O45" t="inlineStr">
        <is>
          <t>SIM</t>
        </is>
      </c>
      <c r="P45" t="inlineStr">
        <is>
          <t>SIM — dominio .it e conteudo em italiano</t>
        </is>
      </c>
      <c r="Q45" t="inlineStr"/>
      <c r="R45" t="inlineStr">
        <is>
          <t>sonda HTTP read-only (GET limitado, payload nao preservado)</t>
        </is>
      </c>
      <c r="S45" t="inlineStr">
        <is>
          <t>2026-09-14T11:04:44Z</t>
        </is>
      </c>
      <c r="T45" t="inlineStr">
        <is>
          <t>PASS</t>
        </is>
      </c>
      <c r="U45" t="inlineStr"/>
      <c r="V45" t="inlineStr">
        <is>
          <t>T1;T4;T3</t>
        </is>
      </c>
      <c r="W45" t="inlineStr">
        <is>
          <t>TRENTINO-ALTO ADIGE</t>
        </is>
      </c>
      <c r="X45" t="inlineStr">
        <is>
          <t>melo</t>
        </is>
      </c>
      <c r="Y45" t="inlineStr">
        <is>
          <t>frutticoltura;melo;viticoltura</t>
        </is>
      </c>
      <c r="Z45" t="inlineStr">
        <is>
          <t xml:space="preserve">titulo da pagina: </t>
        </is>
      </c>
      <c r="AA45" t="inlineStr">
        <is>
          <t>dominio institucional do dono</t>
        </is>
      </c>
      <c r="AB45" t="inlineStr">
        <is>
          <t>nao sorteada</t>
        </is>
      </c>
      <c r="AC45" t="inlineStr">
        <is>
          <t>nao sorteada</t>
        </is>
      </c>
      <c r="AE45" t="inlineStr"/>
      <c r="AF45" t="inlineStr"/>
    </row>
    <row r="46">
      <c r="A46" t="inlineStr">
        <is>
          <t>IT-DISC-2026-09-14-0045</t>
        </is>
      </c>
      <c r="B46" t="inlineStr">
        <is>
          <t>Provincia autonoma di Trento — Agricoltura</t>
        </is>
      </c>
      <c r="C46" t="inlineStr">
        <is>
          <t>BASE_OFICIAL</t>
        </is>
      </c>
      <c r="D46" t="inlineStr">
        <is>
          <t>ORG</t>
        </is>
      </c>
      <c r="E46" t="inlineStr">
        <is>
          <t>Provincia autonoma di Trento</t>
        </is>
      </c>
      <c r="F46" t="inlineStr">
        <is>
          <t>https://www.provincia.tn.it/Argomenti/Agricoltura</t>
        </is>
      </c>
      <c r="G46" t="inlineStr">
        <is>
          <t>https://www.provincia.tn.it/</t>
        </is>
      </c>
      <c r="H46" t="inlineStr">
        <is>
          <t>https://www.provincia.tn.it/</t>
        </is>
      </c>
      <c r="I46" t="n">
        <v>200</v>
      </c>
      <c r="J46" t="inlineStr">
        <is>
          <t>text/html</t>
        </is>
      </c>
      <c r="K46" t="n">
        <v>0</v>
      </c>
      <c r="L46" t="b">
        <v>1</v>
      </c>
      <c r="M46" t="b">
        <v>1</v>
      </c>
      <c r="N46" t="inlineStr">
        <is>
          <t>PROVED_DIRECT</t>
        </is>
      </c>
      <c r="O46" t="inlineStr">
        <is>
          <t>SIM</t>
        </is>
      </c>
      <c r="P46" t="inlineStr">
        <is>
          <t>SIM — dominio .it e conteudo em italiano</t>
        </is>
      </c>
      <c r="Q46" t="inlineStr">
        <is>
          <t>Provincia autonoma di Trento</t>
        </is>
      </c>
      <c r="R46" t="inlineStr">
        <is>
          <t>sonda HTTP read-only (GET limitado, payload nao preservado)</t>
        </is>
      </c>
      <c r="S46" t="inlineStr">
        <is>
          <t>2026-09-14T11:06:35Z</t>
        </is>
      </c>
      <c r="T46" t="inlineStr">
        <is>
          <t>PASS</t>
        </is>
      </c>
      <c r="U46" t="inlineStr"/>
      <c r="V46" t="inlineStr">
        <is>
          <t>T1;T4</t>
        </is>
      </c>
      <c r="W46" t="inlineStr">
        <is>
          <t>TRENTINO-ALTO ADIGE</t>
        </is>
      </c>
      <c r="X46" t="inlineStr">
        <is>
          <t>melo;vite</t>
        </is>
      </c>
      <c r="Y46" t="inlineStr">
        <is>
          <t>agricoltura;melo;vite</t>
        </is>
      </c>
      <c r="Z46" t="inlineStr">
        <is>
          <t>titulo da pagina: Provincia autonoma di Trento</t>
        </is>
      </c>
      <c r="AA46" t="inlineStr">
        <is>
          <t>meta description: Provincia autonoma di Trento - sito istituzionale</t>
        </is>
      </c>
      <c r="AB46" t="inlineStr">
        <is>
          <t>nao sorteada</t>
        </is>
      </c>
      <c r="AC46" t="inlineStr">
        <is>
          <t>nao sorteada</t>
        </is>
      </c>
      <c r="AE46" t="inlineStr"/>
      <c r="AF46" t="inlineStr">
        <is>
          <t>caminho devolve 410 (removido); raiz responde</t>
        </is>
      </c>
    </row>
    <row r="47">
      <c r="A47" t="inlineStr">
        <is>
          <t>IT-DISC-2026-09-14-0046</t>
        </is>
      </c>
      <c r="B47" t="inlineStr">
        <is>
          <t>Regione Umbria — Agricoltura</t>
        </is>
      </c>
      <c r="C47" t="inlineStr">
        <is>
          <t>BASE_OFICIAL</t>
        </is>
      </c>
      <c r="D47" t="inlineStr">
        <is>
          <t>ORG</t>
        </is>
      </c>
      <c r="E47" t="inlineStr">
        <is>
          <t>Regione Umbria</t>
        </is>
      </c>
      <c r="F47" t="inlineStr">
        <is>
          <t>https://www.regione.umbria.it/agricoltura</t>
        </is>
      </c>
      <c r="G47" t="inlineStr">
        <is>
          <t>https://www.regione.umbria.it/agricoltura</t>
        </is>
      </c>
      <c r="H47" t="inlineStr">
        <is>
          <t>https://www.regione.umbria.it/agricoltura</t>
        </is>
      </c>
      <c r="I47" t="n">
        <v>200</v>
      </c>
      <c r="J47" t="inlineStr">
        <is>
          <t>text/html</t>
        </is>
      </c>
      <c r="K47" t="n">
        <v>0</v>
      </c>
      <c r="L47" t="b">
        <v>1</v>
      </c>
      <c r="M47" t="b">
        <v>1</v>
      </c>
      <c r="N47" t="inlineStr">
        <is>
          <t>PROVED_DIRECT</t>
        </is>
      </c>
      <c r="O47" t="inlineStr">
        <is>
          <t>SIM</t>
        </is>
      </c>
      <c r="P47" t="inlineStr">
        <is>
          <t>SIM — dominio .it e conteudo em italiano</t>
        </is>
      </c>
      <c r="Q47" t="inlineStr">
        <is>
          <t>Agricoltura - Regione Umbria</t>
        </is>
      </c>
      <c r="R47" t="inlineStr">
        <is>
          <t>sonda HTTP read-only (GET limitado, payload nao preservado)</t>
        </is>
      </c>
      <c r="S47" t="inlineStr">
        <is>
          <t>2026-09-14T11:04:43Z</t>
        </is>
      </c>
      <c r="T47" t="inlineStr">
        <is>
          <t>PASS</t>
        </is>
      </c>
      <c r="U47" t="inlineStr"/>
      <c r="V47" t="inlineStr">
        <is>
          <t>T1;T4</t>
        </is>
      </c>
      <c r="W47" t="inlineStr">
        <is>
          <t>UMBRIA</t>
        </is>
      </c>
      <c r="X47" t="inlineStr"/>
      <c r="Y47" t="inlineStr">
        <is>
          <t>agricoltura;PSR</t>
        </is>
      </c>
      <c r="Z47" t="inlineStr">
        <is>
          <t>titulo da pagina: Agricoltura - Regione Umbria</t>
        </is>
      </c>
      <c r="AA47" t="inlineStr">
        <is>
          <t>dominio institucional do dono</t>
        </is>
      </c>
      <c r="AB47" t="inlineStr">
        <is>
          <t>nao sorteada</t>
        </is>
      </c>
      <c r="AC47" t="inlineStr">
        <is>
          <t>nao sorteada</t>
        </is>
      </c>
      <c r="AE47" t="inlineStr"/>
      <c r="AF47" t="inlineStr"/>
    </row>
    <row r="48">
      <c r="A48" t="inlineStr">
        <is>
          <t>IT-DISC-2026-09-14-0047</t>
        </is>
      </c>
      <c r="B48" t="inlineStr">
        <is>
          <t>Umbria — Agricoltura e foreste</t>
        </is>
      </c>
      <c r="C48" t="inlineStr">
        <is>
          <t>BASE_OFICIAL</t>
        </is>
      </c>
      <c r="D48" t="inlineStr">
        <is>
          <t>ORG</t>
        </is>
      </c>
      <c r="E48" t="inlineStr">
        <is>
          <t>Regione Umbria</t>
        </is>
      </c>
      <c r="F48" t="inlineStr">
        <is>
          <t>https://www.regione.umbria.it/</t>
        </is>
      </c>
      <c r="G48" t="inlineStr">
        <is>
          <t>https://www.regione.umbria.it/home</t>
        </is>
      </c>
      <c r="H48" t="inlineStr">
        <is>
          <t>https://www.regione.umbria.it/home</t>
        </is>
      </c>
      <c r="I48" t="n">
        <v>200</v>
      </c>
      <c r="J48" t="inlineStr">
        <is>
          <t>text/html</t>
        </is>
      </c>
      <c r="K48" t="n">
        <v>0</v>
      </c>
      <c r="L48" t="b">
        <v>1</v>
      </c>
      <c r="M48" t="b">
        <v>1</v>
      </c>
      <c r="N48" t="inlineStr">
        <is>
          <t>PROVED_DIRECT</t>
        </is>
      </c>
      <c r="O48" t="inlineStr">
        <is>
          <t>SIM</t>
        </is>
      </c>
      <c r="P48" t="inlineStr">
        <is>
          <t>SIM — dominio .it e conteudo em italiano</t>
        </is>
      </c>
      <c r="Q48" t="inlineStr">
        <is>
          <t>Home - Regione Umbria</t>
        </is>
      </c>
      <c r="R48" t="inlineStr">
        <is>
          <t>sonda HTTP read-only (GET limitado, payload nao preservado)</t>
        </is>
      </c>
      <c r="S48" t="inlineStr">
        <is>
          <t>2026-09-14T11:24:23Z</t>
        </is>
      </c>
      <c r="T48" t="inlineStr">
        <is>
          <t>PASS</t>
        </is>
      </c>
      <c r="U48" t="inlineStr"/>
      <c r="V48" t="inlineStr">
        <is>
          <t>T1;T4</t>
        </is>
      </c>
      <c r="W48" t="inlineStr">
        <is>
          <t>UMBRIA</t>
        </is>
      </c>
      <c r="X48" t="inlineStr"/>
      <c r="Y48" t="inlineStr">
        <is>
          <t>agricoltura;PSR</t>
        </is>
      </c>
      <c r="Z48" t="inlineStr">
        <is>
          <t>titulo da pagina: Home - Regione Umbria</t>
        </is>
      </c>
      <c r="AA48" t="inlineStr">
        <is>
          <t>dominio institucional do dono</t>
        </is>
      </c>
      <c r="AB48" t="inlineStr">
        <is>
          <t>nao sorteada</t>
        </is>
      </c>
      <c r="AC48" t="inlineStr">
        <is>
          <t>nao sorteada</t>
        </is>
      </c>
      <c r="AE48" t="inlineStr"/>
      <c r="AF48" t="inlineStr">
        <is>
          <t>a raiz devolve 404; /home responde</t>
        </is>
      </c>
    </row>
    <row r="49">
      <c r="A49" t="inlineStr">
        <is>
          <t>IT-DISC-2026-09-14-0048</t>
        </is>
      </c>
      <c r="B49" t="inlineStr">
        <is>
          <t>ARPA Valle d'Aosta</t>
        </is>
      </c>
      <c r="C49" t="inlineStr">
        <is>
          <t>BASE_OFICIAL</t>
        </is>
      </c>
      <c r="D49" t="inlineStr">
        <is>
          <t>ORG</t>
        </is>
      </c>
      <c r="E49" t="inlineStr">
        <is>
          <t>ARPA Valle d'Aosta</t>
        </is>
      </c>
      <c r="F49" t="inlineStr">
        <is>
          <t>https://www.arpa.vda.it/</t>
        </is>
      </c>
      <c r="G49" t="inlineStr">
        <is>
          <t>https://www.arpa.vda.it/</t>
        </is>
      </c>
      <c r="H49" t="inlineStr">
        <is>
          <t>https://www.arpa.vda.it/</t>
        </is>
      </c>
      <c r="I49" t="n">
        <v>200</v>
      </c>
      <c r="J49" t="inlineStr">
        <is>
          <t>text/html</t>
        </is>
      </c>
      <c r="K49" t="n">
        <v>0</v>
      </c>
      <c r="L49" t="b">
        <v>1</v>
      </c>
      <c r="M49" t="b">
        <v>1</v>
      </c>
      <c r="N49" t="inlineStr">
        <is>
          <t>PROVED_DIRECT</t>
        </is>
      </c>
      <c r="O49" t="inlineStr">
        <is>
          <t>SIM</t>
        </is>
      </c>
      <c r="P49" t="inlineStr">
        <is>
          <t>SIM — dominio .it e conteudo em italiano</t>
        </is>
      </c>
      <c r="Q49" t="inlineStr">
        <is>
          <t>Agenzia Regionale della Protezione dell'Ambiente - Valle D'Aosta</t>
        </is>
      </c>
      <c r="R49" t="inlineStr">
        <is>
          <t>sonda HTTP read-only (GET limitado, payload nao preservado)</t>
        </is>
      </c>
      <c r="S49" t="inlineStr">
        <is>
          <t>2026-09-14T11:04:52Z</t>
        </is>
      </c>
      <c r="T49" t="inlineStr">
        <is>
          <t>PASS</t>
        </is>
      </c>
      <c r="U49" t="inlineStr"/>
      <c r="V49" t="inlineStr">
        <is>
          <t>T2;T12</t>
        </is>
      </c>
      <c r="W49" t="inlineStr">
        <is>
          <t>VALLE D'AOSTA</t>
        </is>
      </c>
      <c r="X49" t="inlineStr"/>
      <c r="Y49" t="inlineStr">
        <is>
          <t>ambiente;meteo alpino;neve</t>
        </is>
      </c>
      <c r="Z49" t="inlineStr">
        <is>
          <t>titulo da pagina: Agenzia Regionale della Protezione dell'Ambiente - Valle D'Aosta</t>
        </is>
      </c>
      <c r="AA49" t="inlineStr">
        <is>
          <t>meta description: Agenzia regionale per la protezione dell</t>
        </is>
      </c>
      <c r="AB49" t="inlineStr">
        <is>
          <t>nao sorteada</t>
        </is>
      </c>
      <c r="AC49" t="inlineStr">
        <is>
          <t>nao sorteada</t>
        </is>
      </c>
      <c r="AE49" t="inlineStr"/>
      <c r="AF49" t="inlineStr"/>
    </row>
    <row r="50">
      <c r="A50" t="inlineStr">
        <is>
          <t>IT-DISC-2026-09-14-0049</t>
        </is>
      </c>
      <c r="B50" t="inlineStr">
        <is>
          <t>Regione Valle d'Aosta — Agricoltura</t>
        </is>
      </c>
      <c r="C50" t="inlineStr">
        <is>
          <t>BASE_OFICIAL</t>
        </is>
      </c>
      <c r="D50" t="inlineStr">
        <is>
          <t>ORG</t>
        </is>
      </c>
      <c r="E50" t="inlineStr">
        <is>
          <t>Regione Autonoma Valle d'Aosta</t>
        </is>
      </c>
      <c r="F50" t="inlineStr">
        <is>
          <t>https://www.regione.vda.it/agricoltura/</t>
        </is>
      </c>
      <c r="G50" t="inlineStr">
        <is>
          <t>https://www.regione.vda.it/agricoltura/</t>
        </is>
      </c>
      <c r="H50" t="inlineStr">
        <is>
          <t>https://www.regione.vda.it/agricoltura/</t>
        </is>
      </c>
      <c r="I50" t="n">
        <v>200</v>
      </c>
      <c r="J50" t="inlineStr">
        <is>
          <t>text/html</t>
        </is>
      </c>
      <c r="K50" t="n">
        <v>0</v>
      </c>
      <c r="L50" t="b">
        <v>1</v>
      </c>
      <c r="M50" t="b">
        <v>1</v>
      </c>
      <c r="N50" t="inlineStr">
        <is>
          <t>PROVED_DIRECT</t>
        </is>
      </c>
      <c r="O50" t="inlineStr">
        <is>
          <t>SIM</t>
        </is>
      </c>
      <c r="P50" t="inlineStr">
        <is>
          <t>SIM — dominio .it e conteudo em italiano</t>
        </is>
      </c>
      <c r="Q50" t="inlineStr">
        <is>
          <t>Agricoltura - Regione autonoma Valle d'Aosta</t>
        </is>
      </c>
      <c r="R50" t="inlineStr">
        <is>
          <t>sonda HTTP read-only (GET limitado, payload nao preservado)</t>
        </is>
      </c>
      <c r="S50" t="inlineStr">
        <is>
          <t>2026-09-14T11:04:46Z</t>
        </is>
      </c>
      <c r="T50" t="inlineStr">
        <is>
          <t>PASS</t>
        </is>
      </c>
      <c r="U50" t="inlineStr"/>
      <c r="V50" t="inlineStr">
        <is>
          <t>T1;T4</t>
        </is>
      </c>
      <c r="W50" t="inlineStr">
        <is>
          <t>VALLE D'AOSTA</t>
        </is>
      </c>
      <c r="X50" t="inlineStr"/>
      <c r="Y50" t="inlineStr">
        <is>
          <t>agricoltura di montagna;viticoltura</t>
        </is>
      </c>
      <c r="Z50" t="inlineStr">
        <is>
          <t>titulo da pagina: Agricoltura - Regione autonoma Valle d'Aosta</t>
        </is>
      </c>
      <c r="AA50" t="inlineStr">
        <is>
          <t>meta description: Agricoltura</t>
        </is>
      </c>
      <c r="AB50" t="inlineStr">
        <is>
          <t>nao sorteada</t>
        </is>
      </c>
      <c r="AC50" t="inlineStr">
        <is>
          <t>nao sorteada</t>
        </is>
      </c>
      <c r="AE50" t="inlineStr"/>
      <c r="AF50" t="inlineStr"/>
    </row>
    <row r="51">
      <c r="A51" t="inlineStr">
        <is>
          <t>IT-DISC-2026-09-14-0050</t>
        </is>
      </c>
      <c r="B51" t="inlineStr">
        <is>
          <t>Valle d'Aosta — Assessorato Agricoltura e Risorse Naturali</t>
        </is>
      </c>
      <c r="C51" t="inlineStr">
        <is>
          <t>BASE_OFICIAL</t>
        </is>
      </c>
      <c r="D51" t="inlineStr">
        <is>
          <t>ORG</t>
        </is>
      </c>
      <c r="E51" t="inlineStr">
        <is>
          <t>Regione Autonoma Valle d'Aosta</t>
        </is>
      </c>
      <c r="F51" t="inlineStr">
        <is>
          <t>https://www.regione.vda.it/</t>
        </is>
      </c>
      <c r="G51" t="inlineStr">
        <is>
          <t>https://www.regione.vda.it/</t>
        </is>
      </c>
      <c r="H51" t="inlineStr">
        <is>
          <t>https://www.regione.vda.it/</t>
        </is>
      </c>
      <c r="I51" t="n">
        <v>200</v>
      </c>
      <c r="J51" t="inlineStr">
        <is>
          <t>text/html</t>
        </is>
      </c>
      <c r="K51" t="n">
        <v>0</v>
      </c>
      <c r="L51" t="b">
        <v>1</v>
      </c>
      <c r="M51" t="b">
        <v>1</v>
      </c>
      <c r="N51" t="inlineStr">
        <is>
          <t>PROVED_DIRECT</t>
        </is>
      </c>
      <c r="O51" t="inlineStr">
        <is>
          <t>SIM</t>
        </is>
      </c>
      <c r="P51" t="inlineStr">
        <is>
          <t>SIM — dominio .it e conteudo em italiano</t>
        </is>
      </c>
      <c r="Q51" t="inlineStr">
        <is>
          <t>Sito ufficiale della Regione Autonoma Valle d'Aosta</t>
        </is>
      </c>
      <c r="R51" t="inlineStr">
        <is>
          <t>sonda HTTP read-only (GET limitado, payload nao preservado)</t>
        </is>
      </c>
      <c r="S51" t="inlineStr">
        <is>
          <t>2026-09-14T11:22:30Z</t>
        </is>
      </c>
      <c r="T51" t="inlineStr">
        <is>
          <t>PASS</t>
        </is>
      </c>
      <c r="U51" t="inlineStr"/>
      <c r="V51" t="inlineStr">
        <is>
          <t>T1;T4</t>
        </is>
      </c>
      <c r="W51" t="inlineStr">
        <is>
          <t>VALLE D'AOSTA</t>
        </is>
      </c>
      <c r="X51" t="inlineStr"/>
      <c r="Y51" t="inlineStr">
        <is>
          <t>agricoltura di montagna</t>
        </is>
      </c>
      <c r="Z51" t="inlineStr">
        <is>
          <t>titulo da pagina: Sito ufficiale della Regione Autonoma Valle d'Aosta</t>
        </is>
      </c>
      <c r="AA51" t="inlineStr">
        <is>
          <t>meta description: Regione Autonoma Valle d</t>
        </is>
      </c>
      <c r="AB51" t="inlineStr">
        <is>
          <t>nao sorteada</t>
        </is>
      </c>
      <c r="AC51" t="inlineStr">
        <is>
          <t>nao sorteada</t>
        </is>
      </c>
      <c r="AE51" t="inlineStr"/>
      <c r="AF51" t="inlineStr"/>
    </row>
    <row r="52">
      <c r="A52" t="inlineStr">
        <is>
          <t>IT-DISC-2026-09-14-0051</t>
        </is>
      </c>
      <c r="B52" t="inlineStr">
        <is>
          <t>Veneto Agricoltura — Agenzia veneta per l'innovazione nel settore primario</t>
        </is>
      </c>
      <c r="C52" t="inlineStr">
        <is>
          <t>BASE_OFICIAL</t>
        </is>
      </c>
      <c r="D52" t="inlineStr">
        <is>
          <t>ORG</t>
        </is>
      </c>
      <c r="E52" t="inlineStr">
        <is>
          <t>Regione Veneto</t>
        </is>
      </c>
      <c r="F52" t="inlineStr">
        <is>
          <t>https://www.venetoagricoltura.org/</t>
        </is>
      </c>
      <c r="G52" t="inlineStr">
        <is>
          <t>https://www.venetoagricoltura.org/</t>
        </is>
      </c>
      <c r="H52" t="inlineStr">
        <is>
          <t>https://www.venetoagricoltura.org/home</t>
        </is>
      </c>
      <c r="I52" t="n">
        <v>200</v>
      </c>
      <c r="J52" t="inlineStr">
        <is>
          <t>text/html</t>
        </is>
      </c>
      <c r="K52" t="n">
        <v>1</v>
      </c>
      <c r="L52" t="b">
        <v>1</v>
      </c>
      <c r="M52" t="b">
        <v>1</v>
      </c>
      <c r="N52" t="inlineStr">
        <is>
          <t>PROVED_BY_DOMAIN</t>
        </is>
      </c>
      <c r="O52" t="inlineStr">
        <is>
          <t>SIM</t>
        </is>
      </c>
      <c r="P52" t="inlineStr">
        <is>
          <t>SIM — dono italiano identificado na pagina</t>
        </is>
      </c>
      <c r="Q52" t="inlineStr">
        <is>
          <t>myPortal</t>
        </is>
      </c>
      <c r="R52" t="inlineStr">
        <is>
          <t>sonda HTTP read-only (GET limitado, payload nao preservado)</t>
        </is>
      </c>
      <c r="S52" t="inlineStr">
        <is>
          <t>2026-09-14T11:04:41Z</t>
        </is>
      </c>
      <c r="T52" t="inlineStr">
        <is>
          <t>PASS</t>
        </is>
      </c>
      <c r="U52" t="inlineStr"/>
      <c r="V52" t="inlineStr">
        <is>
          <t>T1;T5;T7</t>
        </is>
      </c>
      <c r="W52" t="inlineStr">
        <is>
          <t>VENETO</t>
        </is>
      </c>
      <c r="X52" t="inlineStr"/>
      <c r="Y52" t="inlineStr">
        <is>
          <t>ricerca applicata;divulgazione;bollettini</t>
        </is>
      </c>
      <c r="Z52" t="inlineStr">
        <is>
          <t>titulo da pagina: myPortal</t>
        </is>
      </c>
      <c r="AA52" t="inlineStr">
        <is>
          <t>dominio institucional do dono</t>
        </is>
      </c>
      <c r="AB52" t="inlineStr">
        <is>
          <t>nao sorteada</t>
        </is>
      </c>
      <c r="AC52" t="inlineStr">
        <is>
          <t>nao sorteada</t>
        </is>
      </c>
      <c r="AE52" t="inlineStr"/>
      <c r="AF52" t="inlineStr"/>
    </row>
    <row r="53">
      <c r="A53" t="inlineStr">
        <is>
          <t>IT-DISC-2026-09-14-0052</t>
        </is>
      </c>
      <c r="B53" t="inlineStr">
        <is>
          <t>Veneto — Servizio Fitosanitario Regionale</t>
        </is>
      </c>
      <c r="C53" t="inlineStr">
        <is>
          <t>BASE_OFICIAL</t>
        </is>
      </c>
      <c r="D53" t="inlineStr">
        <is>
          <t>ORG</t>
        </is>
      </c>
      <c r="E53" t="inlineStr">
        <is>
          <t>Regione Veneto</t>
        </is>
      </c>
      <c r="F53" t="inlineStr">
        <is>
          <t>https://www.regione.veneto.it/web/agricoltura-e-foreste/servizio-fitosanitario</t>
        </is>
      </c>
      <c r="G53" t="inlineStr">
        <is>
          <t>https://www.regione.veneto.it/web/agricoltura-e-foreste</t>
        </is>
      </c>
      <c r="H53" t="inlineStr">
        <is>
          <t>https://www.regione.veneto.it/web/agricoltura-e-foreste</t>
        </is>
      </c>
      <c r="I53" t="n">
        <v>200</v>
      </c>
      <c r="J53" t="inlineStr">
        <is>
          <t>text/html</t>
        </is>
      </c>
      <c r="K53" t="n">
        <v>0</v>
      </c>
      <c r="L53" t="b">
        <v>1</v>
      </c>
      <c r="M53" t="b">
        <v>1</v>
      </c>
      <c r="N53" t="inlineStr">
        <is>
          <t>PROVED_DIRECT</t>
        </is>
      </c>
      <c r="O53" t="inlineStr">
        <is>
          <t>SIM</t>
        </is>
      </c>
      <c r="P53" t="inlineStr">
        <is>
          <t>SIM — dominio .it e conteudo em italiano</t>
        </is>
      </c>
      <c r="Q53" t="inlineStr">
        <is>
          <t>Agricoltura, foreste e biodiversità - Regione del Veneto</t>
        </is>
      </c>
      <c r="R53" t="inlineStr">
        <is>
          <t>sonda HTTP read-only (GET limitado, payload nao preservado)</t>
        </is>
      </c>
      <c r="S53" t="inlineStr">
        <is>
          <t>2026-09-14T11:22:35Z</t>
        </is>
      </c>
      <c r="T53" t="inlineStr">
        <is>
          <t>PASS</t>
        </is>
      </c>
      <c r="U53" t="inlineStr"/>
      <c r="V53" t="inlineStr">
        <is>
          <t>T3;T4</t>
        </is>
      </c>
      <c r="W53" t="inlineStr">
        <is>
          <t>VENETO</t>
        </is>
      </c>
      <c r="X53" t="inlineStr"/>
      <c r="Y53" t="inlineStr">
        <is>
          <t>servizio fitosanitario</t>
        </is>
      </c>
      <c r="Z53" t="inlineStr">
        <is>
          <t>titulo da pagina: Agricoltura, foreste e biodiversità - Regione del Veneto</t>
        </is>
      </c>
      <c r="AA53" t="inlineStr">
        <is>
          <t>dominio institucional do dono</t>
        </is>
      </c>
      <c r="AB53" t="inlineStr">
        <is>
          <t>nao sorteada</t>
        </is>
      </c>
      <c r="AC53" t="inlineStr">
        <is>
          <t>nao sorteada</t>
        </is>
      </c>
      <c r="AE53" t="inlineStr"/>
      <c r="AF53" t="inlineStr">
        <is>
          <t>caminho devolve 404</t>
        </is>
      </c>
    </row>
    <row r="54">
      <c r="A54" t="inlineStr">
        <is>
          <t>IT-DISC-2026-09-14-0053</t>
        </is>
      </c>
      <c r="B54" t="inlineStr">
        <is>
          <t>UNITE Facolta di Bioscienze e Tecnologie Agro-alimentari e Ambientali</t>
        </is>
      </c>
      <c r="C54" t="inlineStr">
        <is>
          <t>CIENCIA</t>
        </is>
      </c>
      <c r="D54" t="inlineStr">
        <is>
          <t>ORG</t>
        </is>
      </c>
      <c r="E54" t="inlineStr">
        <is>
          <t>Universita di Teramo</t>
        </is>
      </c>
      <c r="F54" t="inlineStr">
        <is>
          <t>https://www.unite.it/UniTE/Facolta_di_Bioscienze</t>
        </is>
      </c>
      <c r="G54" t="inlineStr">
        <is>
          <t>https://www.unite.it/UniTE/Bioscienze_e_Tecnologie_Agro-Alimentari_e_Ambientali</t>
        </is>
      </c>
      <c r="H54" t="inlineStr">
        <is>
          <t>https://www.unite.it/UniTE/Bioscienze_e_Tecnologie_Agro-Alimentari_e_Ambientali</t>
        </is>
      </c>
      <c r="I54" t="n">
        <v>200</v>
      </c>
      <c r="J54" t="inlineStr">
        <is>
          <t>text/html</t>
        </is>
      </c>
      <c r="K54" t="n">
        <v>0</v>
      </c>
      <c r="L54" t="b">
        <v>1</v>
      </c>
      <c r="M54" t="b">
        <v>1</v>
      </c>
      <c r="N54" t="inlineStr">
        <is>
          <t>PROVED_DIRECT</t>
        </is>
      </c>
      <c r="O54" t="inlineStr">
        <is>
          <t>SIM</t>
        </is>
      </c>
      <c r="P54" t="inlineStr">
        <is>
          <t>SIM — dominio .it e conteudo em italiano</t>
        </is>
      </c>
      <c r="Q54" t="inlineStr">
        <is>
          <t>UniTE - 
			Dipartimento di Bioscienze e tecnologie agro-alimentari e ambientali</t>
        </is>
      </c>
      <c r="R54" t="inlineStr">
        <is>
          <t>sonda HTTP read-only (GET limitado, payload nao preservado)</t>
        </is>
      </c>
      <c r="S54" t="inlineStr">
        <is>
          <t>2026-09-14T11:17:20Z</t>
        </is>
      </c>
      <c r="T54" t="inlineStr">
        <is>
          <t>PASS</t>
        </is>
      </c>
      <c r="U54" t="inlineStr"/>
      <c r="V54" t="inlineStr">
        <is>
          <t>T5;T6</t>
        </is>
      </c>
      <c r="W54" t="inlineStr">
        <is>
          <t>ABRUZZO</t>
        </is>
      </c>
      <c r="X54" t="inlineStr"/>
      <c r="Y54" t="inlineStr">
        <is>
          <t>bioscienze;agroalimentare</t>
        </is>
      </c>
      <c r="Z54" t="inlineStr">
        <is>
          <t xml:space="preserve">titulo da pagina: UniTE - 
			Dipartimento di Bioscienze e tecnologie agro-alimentari e </t>
        </is>
      </c>
      <c r="AA54" t="inlineStr">
        <is>
          <t>meta description: Dipartimento di Bioscienze e tecnologie agro-alimentari e ambientali</t>
        </is>
      </c>
      <c r="AB54" t="inlineStr">
        <is>
          <t>CONFIRMA</t>
        </is>
      </c>
      <c r="AC54" t="inlineStr">
        <is>
          <t>nao sorteada</t>
        </is>
      </c>
      <c r="AE54" t="inlineStr"/>
      <c r="AF54" t="inlineStr">
        <is>
          <t>nome do departamento mudou</t>
        </is>
      </c>
    </row>
    <row r="55">
      <c r="A55" t="inlineStr">
        <is>
          <t>IT-DISC-2026-09-14-0054</t>
        </is>
      </c>
      <c r="B55" t="inlineStr">
        <is>
          <t>UNIRC Dipartimento di Agraria</t>
        </is>
      </c>
      <c r="C55" t="inlineStr">
        <is>
          <t>CIENCIA</t>
        </is>
      </c>
      <c r="D55" t="inlineStr">
        <is>
          <t>ORG</t>
        </is>
      </c>
      <c r="E55" t="inlineStr">
        <is>
          <t>Universita Mediterranea di Reggio Calabria</t>
        </is>
      </c>
      <c r="F55" t="inlineStr">
        <is>
          <t>https://www.agraria.unirc.it/</t>
        </is>
      </c>
      <c r="G55" t="inlineStr">
        <is>
          <t>https://www.agraria.unirc.it/</t>
        </is>
      </c>
      <c r="H55" t="inlineStr">
        <is>
          <t>https://www.unirc.it/ateneo/dipartimenti/dipartimento-di-agraria</t>
        </is>
      </c>
      <c r="I55" t="n">
        <v>200</v>
      </c>
      <c r="J55" t="inlineStr">
        <is>
          <t>text/html</t>
        </is>
      </c>
      <c r="K55" t="n">
        <v>1</v>
      </c>
      <c r="L55" t="b">
        <v>1</v>
      </c>
      <c r="M55" t="b">
        <v>1</v>
      </c>
      <c r="N55" t="inlineStr">
        <is>
          <t>PROVED_DIRECT</t>
        </is>
      </c>
      <c r="O55" t="inlineStr">
        <is>
          <t>SIM</t>
        </is>
      </c>
      <c r="P55" t="inlineStr">
        <is>
          <t>SIM — dominio .it e conteudo em italiano</t>
        </is>
      </c>
      <c r="Q55" t="inlineStr">
        <is>
          <t>Dipartimento di Agraria | Università degli Studi Mediterranea - Reggio Calabria</t>
        </is>
      </c>
      <c r="R55" t="inlineStr">
        <is>
          <t>sonda HTTP read-only (GET limitado, payload nao preservado)</t>
        </is>
      </c>
      <c r="S55" t="inlineStr">
        <is>
          <t>2026-09-14T11:24:50Z</t>
        </is>
      </c>
      <c r="T55" t="inlineStr">
        <is>
          <t>PASS</t>
        </is>
      </c>
      <c r="U55" t="inlineStr"/>
      <c r="V55" t="inlineStr">
        <is>
          <t>T5;T6;T1</t>
        </is>
      </c>
      <c r="W55" t="inlineStr">
        <is>
          <t>CALABRIA</t>
        </is>
      </c>
      <c r="X55" t="inlineStr">
        <is>
          <t>agrumi;olivo</t>
        </is>
      </c>
      <c r="Y55" t="inlineStr">
        <is>
          <t>agrumi;olivo;agraria</t>
        </is>
      </c>
      <c r="Z55" t="inlineStr">
        <is>
          <t>titulo da pagina: Dipartimento di Agraria | Università degli Studi Mediterranea - Reggio</t>
        </is>
      </c>
      <c r="AA55" t="inlineStr">
        <is>
          <t>dominio institucional do dono</t>
        </is>
      </c>
      <c r="AB55" t="inlineStr">
        <is>
          <t>nao sorteada</t>
        </is>
      </c>
      <c r="AC55" t="inlineStr">
        <is>
          <t>nao sorteada</t>
        </is>
      </c>
      <c r="AE55" t="inlineStr"/>
      <c r="AF55" t="inlineStr"/>
    </row>
    <row r="56">
      <c r="A56" t="inlineStr">
        <is>
          <t>IT-DISC-2026-09-14-0055</t>
        </is>
      </c>
      <c r="B56" t="inlineStr">
        <is>
          <t>Antonio Pietro GARONNA — registo cientifico ORCID (Università degli Studi di Napoli Federico II)</t>
        </is>
      </c>
      <c r="C56" t="inlineStr">
        <is>
          <t>CIENCIA</t>
        </is>
      </c>
      <c r="D56" t="inlineStr">
        <is>
          <t>PERSON</t>
        </is>
      </c>
      <c r="E56" t="inlineStr">
        <is>
          <t>Antonio Pietro GARONNA · Università degli Studi di Napoli Federico II</t>
        </is>
      </c>
      <c r="F56" t="inlineStr">
        <is>
          <t>https://orcid.org/0000-0002-8441-5208</t>
        </is>
      </c>
      <c r="G56" t="inlineStr">
        <is>
          <t>https://orcid.org/0000-0002-8441-5208</t>
        </is>
      </c>
      <c r="H56" t="inlineStr">
        <is>
          <t>https://orcid.org/0000-0002-8441-5208</t>
        </is>
      </c>
      <c r="I56" t="n">
        <v>200</v>
      </c>
      <c r="J56" t="inlineStr">
        <is>
          <t>text/html</t>
        </is>
      </c>
      <c r="K56" t="n">
        <v>0</v>
      </c>
      <c r="L56" t="b">
        <v>1</v>
      </c>
      <c r="M56" t="b">
        <v>1</v>
      </c>
      <c r="N56" t="inlineStr">
        <is>
          <t>PROVED_BY_ORCID_EMPLOYMENT</t>
        </is>
      </c>
      <c r="O56" t="inlineStr">
        <is>
          <t>SIM</t>
        </is>
      </c>
      <c r="P56" t="inlineStr">
        <is>
          <t>SIM — ORCID declara afiliacao com country=IT e sem data de fim</t>
        </is>
      </c>
      <c r="Q56" t="inlineStr">
        <is>
          <t>ORCID employments: Università degli Studi di Napoli Federico II</t>
        </is>
      </c>
      <c r="R56" t="inlineStr">
        <is>
          <t>sonda HTTP read-only (GET limitado, payload nao preservado) + ORCID public API /employments</t>
        </is>
      </c>
      <c r="S56" t="inlineStr">
        <is>
          <t>2026-09-14T11:25:49Z</t>
        </is>
      </c>
      <c r="T56" t="inlineStr">
        <is>
          <t>PASS</t>
        </is>
      </c>
      <c r="U56" t="inlineStr"/>
      <c r="V56" t="inlineStr">
        <is>
          <t>T6;T5</t>
        </is>
      </c>
      <c r="W56" t="inlineStr">
        <is>
          <t>CAMPANIA</t>
        </is>
      </c>
      <c r="X56" t="inlineStr">
        <is>
          <t>olivo</t>
        </is>
      </c>
      <c r="Y56" t="inlineStr">
        <is>
          <t>olivo;mosca delle olive</t>
        </is>
      </c>
      <c r="Z56" t="inlineStr">
        <is>
          <t>ORCID 0000-0002-8441-5208</t>
        </is>
      </c>
      <c r="AA56" t="inlineStr">
        <is>
          <t>afiliacao atual: Università degli Studi di Napoli Federico II</t>
        </is>
      </c>
      <c r="AB56" t="inlineStr">
        <is>
          <t>nao sorteada</t>
        </is>
      </c>
      <c r="AC56" t="inlineStr">
        <is>
          <t>nao sorteada</t>
        </is>
      </c>
      <c r="AE56" t="inlineStr"/>
      <c r="AF56" t="inlineStr"/>
    </row>
    <row r="57">
      <c r="A57" t="inlineStr">
        <is>
          <t>IT-DISC-2026-09-14-0056</t>
        </is>
      </c>
      <c r="B57" t="inlineStr">
        <is>
          <t>CNR ISAFOM — Istituto per i Sistemi Agricoli e Forestali del Mediterraneo</t>
        </is>
      </c>
      <c r="C57" t="inlineStr">
        <is>
          <t>CIENCIA</t>
        </is>
      </c>
      <c r="D57" t="inlineStr">
        <is>
          <t>ORG</t>
        </is>
      </c>
      <c r="E57" t="inlineStr">
        <is>
          <t>CNR</t>
        </is>
      </c>
      <c r="F57" t="inlineStr">
        <is>
          <t>https://www.isafom.cnr.it/</t>
        </is>
      </c>
      <c r="G57" t="inlineStr">
        <is>
          <t>https://www.isafom.cnr.it/</t>
        </is>
      </c>
      <c r="H57" t="inlineStr">
        <is>
          <t>https://isafom.cnr.it/</t>
        </is>
      </c>
      <c r="I57" t="n">
        <v>200</v>
      </c>
      <c r="J57" t="inlineStr">
        <is>
          <t>text/html</t>
        </is>
      </c>
      <c r="K57" t="n">
        <v>1</v>
      </c>
      <c r="L57" t="b">
        <v>1</v>
      </c>
      <c r="M57" t="b">
        <v>1</v>
      </c>
      <c r="N57" t="inlineStr">
        <is>
          <t>PROVED_DIRECT</t>
        </is>
      </c>
      <c r="O57" t="inlineStr">
        <is>
          <t>SIM</t>
        </is>
      </c>
      <c r="P57" t="inlineStr">
        <is>
          <t>SIM — dominio .it e conteudo em italiano</t>
        </is>
      </c>
      <c r="Q57" t="inlineStr">
        <is>
          <t>Istituto per i Sistemi Agricoli e Forestali del Mediterraneo - CNR - ISAFOM</t>
        </is>
      </c>
      <c r="R57" t="inlineStr">
        <is>
          <t>sonda HTTP read-only (GET limitado, payload nao preservado)</t>
        </is>
      </c>
      <c r="S57" t="inlineStr">
        <is>
          <t>2026-09-14T11:04:32Z</t>
        </is>
      </c>
      <c r="T57" t="inlineStr">
        <is>
          <t>PASS</t>
        </is>
      </c>
      <c r="U57" t="inlineStr"/>
      <c r="V57" t="inlineStr">
        <is>
          <t>T2;T1;T5</t>
        </is>
      </c>
      <c r="W57" t="inlineStr">
        <is>
          <t>CAMPANIA</t>
        </is>
      </c>
      <c r="X57" t="inlineStr"/>
      <c r="Y57" t="inlineStr">
        <is>
          <t>agrosistemi mediterranei;acqua;suolo</t>
        </is>
      </c>
      <c r="Z57" t="inlineStr">
        <is>
          <t>titulo da pagina: Istituto per i Sistemi Agricoli e Forestali del Mediterraneo - CNR - I</t>
        </is>
      </c>
      <c r="AA57" t="inlineStr">
        <is>
          <t>meta description: Istituto per i Sistemi Agricoli e Forestali del Mediterraneo</t>
        </is>
      </c>
      <c r="AB57" t="inlineStr">
        <is>
          <t>nao sorteada</t>
        </is>
      </c>
      <c r="AC57" t="inlineStr">
        <is>
          <t>nao sorteada</t>
        </is>
      </c>
      <c r="AE57" t="inlineStr"/>
      <c r="AF57" t="inlineStr"/>
    </row>
    <row r="58">
      <c r="A58" t="inlineStr">
        <is>
          <t>IT-DISC-2026-09-14-0057</t>
        </is>
      </c>
      <c r="B58" t="inlineStr">
        <is>
          <t>UNINA Dipartimento di Agraria — Portici</t>
        </is>
      </c>
      <c r="C58" t="inlineStr">
        <is>
          <t>CIENCIA</t>
        </is>
      </c>
      <c r="D58" t="inlineStr">
        <is>
          <t>ORG</t>
        </is>
      </c>
      <c r="E58" t="inlineStr">
        <is>
          <t>Universita di Napoli Federico II</t>
        </is>
      </c>
      <c r="F58" t="inlineStr">
        <is>
          <t>https://www.agraria.unina.it/</t>
        </is>
      </c>
      <c r="G58" t="inlineStr">
        <is>
          <t>https://www.agraria.unina.it/</t>
        </is>
      </c>
      <c r="H58" t="inlineStr">
        <is>
          <t>https://www.agraria.unina.it/</t>
        </is>
      </c>
      <c r="I58" t="n">
        <v>200</v>
      </c>
      <c r="J58" t="inlineStr">
        <is>
          <t>text/html</t>
        </is>
      </c>
      <c r="K58" t="n">
        <v>0</v>
      </c>
      <c r="L58" t="b">
        <v>1</v>
      </c>
      <c r="M58" t="b">
        <v>1</v>
      </c>
      <c r="N58" t="inlineStr">
        <is>
          <t>PROVED_DIRECT</t>
        </is>
      </c>
      <c r="O58" t="inlineStr">
        <is>
          <t>SIM</t>
        </is>
      </c>
      <c r="P58" t="inlineStr">
        <is>
          <t>SIM — dominio .it e conteudo em italiano</t>
        </is>
      </c>
      <c r="Q58" t="inlineStr">
        <is>
          <t>Dipartimento di Agraria</t>
        </is>
      </c>
      <c r="R58" t="inlineStr">
        <is>
          <t>sonda HTTP read-only (GET limitado, payload nao preservado)</t>
        </is>
      </c>
      <c r="S58" t="inlineStr">
        <is>
          <t>2026-09-14T11:24:46Z</t>
        </is>
      </c>
      <c r="T58" t="inlineStr">
        <is>
          <t>PASS</t>
        </is>
      </c>
      <c r="U58" t="inlineStr"/>
      <c r="V58" t="inlineStr">
        <is>
          <t>T5;T6;T3</t>
        </is>
      </c>
      <c r="W58" t="inlineStr">
        <is>
          <t>CAMPANIA</t>
        </is>
      </c>
      <c r="X58" t="inlineStr"/>
      <c r="Y58" t="inlineStr">
        <is>
          <t>agraria;entomologia;patologia</t>
        </is>
      </c>
      <c r="Z58" t="inlineStr">
        <is>
          <t>titulo da pagina: Dipartimento di Agraria</t>
        </is>
      </c>
      <c r="AA58" t="inlineStr">
        <is>
          <t>dominio institucional do dono</t>
        </is>
      </c>
      <c r="AB58" t="inlineStr">
        <is>
          <t>nao sorteada</t>
        </is>
      </c>
      <c r="AC58" t="inlineStr">
        <is>
          <t>nao sorteada</t>
        </is>
      </c>
      <c r="AE58" t="inlineStr"/>
      <c r="AF58" t="inlineStr"/>
    </row>
    <row r="59">
      <c r="A59" t="inlineStr">
        <is>
          <t>IT-DISC-2026-09-14-0058</t>
        </is>
      </c>
      <c r="B59" t="inlineStr">
        <is>
          <t>Antonio Masetti — registo cientifico ORCID (University of Bologna)</t>
        </is>
      </c>
      <c r="C59" t="inlineStr">
        <is>
          <t>CIENCIA</t>
        </is>
      </c>
      <c r="D59" t="inlineStr">
        <is>
          <t>PERSON</t>
        </is>
      </c>
      <c r="E59" t="inlineStr">
        <is>
          <t>Antonio Masetti · University of Bologna</t>
        </is>
      </c>
      <c r="F59" t="inlineStr">
        <is>
          <t>https://orcid.org/0000-0001-6061-2752</t>
        </is>
      </c>
      <c r="G59" t="inlineStr">
        <is>
          <t>https://orcid.org/0000-0001-6061-2752</t>
        </is>
      </c>
      <c r="H59" t="inlineStr">
        <is>
          <t>https://orcid.org/0000-0001-6061-2752</t>
        </is>
      </c>
      <c r="I59" t="n">
        <v>200</v>
      </c>
      <c r="J59" t="inlineStr">
        <is>
          <t>text/html</t>
        </is>
      </c>
      <c r="K59" t="n">
        <v>0</v>
      </c>
      <c r="L59" t="b">
        <v>1</v>
      </c>
      <c r="M59" t="b">
        <v>1</v>
      </c>
      <c r="N59" t="inlineStr">
        <is>
          <t>PROVED_BY_ORCID_EMPLOYMENT</t>
        </is>
      </c>
      <c r="O59" t="inlineStr">
        <is>
          <t>SIM</t>
        </is>
      </c>
      <c r="P59" t="inlineStr">
        <is>
          <t>SIM — ORCID declara afiliacao com country=IT e sem data de fim</t>
        </is>
      </c>
      <c r="Q59" t="inlineStr">
        <is>
          <t>ORCID employments: University of Bologna</t>
        </is>
      </c>
      <c r="R59" t="inlineStr">
        <is>
          <t>sonda HTTP read-only (GET limitado, payload nao preservado) + ORCID public API /employments</t>
        </is>
      </c>
      <c r="S59" t="inlineStr">
        <is>
          <t>2026-09-14T11:25:47Z</t>
        </is>
      </c>
      <c r="T59" t="inlineStr">
        <is>
          <t>PASS</t>
        </is>
      </c>
      <c r="U59" t="inlineStr"/>
      <c r="V59" t="inlineStr">
        <is>
          <t>T6;T5</t>
        </is>
      </c>
      <c r="W59" t="inlineStr">
        <is>
          <t>EMILIA-ROMAGNA</t>
        </is>
      </c>
      <c r="X59" t="inlineStr"/>
      <c r="Y59" t="inlineStr">
        <is>
          <t>Halyomorpha;cimice asiatica</t>
        </is>
      </c>
      <c r="Z59" t="inlineStr">
        <is>
          <t>ORCID 0000-0001-6061-2752</t>
        </is>
      </c>
      <c r="AA59" t="inlineStr">
        <is>
          <t>afiliacao atual: University of Bologna</t>
        </is>
      </c>
      <c r="AB59" t="inlineStr">
        <is>
          <t>nao sorteada</t>
        </is>
      </c>
      <c r="AC59" t="inlineStr">
        <is>
          <t>nao sorteada</t>
        </is>
      </c>
      <c r="AE59" t="inlineStr"/>
      <c r="AF59" t="inlineStr"/>
    </row>
    <row r="60">
      <c r="A60" t="inlineStr">
        <is>
          <t>IT-DISC-2026-09-14-0059</t>
        </is>
      </c>
      <c r="B60" t="inlineStr">
        <is>
          <t>Antonio Prodi — registo cientifico ORCID (University of Bologna)</t>
        </is>
      </c>
      <c r="C60" t="inlineStr">
        <is>
          <t>CIENCIA</t>
        </is>
      </c>
      <c r="D60" t="inlineStr">
        <is>
          <t>PERSON</t>
        </is>
      </c>
      <c r="E60" t="inlineStr">
        <is>
          <t>Antonio Prodi · University of Bologna</t>
        </is>
      </c>
      <c r="F60" t="inlineStr">
        <is>
          <t>https://orcid.org/0000-0002-7221-7271</t>
        </is>
      </c>
      <c r="G60" t="inlineStr">
        <is>
          <t>https://orcid.org/0000-0002-7221-7271</t>
        </is>
      </c>
      <c r="H60" t="inlineStr">
        <is>
          <t>https://orcid.org/0000-0002-7221-7271</t>
        </is>
      </c>
      <c r="I60" t="n">
        <v>200</v>
      </c>
      <c r="J60" t="inlineStr">
        <is>
          <t>text/html</t>
        </is>
      </c>
      <c r="K60" t="n">
        <v>0</v>
      </c>
      <c r="L60" t="b">
        <v>1</v>
      </c>
      <c r="M60" t="b">
        <v>1</v>
      </c>
      <c r="N60" t="inlineStr">
        <is>
          <t>PROVED_BY_ORCID_EMPLOYMENT</t>
        </is>
      </c>
      <c r="O60" t="inlineStr">
        <is>
          <t>SIM</t>
        </is>
      </c>
      <c r="P60" t="inlineStr">
        <is>
          <t>SIM — ORCID declara afiliacao com country=IT e sem data de fim</t>
        </is>
      </c>
      <c r="Q60" t="inlineStr">
        <is>
          <t>ORCID employments: University of Bologna</t>
        </is>
      </c>
      <c r="R60" t="inlineStr">
        <is>
          <t>sonda HTTP read-only (GET limitado, payload nao preservado) + ORCID public API /employments</t>
        </is>
      </c>
      <c r="S60" t="inlineStr">
        <is>
          <t>2026-09-14T11:25:48Z</t>
        </is>
      </c>
      <c r="T60" t="inlineStr">
        <is>
          <t>PASS</t>
        </is>
      </c>
      <c r="U60" t="inlineStr"/>
      <c r="V60" t="inlineStr">
        <is>
          <t>T6;T5</t>
        </is>
      </c>
      <c r="W60" t="inlineStr">
        <is>
          <t>EMILIA-ROMAGNA</t>
        </is>
      </c>
      <c r="X60" t="inlineStr">
        <is>
          <t>grano</t>
        </is>
      </c>
      <c r="Y60" t="inlineStr">
        <is>
          <t>grano duro;Fusarium;micotossine</t>
        </is>
      </c>
      <c r="Z60" t="inlineStr">
        <is>
          <t>ORCID 0000-0002-7221-7271</t>
        </is>
      </c>
      <c r="AA60" t="inlineStr">
        <is>
          <t>afiliacao atual: University of Bologna</t>
        </is>
      </c>
      <c r="AB60" t="inlineStr">
        <is>
          <t>nao sorteada</t>
        </is>
      </c>
      <c r="AC60" t="inlineStr">
        <is>
          <t>nao sorteada</t>
        </is>
      </c>
      <c r="AE60" t="inlineStr"/>
      <c r="AF60" t="inlineStr"/>
    </row>
    <row r="61">
      <c r="A61" t="inlineStr">
        <is>
          <t>IT-DISC-2026-09-14-0060</t>
        </is>
      </c>
      <c r="B61" t="inlineStr">
        <is>
          <t>Bulletin of Insectology</t>
        </is>
      </c>
      <c r="C61" t="inlineStr">
        <is>
          <t>CIENCIA</t>
        </is>
      </c>
      <c r="D61" t="inlineStr">
        <is>
          <t>ORG</t>
        </is>
      </c>
      <c r="E61" t="inlineStr">
        <is>
          <t>Universita di Bologna</t>
        </is>
      </c>
      <c r="F61" t="inlineStr">
        <is>
          <t>http://www.bulletinofinsectology.org/</t>
        </is>
      </c>
      <c r="G61" t="inlineStr">
        <is>
          <t>http://www.bulletinofinsectology.org/</t>
        </is>
      </c>
      <c r="H61" t="inlineStr">
        <is>
          <t>https://bulletinofinsectology.org/</t>
        </is>
      </c>
      <c r="I61" t="n">
        <v>200</v>
      </c>
      <c r="J61" t="inlineStr">
        <is>
          <t>text/html</t>
        </is>
      </c>
      <c r="K61" t="n">
        <v>3</v>
      </c>
      <c r="L61" t="b">
        <v>1</v>
      </c>
      <c r="M61" t="b">
        <v>1</v>
      </c>
      <c r="N61" t="inlineStr">
        <is>
          <t>PROVED_DIRECT</t>
        </is>
      </c>
      <c r="O61" t="inlineStr">
        <is>
          <t>SIM</t>
        </is>
      </c>
      <c r="P61" t="inlineStr">
        <is>
          <t>SIM — dono italiano identificado na pagina</t>
        </is>
      </c>
      <c r="Q61" t="inlineStr">
        <is>
          <t>Bulletin of Insectology</t>
        </is>
      </c>
      <c r="R61" t="inlineStr">
        <is>
          <t>sonda HTTP read-only (GET limitado, payload nao preservado)</t>
        </is>
      </c>
      <c r="S61" t="inlineStr">
        <is>
          <t>2026-09-14T11:24:58Z</t>
        </is>
      </c>
      <c r="T61" t="inlineStr">
        <is>
          <t>PASS</t>
        </is>
      </c>
      <c r="U61" t="inlineStr"/>
      <c r="V61" t="inlineStr">
        <is>
          <t>T3;T5</t>
        </is>
      </c>
      <c r="W61" t="inlineStr">
        <is>
          <t>EMILIA-ROMAGNA</t>
        </is>
      </c>
      <c r="X61" t="inlineStr"/>
      <c r="Y61" t="inlineStr">
        <is>
          <t>journal;entomologia</t>
        </is>
      </c>
      <c r="Z61" t="inlineStr">
        <is>
          <t>titulo da pagina: Bulletin of Insectology</t>
        </is>
      </c>
      <c r="AA61" t="inlineStr">
        <is>
          <t>meta description: &amp;amp;nbsp;Bulletin of Insectology is an international scientific journ</t>
        </is>
      </c>
      <c r="AB61" t="inlineStr">
        <is>
          <t>nao sorteada</t>
        </is>
      </c>
      <c r="AC61" t="inlineStr">
        <is>
          <t>nao sorteada</t>
        </is>
      </c>
      <c r="AE61" t="inlineStr"/>
      <c r="AF61" t="inlineStr"/>
    </row>
    <row r="62">
      <c r="A62" t="inlineStr">
        <is>
          <t>IT-DISC-2026-09-14-0061</t>
        </is>
      </c>
      <c r="B62" t="inlineStr">
        <is>
          <t>CLAUDIO RATTI — registo cientifico ORCID (Alma Mater Studiorum  Universita' di Bologna)</t>
        </is>
      </c>
      <c r="C62" t="inlineStr">
        <is>
          <t>CIENCIA</t>
        </is>
      </c>
      <c r="D62" t="inlineStr">
        <is>
          <t>PERSON</t>
        </is>
      </c>
      <c r="E62" t="inlineStr">
        <is>
          <t>CLAUDIO RATTI · Alma Mater Studiorum  Universita' di Bologna</t>
        </is>
      </c>
      <c r="F62" t="inlineStr">
        <is>
          <t>https://orcid.org/0000-0002-5640-2143</t>
        </is>
      </c>
      <c r="G62" t="inlineStr">
        <is>
          <t>https://orcid.org/0000-0002-5640-2143</t>
        </is>
      </c>
      <c r="H62" t="inlineStr">
        <is>
          <t>https://orcid.org/0000-0002-5640-2143</t>
        </is>
      </c>
      <c r="I62" t="n">
        <v>200</v>
      </c>
      <c r="J62" t="inlineStr">
        <is>
          <t>text/html</t>
        </is>
      </c>
      <c r="K62" t="n">
        <v>0</v>
      </c>
      <c r="L62" t="b">
        <v>1</v>
      </c>
      <c r="M62" t="b">
        <v>1</v>
      </c>
      <c r="N62" t="inlineStr">
        <is>
          <t>PROVED_BY_ORCID_EMPLOYMENT</t>
        </is>
      </c>
      <c r="O62" t="inlineStr">
        <is>
          <t>SIM</t>
        </is>
      </c>
      <c r="P62" t="inlineStr">
        <is>
          <t>SIM — ORCID declara afiliacao com country=IT e sem data de fim</t>
        </is>
      </c>
      <c r="Q62" t="inlineStr">
        <is>
          <t>ORCID employments: Alma Mater Studiorum  Universita' di Bologna</t>
        </is>
      </c>
      <c r="R62" t="inlineStr">
        <is>
          <t>sonda HTTP read-only (GET limitado, payload nao preservado) + ORCID public API /employments</t>
        </is>
      </c>
      <c r="S62" t="inlineStr">
        <is>
          <t>2026-09-14T11:25:48Z</t>
        </is>
      </c>
      <c r="T62" t="inlineStr">
        <is>
          <t>PASS</t>
        </is>
      </c>
      <c r="U62" t="inlineStr"/>
      <c r="V62" t="inlineStr">
        <is>
          <t>T6;T5</t>
        </is>
      </c>
      <c r="W62" t="inlineStr">
        <is>
          <t>EMILIA-ROMAGNA</t>
        </is>
      </c>
      <c r="X62" t="inlineStr">
        <is>
          <t>vite</t>
        </is>
      </c>
      <c r="Y62" t="inlineStr">
        <is>
          <t>vite;flavescenza dorata</t>
        </is>
      </c>
      <c r="Z62" t="inlineStr">
        <is>
          <t>ORCID 0000-0002-5640-2143</t>
        </is>
      </c>
      <c r="AA62" t="inlineStr">
        <is>
          <t>afiliacao atual: Alma Mater Studiorum  Universita' di Bologna</t>
        </is>
      </c>
      <c r="AB62" t="inlineStr">
        <is>
          <t>nao sorteada</t>
        </is>
      </c>
      <c r="AC62" t="inlineStr">
        <is>
          <t>nao sorteada</t>
        </is>
      </c>
      <c r="AE62" t="inlineStr"/>
      <c r="AF62" t="inlineStr"/>
    </row>
    <row r="63">
      <c r="A63" t="inlineStr">
        <is>
          <t>IT-DISC-2026-09-14-0062</t>
        </is>
      </c>
      <c r="B63" t="inlineStr">
        <is>
          <t>CRPA — Centro Ricerche Produzioni Animali</t>
        </is>
      </c>
      <c r="C63" t="inlineStr">
        <is>
          <t>CIENCIA</t>
        </is>
      </c>
      <c r="D63" t="inlineStr">
        <is>
          <t>ORG</t>
        </is>
      </c>
      <c r="E63" t="inlineStr">
        <is>
          <t>CRPA</t>
        </is>
      </c>
      <c r="F63" t="inlineStr">
        <is>
          <t>https://www.crpa.it/</t>
        </is>
      </c>
      <c r="G63" t="inlineStr">
        <is>
          <t>https://www.crpa.it/</t>
        </is>
      </c>
      <c r="H63" t="inlineStr">
        <is>
          <t>https://www.crpa.it/nqcontent.cfm?a_id=1109</t>
        </is>
      </c>
      <c r="I63" t="n">
        <v>200</v>
      </c>
      <c r="J63" t="inlineStr">
        <is>
          <t>text/html</t>
        </is>
      </c>
      <c r="K63" t="n">
        <v>1</v>
      </c>
      <c r="L63" t="b">
        <v>1</v>
      </c>
      <c r="M63" t="b">
        <v>1</v>
      </c>
      <c r="N63" t="inlineStr">
        <is>
          <t>PROVED_DIRECT</t>
        </is>
      </c>
      <c r="O63" t="inlineStr">
        <is>
          <t>SIM</t>
        </is>
      </c>
      <c r="P63" t="inlineStr">
        <is>
          <t>SIM — dominio .it e conteudo em italiano</t>
        </is>
      </c>
      <c r="Q63" t="inlineStr">
        <is>
          <t>CRPA Soc. Cons. p. A. - Centro Ricerche Produzioni Animali Soc. Cons. p. A.</t>
        </is>
      </c>
      <c r="R63" t="inlineStr">
        <is>
          <t>sonda HTTP read-only (GET limitado, payload nao preservado)</t>
        </is>
      </c>
      <c r="S63" t="inlineStr">
        <is>
          <t>2026-09-14T11:24:55Z</t>
        </is>
      </c>
      <c r="T63" t="inlineStr">
        <is>
          <t>PASS</t>
        </is>
      </c>
      <c r="U63" t="inlineStr"/>
      <c r="V63" t="inlineStr">
        <is>
          <t>T5;T1</t>
        </is>
      </c>
      <c r="W63" t="inlineStr">
        <is>
          <t>EMILIA-ROMAGNA</t>
        </is>
      </c>
      <c r="X63" t="inlineStr"/>
      <c r="Y63" t="inlineStr">
        <is>
          <t>zootecnia;ambiente;biogas</t>
        </is>
      </c>
      <c r="Z63" t="inlineStr">
        <is>
          <t xml:space="preserve">titulo da pagina: CRPA Soc. Cons. p. A. - Centro Ricerche Produzioni Animali Soc. Cons. </t>
        </is>
      </c>
      <c r="AA63" t="inlineStr">
        <is>
          <t>meta description: Attivo dal 1972, il Centro Ricerche Produzioni Animali - CRPA S.p.A. m</t>
        </is>
      </c>
      <c r="AB63" t="inlineStr">
        <is>
          <t>nao sorteada</t>
        </is>
      </c>
      <c r="AC63" t="inlineStr">
        <is>
          <t>nao sorteada</t>
        </is>
      </c>
      <c r="AE63" t="inlineStr"/>
      <c r="AF63" t="inlineStr"/>
    </row>
    <row r="64">
      <c r="A64" t="inlineStr">
        <is>
          <t>IT-DISC-2026-09-14-0063</t>
        </is>
      </c>
      <c r="B64" t="inlineStr">
        <is>
          <t>CRPV — Centro Ricerche Produzioni Vegetali</t>
        </is>
      </c>
      <c r="C64" t="inlineStr">
        <is>
          <t>CIENCIA</t>
        </is>
      </c>
      <c r="D64" t="inlineStr">
        <is>
          <t>ORG</t>
        </is>
      </c>
      <c r="E64" t="inlineStr">
        <is>
          <t>CRPV</t>
        </is>
      </c>
      <c r="F64" t="inlineStr">
        <is>
          <t>https://www.crpv.it/</t>
        </is>
      </c>
      <c r="G64" t="inlineStr">
        <is>
          <t>https://www.crpv.it/</t>
        </is>
      </c>
      <c r="H64" t="inlineStr">
        <is>
          <t>https://rinova.eu/</t>
        </is>
      </c>
      <c r="I64" t="n">
        <v>200</v>
      </c>
      <c r="J64" t="inlineStr">
        <is>
          <t>text/html</t>
        </is>
      </c>
      <c r="K64" t="n">
        <v>1</v>
      </c>
      <c r="L64" t="b">
        <v>1</v>
      </c>
      <c r="M64" t="b">
        <v>1</v>
      </c>
      <c r="N64" t="inlineStr">
        <is>
          <t>PROVED_DIRECT</t>
        </is>
      </c>
      <c r="O64" t="inlineStr">
        <is>
          <t>SIM</t>
        </is>
      </c>
      <c r="P64" t="inlineStr">
        <is>
          <t>SIM — dominio .it e conteudo em italiano</t>
        </is>
      </c>
      <c r="Q64" t="inlineStr">
        <is>
          <t>Ri.Nova societ&amp;#xE0; cooperativa</t>
        </is>
      </c>
      <c r="R64" t="inlineStr">
        <is>
          <t>sonda HTTP read-only (GET limitado, payload nao preservado)</t>
        </is>
      </c>
      <c r="S64" t="inlineStr">
        <is>
          <t>2026-09-14T11:24:55Z</t>
        </is>
      </c>
      <c r="T64" t="inlineStr">
        <is>
          <t>PASS</t>
        </is>
      </c>
      <c r="U64" t="inlineStr"/>
      <c r="V64" t="inlineStr">
        <is>
          <t>T5;T3;T1</t>
        </is>
      </c>
      <c r="W64" t="inlineStr">
        <is>
          <t>EMILIA-ROMAGNA</t>
        </is>
      </c>
      <c r="X64" t="inlineStr">
        <is>
          <t>ortofrutta</t>
        </is>
      </c>
      <c r="Y64" t="inlineStr">
        <is>
          <t>sperimentazione;ortofrutta;difesa</t>
        </is>
      </c>
      <c r="Z64" t="inlineStr">
        <is>
          <t>titulo da pagina: Ri.Nova societ&amp;#xE0; cooperativa</t>
        </is>
      </c>
      <c r="AA64" t="inlineStr">
        <is>
          <t>meta description: Ri.Nova &amp;#xE8; una cooperativa che si occupa di ricerca e sperimentazi</t>
        </is>
      </c>
      <c r="AB64" t="inlineStr">
        <is>
          <t>nao sorteada</t>
        </is>
      </c>
      <c r="AC64" t="inlineStr">
        <is>
          <t>nao sorteada</t>
        </is>
      </c>
      <c r="AE64" t="inlineStr"/>
      <c r="AF64" t="inlineStr"/>
    </row>
    <row r="65">
      <c r="A65" t="inlineStr">
        <is>
          <t>IT-DISC-2026-09-14-0064</t>
        </is>
      </c>
      <c r="B65" t="inlineStr">
        <is>
          <t>Fondazione per l'Agricoltura F.lli Navarra</t>
        </is>
      </c>
      <c r="C65" t="inlineStr">
        <is>
          <t>CIENCIA</t>
        </is>
      </c>
      <c r="D65" t="inlineStr">
        <is>
          <t>ORG</t>
        </is>
      </c>
      <c r="E65" t="inlineStr">
        <is>
          <t>Fondazione Navarra</t>
        </is>
      </c>
      <c r="F65" t="inlineStr">
        <is>
          <t>https://www.fondazionenavarra.it/</t>
        </is>
      </c>
      <c r="G65" t="inlineStr">
        <is>
          <t>https://www.fondazionenavarra.it/</t>
        </is>
      </c>
      <c r="H65" t="inlineStr">
        <is>
          <t>https://www.fondazionenavarra.it/</t>
        </is>
      </c>
      <c r="I65" t="n">
        <v>200</v>
      </c>
      <c r="J65" t="inlineStr">
        <is>
          <t>text/html</t>
        </is>
      </c>
      <c r="K65" t="n">
        <v>0</v>
      </c>
      <c r="L65" t="b">
        <v>1</v>
      </c>
      <c r="M65" t="b">
        <v>1</v>
      </c>
      <c r="N65" t="inlineStr">
        <is>
          <t>PROVED_DIRECT</t>
        </is>
      </c>
      <c r="O65" t="inlineStr">
        <is>
          <t>SIM</t>
        </is>
      </c>
      <c r="P65" t="inlineStr">
        <is>
          <t>SIM — dominio .it e conteudo em italiano</t>
        </is>
      </c>
      <c r="Q65" t="inlineStr">
        <is>
          <t>Fondazione Navarra &amp;#8211; fondazione fratelli Navarra</t>
        </is>
      </c>
      <c r="R65" t="inlineStr">
        <is>
          <t>sonda HTTP read-only (GET limitado, payload nao preservado)</t>
        </is>
      </c>
      <c r="S65" t="inlineStr">
        <is>
          <t>2026-09-14T11:24:55Z</t>
        </is>
      </c>
      <c r="T65" t="inlineStr">
        <is>
          <t>PASS</t>
        </is>
      </c>
      <c r="U65" t="inlineStr"/>
      <c r="V65" t="inlineStr">
        <is>
          <t>T5;T1</t>
        </is>
      </c>
      <c r="W65" t="inlineStr">
        <is>
          <t>EMILIA-ROMAGNA</t>
        </is>
      </c>
      <c r="X65" t="inlineStr"/>
      <c r="Y65" t="inlineStr">
        <is>
          <t>frutticoltura;sperimentazione</t>
        </is>
      </c>
      <c r="Z65" t="inlineStr">
        <is>
          <t>titulo da pagina: Fondazione Navarra &amp;#8211; fondazione fratelli Navarra</t>
        </is>
      </c>
      <c r="AA65" t="inlineStr">
        <is>
          <t>dominio institucional do dono</t>
        </is>
      </c>
      <c r="AB65" t="inlineStr">
        <is>
          <t>nao sorteada</t>
        </is>
      </c>
      <c r="AC65" t="inlineStr">
        <is>
          <t>nao sorteada</t>
        </is>
      </c>
      <c r="AE65" t="inlineStr"/>
      <c r="AF65" t="inlineStr"/>
    </row>
    <row r="66">
      <c r="A66" t="inlineStr">
        <is>
          <t>IT-DISC-2026-09-14-0065</t>
        </is>
      </c>
      <c r="B66" t="inlineStr">
        <is>
          <t>IRIS UNIBO — Archivio istituzionale della ricerca</t>
        </is>
      </c>
      <c r="C66" t="inlineStr">
        <is>
          <t>CIENCIA</t>
        </is>
      </c>
      <c r="D66" t="inlineStr">
        <is>
          <t>ORG</t>
        </is>
      </c>
      <c r="E66" t="inlineStr">
        <is>
          <t>Universita di Bologna</t>
        </is>
      </c>
      <c r="F66" t="inlineStr">
        <is>
          <t>https://cris.unibo.it/</t>
        </is>
      </c>
      <c r="G66" t="inlineStr">
        <is>
          <t>https://cris.unibo.it/</t>
        </is>
      </c>
      <c r="H66" t="inlineStr">
        <is>
          <t>https://cris.unibo.it/</t>
        </is>
      </c>
      <c r="I66" t="n">
        <v>200</v>
      </c>
      <c r="J66" t="inlineStr">
        <is>
          <t>text/html</t>
        </is>
      </c>
      <c r="K66" t="n">
        <v>0</v>
      </c>
      <c r="L66" t="b">
        <v>1</v>
      </c>
      <c r="M66" t="b">
        <v>1</v>
      </c>
      <c r="N66" t="inlineStr">
        <is>
          <t>PROVED_DIRECT</t>
        </is>
      </c>
      <c r="O66" t="inlineStr">
        <is>
          <t>SIM</t>
        </is>
      </c>
      <c r="P66" t="inlineStr">
        <is>
          <t>SIM — dominio .it e conteudo em italiano</t>
        </is>
      </c>
      <c r="Q66" t="inlineStr">
        <is>
          <t>Home page</t>
        </is>
      </c>
      <c r="R66" t="inlineStr">
        <is>
          <t>sonda HTTP read-only (GET limitado, payload nao preservado)</t>
        </is>
      </c>
      <c r="S66" t="inlineStr">
        <is>
          <t>2026-09-14T11:24:56Z</t>
        </is>
      </c>
      <c r="T66" t="inlineStr">
        <is>
          <t>PASS</t>
        </is>
      </c>
      <c r="U66" t="inlineStr"/>
      <c r="V66" t="inlineStr">
        <is>
          <t>T5;T6</t>
        </is>
      </c>
      <c r="W66" t="inlineStr">
        <is>
          <t>EMILIA-ROMAGNA</t>
        </is>
      </c>
      <c r="X66" t="inlineStr"/>
      <c r="Y66" t="inlineStr">
        <is>
          <t>repositorio scientifico;pubblicazioni</t>
        </is>
      </c>
      <c r="Z66" t="inlineStr">
        <is>
          <t>titulo da pagina: Home page</t>
        </is>
      </c>
      <c r="AA66" t="inlineStr">
        <is>
          <t>dominio institucional do dono</t>
        </is>
      </c>
      <c r="AB66" t="inlineStr">
        <is>
          <t>CONFIRMA</t>
        </is>
      </c>
      <c r="AC66" t="inlineStr">
        <is>
          <t>nao sorteada</t>
        </is>
      </c>
      <c r="AE66" t="inlineStr"/>
      <c r="AF66" t="inlineStr"/>
    </row>
    <row r="67">
      <c r="A67" t="inlineStr">
        <is>
          <t>IT-DISC-2026-09-14-0066</t>
        </is>
      </c>
      <c r="B67" t="inlineStr">
        <is>
          <t>Roberta Paris — registo cientifico ORCID (Council for Agricultural Research and Economics Analysis (CREA) )</t>
        </is>
      </c>
      <c r="C67" t="inlineStr">
        <is>
          <t>CIENCIA</t>
        </is>
      </c>
      <c r="D67" t="inlineStr">
        <is>
          <t>PERSON</t>
        </is>
      </c>
      <c r="E67" t="inlineStr">
        <is>
          <t xml:space="preserve">Roberta Paris · Council for Agricultural Research and Economics Analysis (CREA) </t>
        </is>
      </c>
      <c r="F67" t="inlineStr">
        <is>
          <t>https://orcid.org/0000-0001-7823-2475</t>
        </is>
      </c>
      <c r="G67" t="inlineStr">
        <is>
          <t>https://orcid.org/0000-0001-7823-2475</t>
        </is>
      </c>
      <c r="H67" t="inlineStr">
        <is>
          <t>https://orcid.org/0000-0001-7823-2475</t>
        </is>
      </c>
      <c r="I67" t="n">
        <v>200</v>
      </c>
      <c r="J67" t="inlineStr">
        <is>
          <t>text/html</t>
        </is>
      </c>
      <c r="K67" t="n">
        <v>0</v>
      </c>
      <c r="L67" t="b">
        <v>1</v>
      </c>
      <c r="M67" t="b">
        <v>1</v>
      </c>
      <c r="N67" t="inlineStr">
        <is>
          <t>PROVED_BY_ORCID_EMPLOYMENT</t>
        </is>
      </c>
      <c r="O67" t="inlineStr">
        <is>
          <t>SIM</t>
        </is>
      </c>
      <c r="P67" t="inlineStr">
        <is>
          <t>SIM — ORCID declara afiliacao com country=IT e sem data de fim</t>
        </is>
      </c>
      <c r="Q67" t="inlineStr">
        <is>
          <t xml:space="preserve">ORCID employments: Council for Agricultural Research and Economics Analysis (CREA) </t>
        </is>
      </c>
      <c r="R67" t="inlineStr">
        <is>
          <t>sonda HTTP read-only (GET limitado, payload nao preservado) + ORCID public API /employments</t>
        </is>
      </c>
      <c r="S67" t="inlineStr">
        <is>
          <t>2026-09-14T11:25:50Z</t>
        </is>
      </c>
      <c r="T67" t="inlineStr">
        <is>
          <t>PASS</t>
        </is>
      </c>
      <c r="U67" t="inlineStr"/>
      <c r="V67" t="inlineStr">
        <is>
          <t>T6;T5</t>
        </is>
      </c>
      <c r="W67" t="inlineStr">
        <is>
          <t>EMILIA-ROMAGNA</t>
        </is>
      </c>
      <c r="X67" t="inlineStr">
        <is>
          <t>melo</t>
        </is>
      </c>
      <c r="Y67" t="inlineStr">
        <is>
          <t>melo;Venturia inaequalis</t>
        </is>
      </c>
      <c r="Z67" t="inlineStr">
        <is>
          <t>ORCID 0000-0001-7823-2475</t>
        </is>
      </c>
      <c r="AA67" t="inlineStr">
        <is>
          <t xml:space="preserve">afiliacao atual: Council for Agricultural Research and Economics Analysis (CREA) </t>
        </is>
      </c>
      <c r="AB67" t="inlineStr">
        <is>
          <t>nao sorteada</t>
        </is>
      </c>
      <c r="AC67" t="inlineStr">
        <is>
          <t>nao sorteada</t>
        </is>
      </c>
      <c r="AE67" t="inlineStr"/>
      <c r="AF67" t="inlineStr"/>
    </row>
    <row r="68">
      <c r="A68" t="inlineStr">
        <is>
          <t>IT-DISC-2026-09-14-0067</t>
        </is>
      </c>
      <c r="B68" t="inlineStr">
        <is>
          <t>SSICA — Stazione Sperimentale per l'Industria delle Conserve Alimentari</t>
        </is>
      </c>
      <c r="C68" t="inlineStr">
        <is>
          <t>CIENCIA</t>
        </is>
      </c>
      <c r="D68" t="inlineStr">
        <is>
          <t>ORG</t>
        </is>
      </c>
      <c r="E68" t="inlineStr">
        <is>
          <t>SSICA</t>
        </is>
      </c>
      <c r="F68" t="inlineStr">
        <is>
          <t>https://www.ssica.it/</t>
        </is>
      </c>
      <c r="G68" t="inlineStr">
        <is>
          <t>https://www.ssica.it/</t>
        </is>
      </c>
      <c r="H68" t="inlineStr">
        <is>
          <t>https://www.ssica.it/</t>
        </is>
      </c>
      <c r="I68" t="n">
        <v>200</v>
      </c>
      <c r="J68" t="inlineStr">
        <is>
          <t>text/html</t>
        </is>
      </c>
      <c r="K68" t="n">
        <v>0</v>
      </c>
      <c r="L68" t="b">
        <v>1</v>
      </c>
      <c r="M68" t="b">
        <v>1</v>
      </c>
      <c r="N68" t="inlineStr">
        <is>
          <t>PROVED_DIRECT</t>
        </is>
      </c>
      <c r="O68" t="inlineStr">
        <is>
          <t>SIM</t>
        </is>
      </c>
      <c r="P68" t="inlineStr">
        <is>
          <t>SIM — dominio .it e conteudo em italiano</t>
        </is>
      </c>
      <c r="Q68" t="inlineStr">
        <is>
          <t>Stazione Sperimentale per l&amp;#039;Industria delle Conserve Alimentari | SSICA</t>
        </is>
      </c>
      <c r="R68" t="inlineStr">
        <is>
          <t>sonda HTTP read-only (GET limitado, payload nao preservado)</t>
        </is>
      </c>
      <c r="S68" t="inlineStr">
        <is>
          <t>2026-09-14T11:24:55Z</t>
        </is>
      </c>
      <c r="T68" t="inlineStr">
        <is>
          <t>PASS</t>
        </is>
      </c>
      <c r="U68" t="inlineStr"/>
      <c r="V68" t="inlineStr">
        <is>
          <t>T5;T10</t>
        </is>
      </c>
      <c r="W68" t="inlineStr">
        <is>
          <t>EMILIA-ROMAGNA</t>
        </is>
      </c>
      <c r="X68" t="inlineStr">
        <is>
          <t>pomodoro</t>
        </is>
      </c>
      <c r="Y68" t="inlineStr">
        <is>
          <t>pomodoro;conserve;trasformazione</t>
        </is>
      </c>
      <c r="Z68" t="inlineStr">
        <is>
          <t>titulo da pagina: Stazione Sperimentale per l&amp;#039;Industria delle Conserve Alimentari |</t>
        </is>
      </c>
      <c r="AA68" t="inlineStr">
        <is>
          <t>meta description: La Stazione Sperimentale per l&amp;#039;Industria delle Conserve Alimentar</t>
        </is>
      </c>
      <c r="AB68" t="inlineStr">
        <is>
          <t>nao sorteada</t>
        </is>
      </c>
      <c r="AC68" t="inlineStr">
        <is>
          <t>nao sorteada</t>
        </is>
      </c>
      <c r="AE68" t="inlineStr"/>
      <c r="AF68" t="inlineStr"/>
    </row>
    <row r="69">
      <c r="A69" t="inlineStr">
        <is>
          <t>IT-DISC-2026-09-14-0068</t>
        </is>
      </c>
      <c r="B69" t="inlineStr">
        <is>
          <t>Stefano Maini — registo cientifico ORCID (Alma Mater Studiorum - Università di Bologna)</t>
        </is>
      </c>
      <c r="C69" t="inlineStr">
        <is>
          <t>CIENCIA</t>
        </is>
      </c>
      <c r="D69" t="inlineStr">
        <is>
          <t>PERSON</t>
        </is>
      </c>
      <c r="E69" t="inlineStr">
        <is>
          <t>Stefano Maini · Alma Mater Studiorum - Università di Bologna</t>
        </is>
      </c>
      <c r="F69" t="inlineStr">
        <is>
          <t>https://orcid.org/0000-0001-7272-1243</t>
        </is>
      </c>
      <c r="G69" t="inlineStr">
        <is>
          <t>https://orcid.org/0000-0001-7272-1243</t>
        </is>
      </c>
      <c r="H69" t="inlineStr">
        <is>
          <t>https://orcid.org/0000-0001-7272-1243</t>
        </is>
      </c>
      <c r="I69" t="n">
        <v>200</v>
      </c>
      <c r="J69" t="inlineStr">
        <is>
          <t>text/html</t>
        </is>
      </c>
      <c r="K69" t="n">
        <v>0</v>
      </c>
      <c r="L69" t="b">
        <v>1</v>
      </c>
      <c r="M69" t="b">
        <v>1</v>
      </c>
      <c r="N69" t="inlineStr">
        <is>
          <t>PROVED_BY_ORCID_EMPLOYMENT</t>
        </is>
      </c>
      <c r="O69" t="inlineStr">
        <is>
          <t>SIM</t>
        </is>
      </c>
      <c r="P69" t="inlineStr">
        <is>
          <t>SIM — ORCID declara afiliacao com country=IT e sem data de fim</t>
        </is>
      </c>
      <c r="Q69" t="inlineStr">
        <is>
          <t>ORCID employments: Alma Mater Studiorum - Università di Bologna</t>
        </is>
      </c>
      <c r="R69" t="inlineStr">
        <is>
          <t>sonda HTTP read-only (GET limitado, payload nao preservado) + ORCID public API /employments</t>
        </is>
      </c>
      <c r="S69" t="inlineStr">
        <is>
          <t>2026-09-14T11:25:48Z</t>
        </is>
      </c>
      <c r="T69" t="inlineStr">
        <is>
          <t>PASS</t>
        </is>
      </c>
      <c r="U69" t="inlineStr"/>
      <c r="V69" t="inlineStr">
        <is>
          <t>T6;T5</t>
        </is>
      </c>
      <c r="W69" t="inlineStr">
        <is>
          <t>EMILIA-ROMAGNA</t>
        </is>
      </c>
      <c r="X69" t="inlineStr">
        <is>
          <t>mais</t>
        </is>
      </c>
      <c r="Y69" t="inlineStr">
        <is>
          <t>mais;piralide</t>
        </is>
      </c>
      <c r="Z69" t="inlineStr">
        <is>
          <t>ORCID 0000-0001-7272-1243</t>
        </is>
      </c>
      <c r="AA69" t="inlineStr">
        <is>
          <t>afiliacao atual: Alma Mater Studiorum - Università di Bologna</t>
        </is>
      </c>
      <c r="AB69" t="inlineStr">
        <is>
          <t>nao sorteada</t>
        </is>
      </c>
      <c r="AC69" t="inlineStr">
        <is>
          <t>nao sorteada</t>
        </is>
      </c>
      <c r="AE69" t="inlineStr"/>
      <c r="AF69" t="inlineStr"/>
    </row>
    <row r="70">
      <c r="A70" t="inlineStr">
        <is>
          <t>IT-DISC-2026-09-14-0069</t>
        </is>
      </c>
      <c r="B70" t="inlineStr">
        <is>
          <t>Tito Caffi — registo cientifico ORCID (Università Cattolica del Sacro Cuore)</t>
        </is>
      </c>
      <c r="C70" t="inlineStr">
        <is>
          <t>CIENCIA</t>
        </is>
      </c>
      <c r="D70" t="inlineStr">
        <is>
          <t>PERSON</t>
        </is>
      </c>
      <c r="E70" t="inlineStr">
        <is>
          <t>Tito Caffi · Università Cattolica del Sacro Cuore</t>
        </is>
      </c>
      <c r="F70" t="inlineStr">
        <is>
          <t>https://orcid.org/0000-0001-9929-4130</t>
        </is>
      </c>
      <c r="G70" t="inlineStr">
        <is>
          <t>https://orcid.org/0000-0001-9929-4130</t>
        </is>
      </c>
      <c r="H70" t="inlineStr">
        <is>
          <t>https://orcid.org/0000-0001-9929-4130</t>
        </is>
      </c>
      <c r="I70" t="n">
        <v>200</v>
      </c>
      <c r="J70" t="inlineStr">
        <is>
          <t>text/html</t>
        </is>
      </c>
      <c r="K70" t="n">
        <v>0</v>
      </c>
      <c r="L70" t="b">
        <v>1</v>
      </c>
      <c r="M70" t="b">
        <v>1</v>
      </c>
      <c r="N70" t="inlineStr">
        <is>
          <t>PROVED_BY_ORCID_EMPLOYMENT</t>
        </is>
      </c>
      <c r="O70" t="inlineStr">
        <is>
          <t>SIM</t>
        </is>
      </c>
      <c r="P70" t="inlineStr">
        <is>
          <t>SIM — ORCID declara afiliacao com country=IT e sem data de fim</t>
        </is>
      </c>
      <c r="Q70" t="inlineStr">
        <is>
          <t>ORCID employments: Università Cattolica del Sacro Cuore</t>
        </is>
      </c>
      <c r="R70" t="inlineStr">
        <is>
          <t>sonda HTTP read-only (GET limitado, payload nao preservado) + ORCID public API /employments</t>
        </is>
      </c>
      <c r="S70" t="inlineStr">
        <is>
          <t>2026-09-14T11:25:49Z</t>
        </is>
      </c>
      <c r="T70" t="inlineStr">
        <is>
          <t>PASS</t>
        </is>
      </c>
      <c r="U70" t="inlineStr"/>
      <c r="V70" t="inlineStr">
        <is>
          <t>T6;T5</t>
        </is>
      </c>
      <c r="W70" t="inlineStr">
        <is>
          <t>EMILIA-ROMAGNA</t>
        </is>
      </c>
      <c r="X70" t="inlineStr">
        <is>
          <t>vite</t>
        </is>
      </c>
      <c r="Y70" t="inlineStr">
        <is>
          <t>vite;Plasmopara viticola</t>
        </is>
      </c>
      <c r="Z70" t="inlineStr">
        <is>
          <t>ORCID 0000-0001-9929-4130</t>
        </is>
      </c>
      <c r="AA70" t="inlineStr">
        <is>
          <t>afiliacao atual: Università Cattolica del Sacro Cuore</t>
        </is>
      </c>
      <c r="AB70" t="inlineStr">
        <is>
          <t>nao sorteada</t>
        </is>
      </c>
      <c r="AC70" t="inlineStr">
        <is>
          <t>nao sorteada</t>
        </is>
      </c>
      <c r="AE70" t="inlineStr"/>
      <c r="AF70" t="inlineStr"/>
    </row>
    <row r="71">
      <c r="A71" t="inlineStr">
        <is>
          <t>IT-DISC-2026-09-14-0070</t>
        </is>
      </c>
      <c r="B71" t="inlineStr">
        <is>
          <t>UNIBO DISTAL — Dipartimento di Scienze e Tecnologie Agro-Alimentari</t>
        </is>
      </c>
      <c r="C71" t="inlineStr">
        <is>
          <t>CIENCIA</t>
        </is>
      </c>
      <c r="D71" t="inlineStr">
        <is>
          <t>ORG</t>
        </is>
      </c>
      <c r="E71" t="inlineStr">
        <is>
          <t>Universita di Bologna</t>
        </is>
      </c>
      <c r="F71" t="inlineStr">
        <is>
          <t>https://distal.unibo.it/it</t>
        </is>
      </c>
      <c r="G71" t="inlineStr">
        <is>
          <t>https://distal.unibo.it/it</t>
        </is>
      </c>
      <c r="H71" t="inlineStr">
        <is>
          <t>https://distal.unibo.it/it</t>
        </is>
      </c>
      <c r="I71" t="n">
        <v>200</v>
      </c>
      <c r="J71" t="inlineStr">
        <is>
          <t>text/html</t>
        </is>
      </c>
      <c r="K71" t="n">
        <v>0</v>
      </c>
      <c r="L71" t="b">
        <v>1</v>
      </c>
      <c r="M71" t="b">
        <v>1</v>
      </c>
      <c r="N71" t="inlineStr">
        <is>
          <t>PROVED_DIRECT</t>
        </is>
      </c>
      <c r="O71" t="inlineStr">
        <is>
          <t>SIM</t>
        </is>
      </c>
      <c r="P71" t="inlineStr">
        <is>
          <t>SIM — dominio .it e conteudo em italiano</t>
        </is>
      </c>
      <c r="Q71" t="inlineStr">
        <is>
          <t>Scienze e Tecnologie Agro-Alimentari</t>
        </is>
      </c>
      <c r="R71" t="inlineStr">
        <is>
          <t>sonda HTTP read-only (GET limitado, payload nao preservado)</t>
        </is>
      </c>
      <c r="S71" t="inlineStr">
        <is>
          <t>2026-09-14T11:24:44Z</t>
        </is>
      </c>
      <c r="T71" t="inlineStr">
        <is>
          <t>PASS</t>
        </is>
      </c>
      <c r="U71" t="inlineStr"/>
      <c r="V71" t="inlineStr">
        <is>
          <t>T5;T6;T1</t>
        </is>
      </c>
      <c r="W71" t="inlineStr">
        <is>
          <t>EMILIA-ROMAGNA</t>
        </is>
      </c>
      <c r="X71" t="inlineStr"/>
      <c r="Y71" t="inlineStr">
        <is>
          <t>agraria;patologia;entomologia;agronomia</t>
        </is>
      </c>
      <c r="Z71" t="inlineStr">
        <is>
          <t>titulo da pagina: Scienze e Tecnologie Agro-Alimentari</t>
        </is>
      </c>
      <c r="AA71" t="inlineStr">
        <is>
          <t>meta description: Il Dipartimento di Scienze e Tecnologie Agro-alimentari (DISTAL) nasce</t>
        </is>
      </c>
      <c r="AB71" t="inlineStr">
        <is>
          <t>nao sorteada</t>
        </is>
      </c>
      <c r="AC71" t="inlineStr">
        <is>
          <t>nao sorteada</t>
        </is>
      </c>
      <c r="AE71" t="inlineStr"/>
      <c r="AF71" t="inlineStr"/>
    </row>
    <row r="72">
      <c r="A72" t="inlineStr">
        <is>
          <t>IT-DISC-2026-09-14-0071</t>
        </is>
      </c>
      <c r="B72" t="inlineStr">
        <is>
          <t>UNIUD DI4A — Dipartimento di Scienze Agroalimentari Ambientali e Animali</t>
        </is>
      </c>
      <c r="C72" t="inlineStr">
        <is>
          <t>CIENCIA</t>
        </is>
      </c>
      <c r="D72" t="inlineStr">
        <is>
          <t>ORG</t>
        </is>
      </c>
      <c r="E72" t="inlineStr">
        <is>
          <t>Universita di Udine</t>
        </is>
      </c>
      <c r="F72" t="inlineStr">
        <is>
          <t>https://www.di4a.uniud.it/it</t>
        </is>
      </c>
      <c r="G72" t="inlineStr">
        <is>
          <t>https://www.di4a.uniud.it/it</t>
        </is>
      </c>
      <c r="H72" t="inlineStr">
        <is>
          <t>https://di4a.uniud.it/it</t>
        </is>
      </c>
      <c r="I72" t="n">
        <v>200</v>
      </c>
      <c r="J72" t="inlineStr">
        <is>
          <t>text/html</t>
        </is>
      </c>
      <c r="K72" t="n">
        <v>1</v>
      </c>
      <c r="L72" t="b">
        <v>1</v>
      </c>
      <c r="M72" t="b">
        <v>1</v>
      </c>
      <c r="N72" t="inlineStr">
        <is>
          <t>PROVED_DIRECT</t>
        </is>
      </c>
      <c r="O72" t="inlineStr">
        <is>
          <t>SIM</t>
        </is>
      </c>
      <c r="P72" t="inlineStr">
        <is>
          <t>SIM — dominio .it e conteudo em italiano</t>
        </is>
      </c>
      <c r="Q72" t="inlineStr">
        <is>
          <t>Italiano</t>
        </is>
      </c>
      <c r="R72" t="inlineStr">
        <is>
          <t>sonda HTTP read-only (GET limitado, payload nao preservado)</t>
        </is>
      </c>
      <c r="S72" t="inlineStr">
        <is>
          <t>2026-09-14T11:24:48Z</t>
        </is>
      </c>
      <c r="T72" t="inlineStr">
        <is>
          <t>PASS</t>
        </is>
      </c>
      <c r="U72" t="inlineStr"/>
      <c r="V72" t="inlineStr">
        <is>
          <t>T5;T6;T3</t>
        </is>
      </c>
      <c r="W72" t="inlineStr">
        <is>
          <t>FRIULI-VENEZIA GIULIA</t>
        </is>
      </c>
      <c r="X72" t="inlineStr">
        <is>
          <t>vite</t>
        </is>
      </c>
      <c r="Y72" t="inlineStr">
        <is>
          <t>vite;flavescenza;agronomia</t>
        </is>
      </c>
      <c r="Z72" t="inlineStr">
        <is>
          <t>titulo da pagina: Italiano</t>
        </is>
      </c>
      <c r="AA72" t="inlineStr">
        <is>
          <t>meta description: Università degli Studi di Udine - University of Udine</t>
        </is>
      </c>
      <c r="AB72" t="inlineStr">
        <is>
          <t>nao sorteada</t>
        </is>
      </c>
      <c r="AC72" t="inlineStr">
        <is>
          <t>nao sorteada</t>
        </is>
      </c>
      <c r="AE72" t="inlineStr"/>
      <c r="AF72" t="inlineStr"/>
    </row>
    <row r="73">
      <c r="A73" t="inlineStr">
        <is>
          <t>IT-DISC-2026-09-14-0072</t>
        </is>
      </c>
      <c r="B73" t="inlineStr">
        <is>
          <t>Anita Nencioni — registo cientifico ORCID (Consiglio per la ricerca in agricoltura e l’analisi dell’economia agraria)</t>
        </is>
      </c>
      <c r="C73" t="inlineStr">
        <is>
          <t>CIENCIA</t>
        </is>
      </c>
      <c r="D73" t="inlineStr">
        <is>
          <t>PERSON</t>
        </is>
      </c>
      <c r="E73" t="inlineStr">
        <is>
          <t>Anita Nencioni · Consiglio per la ricerca in agricoltura e l’analisi dell’economia agraria</t>
        </is>
      </c>
      <c r="F73" t="inlineStr">
        <is>
          <t>https://orcid.org/0000-0003-1585-0529</t>
        </is>
      </c>
      <c r="G73" t="inlineStr">
        <is>
          <t>https://orcid.org/0000-0003-1585-0529</t>
        </is>
      </c>
      <c r="H73" t="inlineStr">
        <is>
          <t>https://orcid.org/0000-0003-1585-0529</t>
        </is>
      </c>
      <c r="I73" t="n">
        <v>200</v>
      </c>
      <c r="J73" t="inlineStr">
        <is>
          <t>text/html</t>
        </is>
      </c>
      <c r="K73" t="n">
        <v>0</v>
      </c>
      <c r="L73" t="b">
        <v>1</v>
      </c>
      <c r="M73" t="b">
        <v>1</v>
      </c>
      <c r="N73" t="inlineStr">
        <is>
          <t>PROVED_BY_ORCID_EMPLOYMENT</t>
        </is>
      </c>
      <c r="O73" t="inlineStr">
        <is>
          <t>SIM</t>
        </is>
      </c>
      <c r="P73" t="inlineStr">
        <is>
          <t>SIM — ORCID declara afiliacao com country=IT e sem data de fim</t>
        </is>
      </c>
      <c r="Q73" t="inlineStr">
        <is>
          <t>ORCID employments: Consiglio per la ricerca in agricoltura e l’analisi dell’economia agraria</t>
        </is>
      </c>
      <c r="R73" t="inlineStr">
        <is>
          <t>sonda HTTP read-only (GET limitado, payload nao preservado) + ORCID public API /employments</t>
        </is>
      </c>
      <c r="S73" t="inlineStr">
        <is>
          <t>2026-09-14T11:25:48Z</t>
        </is>
      </c>
      <c r="T73" t="inlineStr">
        <is>
          <t>PASS</t>
        </is>
      </c>
      <c r="U73" t="inlineStr"/>
      <c r="V73" t="inlineStr">
        <is>
          <t>T6;T5</t>
        </is>
      </c>
      <c r="W73" t="inlineStr">
        <is>
          <t>LAZIO</t>
        </is>
      </c>
      <c r="X73" t="inlineStr">
        <is>
          <t>olivo</t>
        </is>
      </c>
      <c r="Y73" t="inlineStr">
        <is>
          <t>olivo;Xylella;batteriosi</t>
        </is>
      </c>
      <c r="Z73" t="inlineStr">
        <is>
          <t>ORCID 0000-0003-1585-0529</t>
        </is>
      </c>
      <c r="AA73" t="inlineStr">
        <is>
          <t>afiliacao atual: Consiglio per la ricerca in agricoltura e l’analisi dell’economia agraria</t>
        </is>
      </c>
      <c r="AB73" t="inlineStr">
        <is>
          <t>nao sorteada</t>
        </is>
      </c>
      <c r="AC73" t="inlineStr">
        <is>
          <t>nao sorteada</t>
        </is>
      </c>
      <c r="AE73" t="inlineStr"/>
      <c r="AF73" t="inlineStr"/>
    </row>
    <row r="74">
      <c r="A74" t="inlineStr">
        <is>
          <t>IT-DISC-2026-09-14-0073</t>
        </is>
      </c>
      <c r="B74" t="inlineStr">
        <is>
          <t>Paolo Boccacci — registo cientifico ORCID (Consiglio Nazionale delle Ricerche)</t>
        </is>
      </c>
      <c r="C74" t="inlineStr">
        <is>
          <t>CIENCIA</t>
        </is>
      </c>
      <c r="D74" t="inlineStr">
        <is>
          <t>PERSON</t>
        </is>
      </c>
      <c r="E74" t="inlineStr">
        <is>
          <t>Paolo Boccacci · Consiglio Nazionale delle Ricerche</t>
        </is>
      </c>
      <c r="F74" t="inlineStr">
        <is>
          <t>https://orcid.org/0000-0001-8574-0478</t>
        </is>
      </c>
      <c r="G74" t="inlineStr">
        <is>
          <t>https://orcid.org/0000-0001-8574-0478</t>
        </is>
      </c>
      <c r="H74" t="inlineStr">
        <is>
          <t>https://orcid.org/0000-0001-8574-0478</t>
        </is>
      </c>
      <c r="I74" t="n">
        <v>200</v>
      </c>
      <c r="J74" t="inlineStr">
        <is>
          <t>text/html</t>
        </is>
      </c>
      <c r="K74" t="n">
        <v>0</v>
      </c>
      <c r="L74" t="b">
        <v>1</v>
      </c>
      <c r="M74" t="b">
        <v>1</v>
      </c>
      <c r="N74" t="inlineStr">
        <is>
          <t>PROVED_BY_ORCID_EMPLOYMENT</t>
        </is>
      </c>
      <c r="O74" t="inlineStr">
        <is>
          <t>SIM</t>
        </is>
      </c>
      <c r="P74" t="inlineStr">
        <is>
          <t>SIM — ORCID declara afiliacao com country=IT e sem data de fim</t>
        </is>
      </c>
      <c r="Q74" t="inlineStr">
        <is>
          <t>ORCID employments: Consiglio Nazionale delle Ricerche</t>
        </is>
      </c>
      <c r="R74" t="inlineStr">
        <is>
          <t>sonda HTTP read-only (GET limitado, payload nao preservado) + ORCID public API /employments</t>
        </is>
      </c>
      <c r="S74" t="inlineStr">
        <is>
          <t>2026-09-14T11:25:47Z</t>
        </is>
      </c>
      <c r="T74" t="inlineStr">
        <is>
          <t>PASS</t>
        </is>
      </c>
      <c r="U74" t="inlineStr"/>
      <c r="V74" t="inlineStr">
        <is>
          <t>T6;T5</t>
        </is>
      </c>
      <c r="W74" t="inlineStr">
        <is>
          <t>LAZIO</t>
        </is>
      </c>
      <c r="X74" t="inlineStr">
        <is>
          <t>nocciolo</t>
        </is>
      </c>
      <c r="Y74" t="inlineStr">
        <is>
          <t>nocciolo;frutticoltura</t>
        </is>
      </c>
      <c r="Z74" t="inlineStr">
        <is>
          <t>ORCID 0000-0001-8574-0478</t>
        </is>
      </c>
      <c r="AA74" t="inlineStr">
        <is>
          <t>afiliacao atual: Consiglio Nazionale delle Ricerche</t>
        </is>
      </c>
      <c r="AB74" t="inlineStr">
        <is>
          <t>nao sorteada</t>
        </is>
      </c>
      <c r="AC74" t="inlineStr">
        <is>
          <t>nao sorteada</t>
        </is>
      </c>
      <c r="AE74" t="inlineStr"/>
      <c r="AF74" t="inlineStr"/>
    </row>
    <row r="75">
      <c r="A75" t="inlineStr">
        <is>
          <t>IT-DISC-2026-09-14-0074</t>
        </is>
      </c>
      <c r="B75" t="inlineStr">
        <is>
          <t>Rosa Francaviglia — registo cientifico ORCID (Consiglio per la ricerca in agricoltura e l'analisi dell'economia agraria (CREA))</t>
        </is>
      </c>
      <c r="C75" t="inlineStr">
        <is>
          <t>CIENCIA</t>
        </is>
      </c>
      <c r="D75" t="inlineStr">
        <is>
          <t>PERSON</t>
        </is>
      </c>
      <c r="E75" t="inlineStr">
        <is>
          <t>Rosa Francaviglia · Consiglio per la ricerca in agricoltura e l'analisi dell'economia agraria (CREA)</t>
        </is>
      </c>
      <c r="F75" t="inlineStr">
        <is>
          <t>https://orcid.org/0000-0002-4362-5428</t>
        </is>
      </c>
      <c r="G75" t="inlineStr">
        <is>
          <t>https://orcid.org/0000-0002-4362-5428</t>
        </is>
      </c>
      <c r="H75" t="inlineStr">
        <is>
          <t>https://orcid.org/0000-0002-4362-5428</t>
        </is>
      </c>
      <c r="I75" t="n">
        <v>200</v>
      </c>
      <c r="J75" t="inlineStr">
        <is>
          <t>text/html</t>
        </is>
      </c>
      <c r="K75" t="n">
        <v>0</v>
      </c>
      <c r="L75" t="b">
        <v>1</v>
      </c>
      <c r="M75" t="b">
        <v>1</v>
      </c>
      <c r="N75" t="inlineStr">
        <is>
          <t>PROVED_BY_ORCID_EMPLOYMENT</t>
        </is>
      </c>
      <c r="O75" t="inlineStr">
        <is>
          <t>SIM</t>
        </is>
      </c>
      <c r="P75" t="inlineStr">
        <is>
          <t>SIM — ORCID declara afiliacao com country=IT e sem data de fim</t>
        </is>
      </c>
      <c r="Q75" t="inlineStr">
        <is>
          <t>ORCID employments: Consiglio per la ricerca in agricoltura e l'analisi dell'economia agraria (CREA)</t>
        </is>
      </c>
      <c r="R75" t="inlineStr">
        <is>
          <t>sonda HTTP read-only (GET limitado, payload nao preservado) + ORCID public API /employments</t>
        </is>
      </c>
      <c r="S75" t="inlineStr">
        <is>
          <t>2026-09-14T11:25:49Z</t>
        </is>
      </c>
      <c r="T75" t="inlineStr">
        <is>
          <t>PASS</t>
        </is>
      </c>
      <c r="U75" t="inlineStr"/>
      <c r="V75" t="inlineStr">
        <is>
          <t>T6;T5</t>
        </is>
      </c>
      <c r="W75" t="inlineStr">
        <is>
          <t>LAZIO</t>
        </is>
      </c>
      <c r="X75" t="inlineStr"/>
      <c r="Y75" t="inlineStr">
        <is>
          <t>suolo;sostanza organica</t>
        </is>
      </c>
      <c r="Z75" t="inlineStr">
        <is>
          <t>ORCID 0000-0002-4362-5428</t>
        </is>
      </c>
      <c r="AA75" t="inlineStr">
        <is>
          <t>afiliacao atual: Consiglio per la ricerca in agricoltura e l'analisi dell'economia agraria (CREA)</t>
        </is>
      </c>
      <c r="AB75" t="inlineStr">
        <is>
          <t>nao sorteada</t>
        </is>
      </c>
      <c r="AC75" t="inlineStr">
        <is>
          <t>nao sorteada</t>
        </is>
      </c>
      <c r="AE75" t="inlineStr"/>
      <c r="AF75" t="inlineStr"/>
    </row>
    <row r="76">
      <c r="A76" t="inlineStr">
        <is>
          <t>IT-DISC-2026-09-14-0075</t>
        </is>
      </c>
      <c r="B76" t="inlineStr">
        <is>
          <t>UNITUS DAFNE — Dipartimento di Scienze Agrarie e Forestali</t>
        </is>
      </c>
      <c r="C76" t="inlineStr">
        <is>
          <t>CIENCIA</t>
        </is>
      </c>
      <c r="D76" t="inlineStr">
        <is>
          <t>ORG</t>
        </is>
      </c>
      <c r="E76" t="inlineStr">
        <is>
          <t>Universita della Tuscia</t>
        </is>
      </c>
      <c r="F76" t="inlineStr">
        <is>
          <t>https://www.unitus.it/it/dipartimento/dafne</t>
        </is>
      </c>
      <c r="G76" t="inlineStr">
        <is>
          <t>https://www.unitus.it/it/dipartimento/dafne</t>
        </is>
      </c>
      <c r="H76" t="inlineStr">
        <is>
          <t>https://www.unitus.it/dipartimenti/dafne/</t>
        </is>
      </c>
      <c r="I76" t="n">
        <v>200</v>
      </c>
      <c r="J76" t="inlineStr">
        <is>
          <t>text/html</t>
        </is>
      </c>
      <c r="K76" t="n">
        <v>1</v>
      </c>
      <c r="L76" t="b">
        <v>1</v>
      </c>
      <c r="M76" t="b">
        <v>1</v>
      </c>
      <c r="N76" t="inlineStr">
        <is>
          <t>PROVED_DIRECT</t>
        </is>
      </c>
      <c r="O76" t="inlineStr">
        <is>
          <t>SIM</t>
        </is>
      </c>
      <c r="P76" t="inlineStr">
        <is>
          <t>SIM — dominio .it e conteudo em italiano</t>
        </is>
      </c>
      <c r="Q76" t="inlineStr">
        <is>
          <t>DAFNE - Unitus</t>
        </is>
      </c>
      <c r="R76" t="inlineStr">
        <is>
          <t>sonda HTTP read-only (GET limitado, payload nao preservado)</t>
        </is>
      </c>
      <c r="S76" t="inlineStr">
        <is>
          <t>2026-09-14T11:24:50Z</t>
        </is>
      </c>
      <c r="T76" t="inlineStr">
        <is>
          <t>PASS</t>
        </is>
      </c>
      <c r="U76" t="inlineStr"/>
      <c r="V76" t="inlineStr">
        <is>
          <t>T5;T6;T1</t>
        </is>
      </c>
      <c r="W76" t="inlineStr">
        <is>
          <t>LAZIO</t>
        </is>
      </c>
      <c r="X76" t="inlineStr">
        <is>
          <t>nocciolo</t>
        </is>
      </c>
      <c r="Y76" t="inlineStr">
        <is>
          <t>agraria;nocciolo;difesa</t>
        </is>
      </c>
      <c r="Z76" t="inlineStr">
        <is>
          <t>titulo da pagina: DAFNE - Unitus</t>
        </is>
      </c>
      <c r="AA76" t="inlineStr">
        <is>
          <t>meta description: Scopri il DAFNE - Dipartimento di Eccellenza di Scienze Agrarie e Fore</t>
        </is>
      </c>
      <c r="AB76" t="inlineStr">
        <is>
          <t>nao sorteada</t>
        </is>
      </c>
      <c r="AC76" t="inlineStr">
        <is>
          <t>nao sorteada</t>
        </is>
      </c>
      <c r="AE76" t="inlineStr"/>
      <c r="AF76" t="inlineStr"/>
    </row>
    <row r="77">
      <c r="A77" t="inlineStr">
        <is>
          <t>IT-DISC-2026-09-14-0076</t>
        </is>
      </c>
      <c r="B77" t="inlineStr">
        <is>
          <t>AIR UNIMI — Archivio Istituzionale della Ricerca</t>
        </is>
      </c>
      <c r="C77" t="inlineStr">
        <is>
          <t>CIENCIA</t>
        </is>
      </c>
      <c r="D77" t="inlineStr">
        <is>
          <t>ORG</t>
        </is>
      </c>
      <c r="E77" t="inlineStr">
        <is>
          <t>Universita degli Studi di Milano</t>
        </is>
      </c>
      <c r="F77" t="inlineStr">
        <is>
          <t>https://air.unimi.it/</t>
        </is>
      </c>
      <c r="G77" t="inlineStr">
        <is>
          <t>https://air.unimi.it/</t>
        </is>
      </c>
      <c r="H77" t="inlineStr">
        <is>
          <t>https://air.unimi.it/</t>
        </is>
      </c>
      <c r="I77" t="n">
        <v>200</v>
      </c>
      <c r="J77" t="inlineStr">
        <is>
          <t>text/html</t>
        </is>
      </c>
      <c r="K77" t="n">
        <v>0</v>
      </c>
      <c r="L77" t="b">
        <v>1</v>
      </c>
      <c r="M77" t="b">
        <v>1</v>
      </c>
      <c r="N77" t="inlineStr">
        <is>
          <t>PROVED_DIRECT</t>
        </is>
      </c>
      <c r="O77" t="inlineStr">
        <is>
          <t>SIM</t>
        </is>
      </c>
      <c r="P77" t="inlineStr">
        <is>
          <t>SIM — dominio .it e conteudo em italiano</t>
        </is>
      </c>
      <c r="Q77" t="inlineStr">
        <is>
          <t>Home page</t>
        </is>
      </c>
      <c r="R77" t="inlineStr">
        <is>
          <t>sonda HTTP read-only (GET limitado, payload nao preservado)</t>
        </is>
      </c>
      <c r="S77" t="inlineStr">
        <is>
          <t>2026-09-14T11:24:56Z</t>
        </is>
      </c>
      <c r="T77" t="inlineStr">
        <is>
          <t>PASS</t>
        </is>
      </c>
      <c r="U77" t="inlineStr"/>
      <c r="V77" t="inlineStr">
        <is>
          <t>T5;T6</t>
        </is>
      </c>
      <c r="W77" t="inlineStr">
        <is>
          <t>LOMBARDIA</t>
        </is>
      </c>
      <c r="X77" t="inlineStr"/>
      <c r="Y77" t="inlineStr">
        <is>
          <t>repositorio scientifico</t>
        </is>
      </c>
      <c r="Z77" t="inlineStr">
        <is>
          <t>titulo da pagina: Home page</t>
        </is>
      </c>
      <c r="AA77" t="inlineStr">
        <is>
          <t>dominio institucional do dono</t>
        </is>
      </c>
      <c r="AB77" t="inlineStr">
        <is>
          <t>nao sorteada</t>
        </is>
      </c>
      <c r="AC77" t="inlineStr">
        <is>
          <t>nao sorteada</t>
        </is>
      </c>
      <c r="AE77" t="inlineStr"/>
      <c r="AF77" t="inlineStr"/>
    </row>
    <row r="78">
      <c r="A78" t="inlineStr">
        <is>
          <t>IT-DISC-2026-09-14-0077</t>
        </is>
      </c>
      <c r="B78" t="inlineStr">
        <is>
          <t>Marco Perfetto — registo cientifico ORCID (University of Milan)</t>
        </is>
      </c>
      <c r="C78" t="inlineStr">
        <is>
          <t>CIENCIA</t>
        </is>
      </c>
      <c r="D78" t="inlineStr">
        <is>
          <t>PERSON</t>
        </is>
      </c>
      <c r="E78" t="inlineStr">
        <is>
          <t>Marco Perfetto · University of Milan</t>
        </is>
      </c>
      <c r="F78" t="inlineStr">
        <is>
          <t>https://orcid.org/0000-0001-9370-2500</t>
        </is>
      </c>
      <c r="G78" t="inlineStr">
        <is>
          <t>https://orcid.org/0000-0001-9370-2500</t>
        </is>
      </c>
      <c r="H78" t="inlineStr">
        <is>
          <t>https://orcid.org/0000-0001-9370-2500</t>
        </is>
      </c>
      <c r="I78" t="n">
        <v>200</v>
      </c>
      <c r="J78" t="inlineStr">
        <is>
          <t>text/html</t>
        </is>
      </c>
      <c r="K78" t="n">
        <v>0</v>
      </c>
      <c r="L78" t="b">
        <v>1</v>
      </c>
      <c r="M78" t="b">
        <v>1</v>
      </c>
      <c r="N78" t="inlineStr">
        <is>
          <t>PROVED_BY_ORCID_EMPLOYMENT</t>
        </is>
      </c>
      <c r="O78" t="inlineStr">
        <is>
          <t>SIM</t>
        </is>
      </c>
      <c r="P78" t="inlineStr">
        <is>
          <t>SIM — ORCID declara afiliacao com country=IT e sem data de fim</t>
        </is>
      </c>
      <c r="Q78" t="inlineStr">
        <is>
          <t>ORCID employments: University of Milan</t>
        </is>
      </c>
      <c r="R78" t="inlineStr">
        <is>
          <t>sonda HTTP read-only (GET limitado, payload nao preservado) + ORCID public API /employments</t>
        </is>
      </c>
      <c r="S78" t="inlineStr">
        <is>
          <t>2026-09-14T11:25:50Z</t>
        </is>
      </c>
      <c r="T78" t="inlineStr">
        <is>
          <t>PASS</t>
        </is>
      </c>
      <c r="U78" t="inlineStr"/>
      <c r="V78" t="inlineStr">
        <is>
          <t>T6;T5</t>
        </is>
      </c>
      <c r="W78" t="inlineStr">
        <is>
          <t>LOMBARDIA</t>
        </is>
      </c>
      <c r="X78" t="inlineStr"/>
      <c r="Y78" t="inlineStr">
        <is>
          <t>cover crop;rigenerativa</t>
        </is>
      </c>
      <c r="Z78" t="inlineStr">
        <is>
          <t>ORCID 0000-0001-9370-2500</t>
        </is>
      </c>
      <c r="AA78" t="inlineStr">
        <is>
          <t>afiliacao atual: University of Milan</t>
        </is>
      </c>
      <c r="AB78" t="inlineStr">
        <is>
          <t>nao sorteada</t>
        </is>
      </c>
      <c r="AC78" t="inlineStr">
        <is>
          <t>SIM</t>
        </is>
      </c>
      <c r="AE78" t="inlineStr"/>
      <c r="AF78" t="inlineStr"/>
    </row>
    <row r="79">
      <c r="A79" t="inlineStr">
        <is>
          <t>IT-DISC-2026-09-14-0078</t>
        </is>
      </c>
      <c r="B79" t="inlineStr">
        <is>
          <t>UNIMI DiSAA — Dipartimento di Scienze Agrarie e Ambientali</t>
        </is>
      </c>
      <c r="C79" t="inlineStr">
        <is>
          <t>CIENCIA</t>
        </is>
      </c>
      <c r="D79" t="inlineStr">
        <is>
          <t>ORG</t>
        </is>
      </c>
      <c r="E79" t="inlineStr">
        <is>
          <t>Universita degli Studi di Milano</t>
        </is>
      </c>
      <c r="F79" t="inlineStr">
        <is>
          <t>https://www.disaa.unimi.it/it</t>
        </is>
      </c>
      <c r="G79" t="inlineStr">
        <is>
          <t>https://disaa.unimi.it/</t>
        </is>
      </c>
      <c r="H79" t="inlineStr">
        <is>
          <t>https://disaa.unimi.it/</t>
        </is>
      </c>
      <c r="I79" t="n">
        <v>200</v>
      </c>
      <c r="J79" t="inlineStr">
        <is>
          <t>text/html</t>
        </is>
      </c>
      <c r="K79" t="n">
        <v>1</v>
      </c>
      <c r="L79" t="b">
        <v>1</v>
      </c>
      <c r="M79" t="b">
        <v>1</v>
      </c>
      <c r="N79" t="inlineStr">
        <is>
          <t>PROVED_DIRECT</t>
        </is>
      </c>
      <c r="O79" t="inlineStr">
        <is>
          <t>SIM</t>
        </is>
      </c>
      <c r="P79" t="inlineStr">
        <is>
          <t>SIM — dominio .it e conteudo em italiano</t>
        </is>
      </c>
      <c r="Q79" t="inlineStr">
        <is>
          <t>Home | Dipartimento di Scienze Agrarie e Ambientali - Produzione, Territorio, Ag</t>
        </is>
      </c>
      <c r="R79" t="inlineStr">
        <is>
          <t>sonda HTTP read-only (GET limitado, payload nao preservado)</t>
        </is>
      </c>
      <c r="S79" t="inlineStr">
        <is>
          <t>2026-09-14T11:33:14Z</t>
        </is>
      </c>
      <c r="T79" t="inlineStr">
        <is>
          <t>PASS</t>
        </is>
      </c>
      <c r="U79" t="inlineStr"/>
      <c r="V79" t="inlineStr">
        <is>
          <t>T5;T6;T1</t>
        </is>
      </c>
      <c r="W79" t="inlineStr">
        <is>
          <t>LOMBARDIA</t>
        </is>
      </c>
      <c r="X79" t="inlineStr">
        <is>
          <t>mais;riso</t>
        </is>
      </c>
      <c r="Y79" t="inlineStr">
        <is>
          <t>agronomia;difesa;riso;mais</t>
        </is>
      </c>
      <c r="Z79" t="inlineStr">
        <is>
          <t>titulo da pagina: Home | Dipartimento di Scienze Agrarie e Ambientali - Produzione, Terr</t>
        </is>
      </c>
      <c r="AA79" t="inlineStr">
        <is>
          <t>dominio institucional do dono</t>
        </is>
      </c>
      <c r="AB79" t="inlineStr">
        <is>
          <t>nao sorteada</t>
        </is>
      </c>
      <c r="AC79" t="inlineStr">
        <is>
          <t>SIM</t>
        </is>
      </c>
      <c r="AE79" t="inlineStr"/>
      <c r="AF79" t="inlineStr">
        <is>
          <t>endereco canonizado para o destino final</t>
        </is>
      </c>
    </row>
    <row r="80">
      <c r="A80" t="inlineStr">
        <is>
          <t>IT-DISC-2026-09-14-0079</t>
        </is>
      </c>
      <c r="B80" t="inlineStr">
        <is>
          <t>UNIVPM D3A — Dipartimento di Scienze Agrarie Alimentari e Ambientali</t>
        </is>
      </c>
      <c r="C80" t="inlineStr">
        <is>
          <t>CIENCIA</t>
        </is>
      </c>
      <c r="D80" t="inlineStr">
        <is>
          <t>ORG</t>
        </is>
      </c>
      <c r="E80" t="inlineStr">
        <is>
          <t>Universita Politecnica delle Marche</t>
        </is>
      </c>
      <c r="F80" t="inlineStr">
        <is>
          <t>https://www.d3a.univpm.it/</t>
        </is>
      </c>
      <c r="G80" t="inlineStr">
        <is>
          <t>https://www.d3a.univpm.it/</t>
        </is>
      </c>
      <c r="H80" t="inlineStr">
        <is>
          <t>https://www.d3a.univpm.it/</t>
        </is>
      </c>
      <c r="I80" t="n">
        <v>200</v>
      </c>
      <c r="J80" t="inlineStr">
        <is>
          <t>text/html</t>
        </is>
      </c>
      <c r="K80" t="n">
        <v>0</v>
      </c>
      <c r="L80" t="b">
        <v>1</v>
      </c>
      <c r="M80" t="b">
        <v>1</v>
      </c>
      <c r="N80" t="inlineStr">
        <is>
          <t>PROVED_DIRECT</t>
        </is>
      </c>
      <c r="O80" t="inlineStr">
        <is>
          <t>SIM</t>
        </is>
      </c>
      <c r="P80" t="inlineStr">
        <is>
          <t>SIM — dominio .it e conteudo em italiano</t>
        </is>
      </c>
      <c r="Q80" t="inlineStr">
        <is>
          <t>Dipartimento di Scienze Agrarie, Alimentari ed Ambientali</t>
        </is>
      </c>
      <c r="R80" t="inlineStr">
        <is>
          <t>sonda HTTP read-only (GET limitado, payload nao preservado)</t>
        </is>
      </c>
      <c r="S80" t="inlineStr">
        <is>
          <t>2026-09-14T11:24:48Z</t>
        </is>
      </c>
      <c r="T80" t="inlineStr">
        <is>
          <t>PASS</t>
        </is>
      </c>
      <c r="U80" t="inlineStr"/>
      <c r="V80" t="inlineStr">
        <is>
          <t>T5;T6;T1</t>
        </is>
      </c>
      <c r="W80" t="inlineStr">
        <is>
          <t>MARCHE</t>
        </is>
      </c>
      <c r="X80" t="inlineStr"/>
      <c r="Y80" t="inlineStr">
        <is>
          <t>agraria;agronomia</t>
        </is>
      </c>
      <c r="Z80" t="inlineStr">
        <is>
          <t>titulo da pagina: Dipartimento di Scienze Agrarie, Alimentari ed Ambientali</t>
        </is>
      </c>
      <c r="AA80" t="inlineStr">
        <is>
          <t>dominio institucional do dono</t>
        </is>
      </c>
      <c r="AB80" t="inlineStr">
        <is>
          <t>nao sorteada</t>
        </is>
      </c>
      <c r="AC80" t="inlineStr">
        <is>
          <t>nao sorteada</t>
        </is>
      </c>
      <c r="AE80" t="inlineStr"/>
      <c r="AF80" t="inlineStr"/>
    </row>
    <row r="81">
      <c r="A81" t="inlineStr">
        <is>
          <t>IT-DISC-2026-09-14-0080</t>
        </is>
      </c>
      <c r="B81" t="inlineStr">
        <is>
          <t>sara ruschioni — registo cientifico ORCID (Marche Polytechnic University)</t>
        </is>
      </c>
      <c r="C81" t="inlineStr">
        <is>
          <t>CIENCIA</t>
        </is>
      </c>
      <c r="D81" t="inlineStr">
        <is>
          <t>PERSON</t>
        </is>
      </c>
      <c r="E81" t="inlineStr">
        <is>
          <t>sara ruschioni · Marche Polytechnic University</t>
        </is>
      </c>
      <c r="F81" t="inlineStr">
        <is>
          <t>https://orcid.org/0000-0003-2965-6364</t>
        </is>
      </c>
      <c r="G81" t="inlineStr">
        <is>
          <t>https://orcid.org/0000-0003-2965-6364</t>
        </is>
      </c>
      <c r="H81" t="inlineStr">
        <is>
          <t>https://orcid.org/0000-0003-2965-6364</t>
        </is>
      </c>
      <c r="I81" t="n">
        <v>200</v>
      </c>
      <c r="J81" t="inlineStr">
        <is>
          <t>text/html</t>
        </is>
      </c>
      <c r="K81" t="n">
        <v>0</v>
      </c>
      <c r="L81" t="b">
        <v>1</v>
      </c>
      <c r="M81" t="b">
        <v>1</v>
      </c>
      <c r="N81" t="inlineStr">
        <is>
          <t>PROVED_BY_ORCID_EMPLOYMENT</t>
        </is>
      </c>
      <c r="O81" t="inlineStr">
        <is>
          <t>SIM</t>
        </is>
      </c>
      <c r="P81" t="inlineStr">
        <is>
          <t>SIM — ORCID declara afiliacao com country=IT e sem data de fim</t>
        </is>
      </c>
      <c r="Q81" t="inlineStr">
        <is>
          <t>ORCID employments: Marche Polytechnic University</t>
        </is>
      </c>
      <c r="R81" t="inlineStr">
        <is>
          <t>sonda HTTP read-only (GET limitado, payload nao preservado) + ORCID public API /employments</t>
        </is>
      </c>
      <c r="S81" t="inlineStr">
        <is>
          <t>2026-09-14T11:25:49Z</t>
        </is>
      </c>
      <c r="T81" t="inlineStr">
        <is>
          <t>PASS</t>
        </is>
      </c>
      <c r="U81" t="inlineStr"/>
      <c r="V81" t="inlineStr">
        <is>
          <t>T6;T5</t>
        </is>
      </c>
      <c r="W81" t="inlineStr">
        <is>
          <t>MARCHE</t>
        </is>
      </c>
      <c r="X81" t="inlineStr">
        <is>
          <t>mais</t>
        </is>
      </c>
      <c r="Y81" t="inlineStr">
        <is>
          <t>mais;piralide</t>
        </is>
      </c>
      <c r="Z81" t="inlineStr">
        <is>
          <t>ORCID 0000-0003-2965-6364</t>
        </is>
      </c>
      <c r="AA81" t="inlineStr">
        <is>
          <t>afiliacao atual: Marche Polytechnic University</t>
        </is>
      </c>
      <c r="AB81" t="inlineStr">
        <is>
          <t>nao sorteada</t>
        </is>
      </c>
      <c r="AC81" t="inlineStr">
        <is>
          <t>nao sorteada</t>
        </is>
      </c>
      <c r="AE81" t="inlineStr"/>
      <c r="AF81" t="inlineStr"/>
    </row>
    <row r="82">
      <c r="A82" t="inlineStr">
        <is>
          <t>IT-DISC-2026-09-14-0081</t>
        </is>
      </c>
      <c r="B82" t="inlineStr">
        <is>
          <t>CNR IBBR — Istituto di Bioscienze e Biorisorse</t>
        </is>
      </c>
      <c r="C82" t="inlineStr">
        <is>
          <t>CIENCIA</t>
        </is>
      </c>
      <c r="D82" t="inlineStr">
        <is>
          <t>ORG</t>
        </is>
      </c>
      <c r="E82" t="inlineStr">
        <is>
          <t>CNR</t>
        </is>
      </c>
      <c r="F82" t="inlineStr">
        <is>
          <t>https://www.ibbr.cnr.it/</t>
        </is>
      </c>
      <c r="G82" t="inlineStr">
        <is>
          <t>https://www.ibbr.cnr.it/</t>
        </is>
      </c>
      <c r="H82" t="inlineStr">
        <is>
          <t>https://www.ibbr.cnr.it/ibbr/</t>
        </is>
      </c>
      <c r="I82" t="n">
        <v>200</v>
      </c>
      <c r="J82" t="inlineStr">
        <is>
          <t>text/html</t>
        </is>
      </c>
      <c r="K82" t="n">
        <v>1</v>
      </c>
      <c r="L82" t="b">
        <v>1</v>
      </c>
      <c r="M82" t="b">
        <v>1</v>
      </c>
      <c r="N82" t="inlineStr">
        <is>
          <t>PROVED_DIRECT</t>
        </is>
      </c>
      <c r="O82" t="inlineStr">
        <is>
          <t>SIM</t>
        </is>
      </c>
      <c r="P82" t="inlineStr">
        <is>
          <t>SIM — dominio .it e conteudo em italiano</t>
        </is>
      </c>
      <c r="Q82" t="inlineStr">
        <is>
          <t>Institute of Biosciences and Bioresources (IBBR-CNR)</t>
        </is>
      </c>
      <c r="R82" t="inlineStr">
        <is>
          <t>sonda HTTP read-only (GET limitado, payload nao preservado)</t>
        </is>
      </c>
      <c r="S82" t="inlineStr">
        <is>
          <t>2026-09-14T11:04:32Z</t>
        </is>
      </c>
      <c r="T82" t="inlineStr">
        <is>
          <t>PASS</t>
        </is>
      </c>
      <c r="U82" t="inlineStr"/>
      <c r="V82" t="inlineStr">
        <is>
          <t>T5;T1</t>
        </is>
      </c>
      <c r="W82" t="inlineStr">
        <is>
          <t>NAZIONALE</t>
        </is>
      </c>
      <c r="X82" t="inlineStr"/>
      <c r="Y82" t="inlineStr">
        <is>
          <t>germoplasma;genetica vegetale</t>
        </is>
      </c>
      <c r="Z82" t="inlineStr">
        <is>
          <t>titulo da pagina: Institute of Biosciences and Bioresources (IBBR-CNR)</t>
        </is>
      </c>
      <c r="AA82" t="inlineStr">
        <is>
          <t>dominio institucional do dono</t>
        </is>
      </c>
      <c r="AB82" t="inlineStr">
        <is>
          <t>nao sorteada</t>
        </is>
      </c>
      <c r="AC82" t="inlineStr">
        <is>
          <t>nao sorteada</t>
        </is>
      </c>
      <c r="AE82" t="inlineStr"/>
      <c r="AF82" t="inlineStr"/>
    </row>
    <row r="83">
      <c r="A83" t="inlineStr">
        <is>
          <t>IT-DISC-2026-09-14-0082</t>
        </is>
      </c>
      <c r="B83" t="inlineStr">
        <is>
          <t>CNR IPSP — Istituto per la Protezione Sostenibile delle Piante</t>
        </is>
      </c>
      <c r="C83" t="inlineStr">
        <is>
          <t>CIENCIA</t>
        </is>
      </c>
      <c r="D83" t="inlineStr">
        <is>
          <t>ORG</t>
        </is>
      </c>
      <c r="E83" t="inlineStr">
        <is>
          <t>CNR</t>
        </is>
      </c>
      <c r="F83" t="inlineStr">
        <is>
          <t>https://www.ipsp.cnr.it/</t>
        </is>
      </c>
      <c r="G83" t="inlineStr">
        <is>
          <t>http://www.ipsp.cnr.it/</t>
        </is>
      </c>
      <c r="H83" t="inlineStr">
        <is>
          <t>http://www.ipsp.cnr.it/</t>
        </is>
      </c>
      <c r="I83" t="n">
        <v>200</v>
      </c>
      <c r="J83" t="inlineStr">
        <is>
          <t>text/html</t>
        </is>
      </c>
      <c r="K83" t="n">
        <v>0</v>
      </c>
      <c r="L83" t="b">
        <v>1</v>
      </c>
      <c r="M83" t="b">
        <v>1</v>
      </c>
      <c r="N83" t="inlineStr">
        <is>
          <t>PROVED_DIRECT</t>
        </is>
      </c>
      <c r="O83" t="inlineStr">
        <is>
          <t>SIM</t>
        </is>
      </c>
      <c r="P83" t="inlineStr">
        <is>
          <t>SIM — dominio .it e conteudo em italiano</t>
        </is>
      </c>
      <c r="Q83" t="inlineStr">
        <is>
          <t>IPSP &amp;#8211; Istituto per la Protezione Sostenibile delle Piante</t>
        </is>
      </c>
      <c r="R83" t="inlineStr">
        <is>
          <t>sonda HTTP read-only (GET limitado, payload nao preservado)</t>
        </is>
      </c>
      <c r="S83" t="inlineStr">
        <is>
          <t>2026-09-14T11:06:34Z</t>
        </is>
      </c>
      <c r="T83" t="inlineStr">
        <is>
          <t>PASS</t>
        </is>
      </c>
      <c r="U83" t="inlineStr"/>
      <c r="V83" t="inlineStr">
        <is>
          <t>T3;T5;T6</t>
        </is>
      </c>
      <c r="W83" t="inlineStr">
        <is>
          <t>NAZIONALE</t>
        </is>
      </c>
      <c r="X83" t="inlineStr"/>
      <c r="Y83" t="inlineStr">
        <is>
          <t>patologia vegetale;entomologia;biocontrollo</t>
        </is>
      </c>
      <c r="Z83" t="inlineStr">
        <is>
          <t>titulo da pagina: IPSP &amp;#8211; Istituto per la Protezione Sostenibile delle Piante</t>
        </is>
      </c>
      <c r="AA83" t="inlineStr">
        <is>
          <t>dominio institucional do dono</t>
        </is>
      </c>
      <c r="AB83" t="inlineStr">
        <is>
          <t>nao sorteada</t>
        </is>
      </c>
      <c r="AC83" t="inlineStr">
        <is>
          <t>nao sorteada</t>
        </is>
      </c>
      <c r="AE83" t="inlineStr"/>
      <c r="AF83" t="inlineStr">
        <is>
          <t>certificado TLS expirado e de outro host; o endereco HTTP serve o instituto</t>
        </is>
      </c>
    </row>
    <row r="84">
      <c r="A84" t="inlineStr">
        <is>
          <t>IT-DISC-2026-09-14-0083</t>
        </is>
      </c>
      <c r="B84" t="inlineStr">
        <is>
          <t>CNR IRET — Istituto di Ricerca sugli Ecosistemi Terrestri</t>
        </is>
      </c>
      <c r="C84" t="inlineStr">
        <is>
          <t>CIENCIA</t>
        </is>
      </c>
      <c r="D84" t="inlineStr">
        <is>
          <t>ORG</t>
        </is>
      </c>
      <c r="E84" t="inlineStr">
        <is>
          <t>CNR</t>
        </is>
      </c>
      <c r="F84" t="inlineStr">
        <is>
          <t>https://www.iret.cnr.it/</t>
        </is>
      </c>
      <c r="G84" t="inlineStr">
        <is>
          <t>https://www.iret.cnr.it/</t>
        </is>
      </c>
      <c r="H84" t="inlineStr">
        <is>
          <t>https://www.iret.cnr.it/</t>
        </is>
      </c>
      <c r="I84" t="n">
        <v>200</v>
      </c>
      <c r="J84" t="inlineStr">
        <is>
          <t>text/html</t>
        </is>
      </c>
      <c r="K84" t="n">
        <v>0</v>
      </c>
      <c r="L84" t="b">
        <v>1</v>
      </c>
      <c r="M84" t="b">
        <v>1</v>
      </c>
      <c r="N84" t="inlineStr">
        <is>
          <t>PROVED_DIRECT</t>
        </is>
      </c>
      <c r="O84" t="inlineStr">
        <is>
          <t>SIM</t>
        </is>
      </c>
      <c r="P84" t="inlineStr">
        <is>
          <t>SIM — dominio .it e conteudo em italiano</t>
        </is>
      </c>
      <c r="Q84" t="inlineStr">
        <is>
          <t>Home - IRET</t>
        </is>
      </c>
      <c r="R84" t="inlineStr">
        <is>
          <t>sonda HTTP read-only (GET limitado, payload nao preservado)</t>
        </is>
      </c>
      <c r="S84" t="inlineStr">
        <is>
          <t>2026-09-14T11:04:32Z</t>
        </is>
      </c>
      <c r="T84" t="inlineStr">
        <is>
          <t>PASS</t>
        </is>
      </c>
      <c r="U84" t="inlineStr"/>
      <c r="V84" t="inlineStr">
        <is>
          <t>T2;T5</t>
        </is>
      </c>
      <c r="W84" t="inlineStr">
        <is>
          <t>NAZIONALE</t>
        </is>
      </c>
      <c r="X84" t="inlineStr"/>
      <c r="Y84" t="inlineStr">
        <is>
          <t>ecosistemi;suolo</t>
        </is>
      </c>
      <c r="Z84" t="inlineStr">
        <is>
          <t>titulo da pagina: Home - IRET</t>
        </is>
      </c>
      <c r="AA84" t="inlineStr">
        <is>
          <t>meta description: Biodiversità a livello di geni, popolazioni, specie, comunità.Processi</t>
        </is>
      </c>
      <c r="AB84" t="inlineStr">
        <is>
          <t>nao sorteada</t>
        </is>
      </c>
      <c r="AC84" t="inlineStr">
        <is>
          <t>nao sorteada</t>
        </is>
      </c>
      <c r="AE84" t="inlineStr"/>
      <c r="AF84" t="inlineStr"/>
    </row>
    <row r="85">
      <c r="A85" t="inlineStr">
        <is>
          <t>IT-DISC-2026-09-14-0084</t>
        </is>
      </c>
      <c r="B85" t="inlineStr">
        <is>
          <t>Francesco Nardi — registo cientifico ORCID (University of Siena)</t>
        </is>
      </c>
      <c r="C85" t="inlineStr">
        <is>
          <t>CIENCIA</t>
        </is>
      </c>
      <c r="D85" t="inlineStr">
        <is>
          <t>PERSON</t>
        </is>
      </c>
      <c r="E85" t="inlineStr">
        <is>
          <t>Francesco Nardi · University of Siena</t>
        </is>
      </c>
      <c r="F85" t="inlineStr">
        <is>
          <t>https://orcid.org/0000-0003-0271-9855</t>
        </is>
      </c>
      <c r="G85" t="inlineStr">
        <is>
          <t>https://orcid.org/0000-0003-0271-9855</t>
        </is>
      </c>
      <c r="H85" t="inlineStr">
        <is>
          <t>https://orcid.org/0000-0003-0271-9855</t>
        </is>
      </c>
      <c r="I85" t="n">
        <v>200</v>
      </c>
      <c r="J85" t="inlineStr">
        <is>
          <t>text/html</t>
        </is>
      </c>
      <c r="K85" t="n">
        <v>0</v>
      </c>
      <c r="L85" t="b">
        <v>1</v>
      </c>
      <c r="M85" t="b">
        <v>1</v>
      </c>
      <c r="N85" t="inlineStr">
        <is>
          <t>PROVED_BY_ORCID_EMPLOYMENT</t>
        </is>
      </c>
      <c r="O85" t="inlineStr">
        <is>
          <t>SIM</t>
        </is>
      </c>
      <c r="P85" t="inlineStr">
        <is>
          <t>SIM — ORCID declara afiliacao com country=IT e sem data de fim</t>
        </is>
      </c>
      <c r="Q85" t="inlineStr">
        <is>
          <t>ORCID employments: University of Siena</t>
        </is>
      </c>
      <c r="R85" t="inlineStr">
        <is>
          <t>sonda HTTP read-only (GET limitado, payload nao preservado) + ORCID public API /employments</t>
        </is>
      </c>
      <c r="S85" t="inlineStr">
        <is>
          <t>2026-09-14T11:25:47Z</t>
        </is>
      </c>
      <c r="T85" t="inlineStr">
        <is>
          <t>PASS</t>
        </is>
      </c>
      <c r="U85" t="inlineStr"/>
      <c r="V85" t="inlineStr">
        <is>
          <t>T6;T5</t>
        </is>
      </c>
      <c r="W85" t="inlineStr">
        <is>
          <t>NAZIONALE</t>
        </is>
      </c>
      <c r="X85" t="inlineStr"/>
      <c r="Y85" t="inlineStr">
        <is>
          <t>Popillia japonica</t>
        </is>
      </c>
      <c r="Z85" t="inlineStr">
        <is>
          <t>ORCID 0000-0003-0271-9855</t>
        </is>
      </c>
      <c r="AA85" t="inlineStr">
        <is>
          <t>afiliacao atual: University of Siena</t>
        </is>
      </c>
      <c r="AB85" t="inlineStr">
        <is>
          <t>nao sorteada</t>
        </is>
      </c>
      <c r="AC85" t="inlineStr">
        <is>
          <t>nao sorteada</t>
        </is>
      </c>
      <c r="AE85" t="inlineStr"/>
      <c r="AF85" t="inlineStr"/>
    </row>
    <row r="86">
      <c r="A86" t="inlineStr">
        <is>
          <t>IT-DISC-2026-09-14-0085</t>
        </is>
      </c>
      <c r="B86" t="inlineStr">
        <is>
          <t>Graziella Amendola — registo cientifico ORCID (National Institute of Health)</t>
        </is>
      </c>
      <c r="C86" t="inlineStr">
        <is>
          <t>CIENCIA</t>
        </is>
      </c>
      <c r="D86" t="inlineStr">
        <is>
          <t>PERSON</t>
        </is>
      </c>
      <c r="E86" t="inlineStr">
        <is>
          <t>Graziella Amendola · National Institute of Health</t>
        </is>
      </c>
      <c r="F86" t="inlineStr">
        <is>
          <t>https://orcid.org/0000-0001-5461-0312</t>
        </is>
      </c>
      <c r="G86" t="inlineStr">
        <is>
          <t>https://orcid.org/0000-0001-5461-0312</t>
        </is>
      </c>
      <c r="H86" t="inlineStr">
        <is>
          <t>https://orcid.org/0000-0001-5461-0312</t>
        </is>
      </c>
      <c r="I86" t="n">
        <v>200</v>
      </c>
      <c r="J86" t="inlineStr">
        <is>
          <t>text/html</t>
        </is>
      </c>
      <c r="K86" t="n">
        <v>0</v>
      </c>
      <c r="L86" t="b">
        <v>1</v>
      </c>
      <c r="M86" t="b">
        <v>1</v>
      </c>
      <c r="N86" t="inlineStr">
        <is>
          <t>PROVED_BY_ORCID_EMPLOYMENT</t>
        </is>
      </c>
      <c r="O86" t="inlineStr">
        <is>
          <t>SIM</t>
        </is>
      </c>
      <c r="P86" t="inlineStr">
        <is>
          <t>SIM — ORCID declara afiliacao com country=IT e sem data de fim</t>
        </is>
      </c>
      <c r="Q86" t="inlineStr">
        <is>
          <t>ORCID employments: National Institute of Health</t>
        </is>
      </c>
      <c r="R86" t="inlineStr">
        <is>
          <t>sonda HTTP read-only (GET limitado, payload nao preservado) + ORCID public API /employments</t>
        </is>
      </c>
      <c r="S86" t="inlineStr">
        <is>
          <t>2026-09-14T11:25:50Z</t>
        </is>
      </c>
      <c r="T86" t="inlineStr">
        <is>
          <t>PASS</t>
        </is>
      </c>
      <c r="U86" t="inlineStr"/>
      <c r="V86" t="inlineStr">
        <is>
          <t>T6;T5</t>
        </is>
      </c>
      <c r="W86" t="inlineStr">
        <is>
          <t>NAZIONALE</t>
        </is>
      </c>
      <c r="X86" t="inlineStr"/>
      <c r="Y86" t="inlineStr">
        <is>
          <t>residui;fitofarmaci</t>
        </is>
      </c>
      <c r="Z86" t="inlineStr">
        <is>
          <t>ORCID 0000-0001-5461-0312</t>
        </is>
      </c>
      <c r="AA86" t="inlineStr">
        <is>
          <t>afiliacao atual: National Institute of Health</t>
        </is>
      </c>
      <c r="AB86" t="inlineStr">
        <is>
          <t>nao sorteada</t>
        </is>
      </c>
      <c r="AC86" t="inlineStr">
        <is>
          <t>nao sorteada</t>
        </is>
      </c>
      <c r="AE86" t="inlineStr"/>
      <c r="AF86" t="inlineStr"/>
    </row>
    <row r="87">
      <c r="A87" t="inlineStr">
        <is>
          <t>IT-DISC-2026-09-14-0086</t>
        </is>
      </c>
      <c r="B87" t="inlineStr">
        <is>
          <t>Journal of Plant Pathology</t>
        </is>
      </c>
      <c r="C87" t="inlineStr">
        <is>
          <t>CIENCIA</t>
        </is>
      </c>
      <c r="D87" t="inlineStr">
        <is>
          <t>ORG</t>
        </is>
      </c>
      <c r="E87" t="inlineStr">
        <is>
          <t>SIPaV / Springer</t>
        </is>
      </c>
      <c r="F87" t="inlineStr">
        <is>
          <t>https://link.springer.com/journal/42161</t>
        </is>
      </c>
      <c r="G87" t="inlineStr">
        <is>
          <t>https://link.springer.com/journal/42161</t>
        </is>
      </c>
      <c r="H87" t="inlineStr">
        <is>
          <t>https://link.springer.com/journal/42161</t>
        </is>
      </c>
      <c r="I87" t="n">
        <v>200</v>
      </c>
      <c r="J87" t="inlineStr">
        <is>
          <t>text/html</t>
        </is>
      </c>
      <c r="K87" t="n">
        <v>0</v>
      </c>
      <c r="L87" t="b">
        <v>1</v>
      </c>
      <c r="M87" t="b">
        <v>1</v>
      </c>
      <c r="N87" t="inlineStr">
        <is>
          <t>PROVED_DIRECT</t>
        </is>
      </c>
      <c r="O87" t="inlineStr">
        <is>
          <t>SIM</t>
        </is>
      </c>
      <c r="P87" t="inlineStr">
        <is>
          <t>SIM — dono italiano identificado na pagina</t>
        </is>
      </c>
      <c r="Q87" t="inlineStr">
        <is>
          <t>Client Challenge</t>
        </is>
      </c>
      <c r="R87" t="inlineStr">
        <is>
          <t>sonda HTTP read-only (GET limitado, payload nao preservado)</t>
        </is>
      </c>
      <c r="S87" t="inlineStr">
        <is>
          <t>2026-09-14T11:24:57Z</t>
        </is>
      </c>
      <c r="T87" t="inlineStr">
        <is>
          <t>PASS</t>
        </is>
      </c>
      <c r="U87" t="inlineStr"/>
      <c r="V87" t="inlineStr">
        <is>
          <t>T3;T5</t>
        </is>
      </c>
      <c r="W87" t="inlineStr">
        <is>
          <t>NAZIONALE</t>
        </is>
      </c>
      <c r="X87" t="inlineStr"/>
      <c r="Y87" t="inlineStr">
        <is>
          <t>journal;patologia vegetale</t>
        </is>
      </c>
      <c r="Z87" t="inlineStr">
        <is>
          <t>titulo da pagina: Client Challenge</t>
        </is>
      </c>
      <c r="AA87" t="inlineStr">
        <is>
          <t>dominio institucional do dono</t>
        </is>
      </c>
      <c r="AB87" t="inlineStr">
        <is>
          <t>nao sorteada</t>
        </is>
      </c>
      <c r="AC87" t="inlineStr">
        <is>
          <t>nao sorteada</t>
        </is>
      </c>
      <c r="AE87" t="inlineStr"/>
      <c r="AF87" t="inlineStr"/>
    </row>
    <row r="88">
      <c r="A88" t="inlineStr">
        <is>
          <t>IT-DISC-2026-09-14-0087</t>
        </is>
      </c>
      <c r="B88" t="inlineStr">
        <is>
          <t>Luca Finetti — registo cientifico ORCID (University of Ferrara)</t>
        </is>
      </c>
      <c r="C88" t="inlineStr">
        <is>
          <t>CIENCIA</t>
        </is>
      </c>
      <c r="D88" t="inlineStr">
        <is>
          <t>PERSON</t>
        </is>
      </c>
      <c r="E88" t="inlineStr">
        <is>
          <t>Luca Finetti · University of Ferrara</t>
        </is>
      </c>
      <c r="F88" t="inlineStr">
        <is>
          <t>https://orcid.org/0000-0001-5558-9156</t>
        </is>
      </c>
      <c r="G88" t="inlineStr">
        <is>
          <t>https://orcid.org/0000-0001-5558-9156</t>
        </is>
      </c>
      <c r="H88" t="inlineStr">
        <is>
          <t>https://orcid.org/0000-0001-5558-9156</t>
        </is>
      </c>
      <c r="I88" t="n">
        <v>200</v>
      </c>
      <c r="J88" t="inlineStr">
        <is>
          <t>text/html</t>
        </is>
      </c>
      <c r="K88" t="n">
        <v>0</v>
      </c>
      <c r="L88" t="b">
        <v>1</v>
      </c>
      <c r="M88" t="b">
        <v>1</v>
      </c>
      <c r="N88" t="inlineStr">
        <is>
          <t>PROVED_BY_ORCID_EMPLOYMENT</t>
        </is>
      </c>
      <c r="O88" t="inlineStr">
        <is>
          <t>SIM</t>
        </is>
      </c>
      <c r="P88" t="inlineStr">
        <is>
          <t>SIM — ORCID declara afiliacao com country=IT e sem data de fim</t>
        </is>
      </c>
      <c r="Q88" t="inlineStr">
        <is>
          <t>ORCID employments: University of Ferrara</t>
        </is>
      </c>
      <c r="R88" t="inlineStr">
        <is>
          <t>sonda HTTP read-only (GET limitado, payload nao preservado) + ORCID public API /employments</t>
        </is>
      </c>
      <c r="S88" t="inlineStr">
        <is>
          <t>2026-09-14T11:25:47Z</t>
        </is>
      </c>
      <c r="T88" t="inlineStr">
        <is>
          <t>PASS</t>
        </is>
      </c>
      <c r="U88" t="inlineStr"/>
      <c r="V88" t="inlineStr">
        <is>
          <t>T6;T5</t>
        </is>
      </c>
      <c r="W88" t="inlineStr">
        <is>
          <t>NAZIONALE</t>
        </is>
      </c>
      <c r="X88" t="inlineStr"/>
      <c r="Y88" t="inlineStr">
        <is>
          <t>Halyomorpha;cimice asiatica</t>
        </is>
      </c>
      <c r="Z88" t="inlineStr">
        <is>
          <t>ORCID 0000-0001-5558-9156</t>
        </is>
      </c>
      <c r="AA88" t="inlineStr">
        <is>
          <t>afiliacao atual: University of Ferrara</t>
        </is>
      </c>
      <c r="AB88" t="inlineStr">
        <is>
          <t>CONFIRMA</t>
        </is>
      </c>
      <c r="AC88" t="inlineStr">
        <is>
          <t>nao sorteada</t>
        </is>
      </c>
      <c r="AE88" t="inlineStr"/>
      <c r="AF88" t="inlineStr"/>
    </row>
    <row r="89">
      <c r="A89" t="inlineStr">
        <is>
          <t>IT-DISC-2026-09-14-0088</t>
        </is>
      </c>
      <c r="B89" t="inlineStr">
        <is>
          <t>Agroinnova — Centro di Competenza per l'Innovazione in campo agro-ambientale</t>
        </is>
      </c>
      <c r="C89" t="inlineStr">
        <is>
          <t>CIENCIA</t>
        </is>
      </c>
      <c r="D89" t="inlineStr">
        <is>
          <t>ORG</t>
        </is>
      </c>
      <c r="E89" t="inlineStr">
        <is>
          <t>Universita di Torino</t>
        </is>
      </c>
      <c r="F89" t="inlineStr">
        <is>
          <t>https://www.agroinnova.unito.it/</t>
        </is>
      </c>
      <c r="G89" t="inlineStr">
        <is>
          <t>https://www.agroinnova.unito.it/</t>
        </is>
      </c>
      <c r="H89" t="inlineStr">
        <is>
          <t>https://www.agroinnova.unito.it/it</t>
        </is>
      </c>
      <c r="I89" t="n">
        <v>200</v>
      </c>
      <c r="J89" t="inlineStr">
        <is>
          <t>text/html</t>
        </is>
      </c>
      <c r="K89" t="n">
        <v>1</v>
      </c>
      <c r="L89" t="b">
        <v>1</v>
      </c>
      <c r="M89" t="b">
        <v>1</v>
      </c>
      <c r="N89" t="inlineStr">
        <is>
          <t>PROVED_DIRECT</t>
        </is>
      </c>
      <c r="O89" t="inlineStr">
        <is>
          <t>SIM</t>
        </is>
      </c>
      <c r="P89" t="inlineStr">
        <is>
          <t>SIM — dominio .it e conteudo em italiano</t>
        </is>
      </c>
      <c r="Q89" t="inlineStr">
        <is>
          <t>Home page | Centro Interdipartimentale per l&amp;#039;Innovazione in campo Agro-ambi</t>
        </is>
      </c>
      <c r="R89" t="inlineStr">
        <is>
          <t>sonda HTTP read-only (GET limitado, payload nao preservado)</t>
        </is>
      </c>
      <c r="S89" t="inlineStr">
        <is>
          <t>2026-09-14T11:24:53Z</t>
        </is>
      </c>
      <c r="T89" t="inlineStr">
        <is>
          <t>PASS</t>
        </is>
      </c>
      <c r="U89" t="inlineStr"/>
      <c r="V89" t="inlineStr">
        <is>
          <t>T3;T5;T6</t>
        </is>
      </c>
      <c r="W89" t="inlineStr">
        <is>
          <t>PIEMONTE</t>
        </is>
      </c>
      <c r="X89" t="inlineStr"/>
      <c r="Y89" t="inlineStr">
        <is>
          <t>patologia vegetale;difesa;sostenibilita</t>
        </is>
      </c>
      <c r="Z89" t="inlineStr">
        <is>
          <t>titulo da pagina: Home page | Centro Interdipartimentale per l&amp;#039;Innovazione in campo</t>
        </is>
      </c>
      <c r="AA89" t="inlineStr">
        <is>
          <t>dominio institucional do dono</t>
        </is>
      </c>
      <c r="AB89" t="inlineStr">
        <is>
          <t>nao sorteada</t>
        </is>
      </c>
      <c r="AC89" t="inlineStr">
        <is>
          <t>nao sorteada</t>
        </is>
      </c>
      <c r="AE89" t="inlineStr"/>
      <c r="AF89" t="inlineStr"/>
    </row>
    <row r="90">
      <c r="A90" t="inlineStr">
        <is>
          <t>IT-DISC-2026-09-14-0089</t>
        </is>
      </c>
      <c r="B90" t="inlineStr">
        <is>
          <t>Chiara D'ERRICO — registo cientifico ORCID (Istituto per la Protezione Sostenibile delle Piante IPSP - CNR)</t>
        </is>
      </c>
      <c r="C90" t="inlineStr">
        <is>
          <t>CIENCIA</t>
        </is>
      </c>
      <c r="D90" t="inlineStr">
        <is>
          <t>PERSON</t>
        </is>
      </c>
      <c r="E90" t="inlineStr">
        <is>
          <t>Chiara D'ERRICO · Istituto per la Protezione Sostenibile delle Piante IPSP - CNR</t>
        </is>
      </c>
      <c r="F90" t="inlineStr">
        <is>
          <t>https://orcid.org/0000-0003-0546-9900</t>
        </is>
      </c>
      <c r="G90" t="inlineStr">
        <is>
          <t>https://orcid.org/0000-0003-0546-9900</t>
        </is>
      </c>
      <c r="H90" t="inlineStr">
        <is>
          <t>https://orcid.org/0000-0003-0546-9900</t>
        </is>
      </c>
      <c r="I90" t="n">
        <v>200</v>
      </c>
      <c r="J90" t="inlineStr">
        <is>
          <t>text/html</t>
        </is>
      </c>
      <c r="K90" t="n">
        <v>0</v>
      </c>
      <c r="L90" t="b">
        <v>1</v>
      </c>
      <c r="M90" t="b">
        <v>1</v>
      </c>
      <c r="N90" t="inlineStr">
        <is>
          <t>PROVED_BY_ORCID_EMPLOYMENT</t>
        </is>
      </c>
      <c r="O90" t="inlineStr">
        <is>
          <t>SIM</t>
        </is>
      </c>
      <c r="P90" t="inlineStr">
        <is>
          <t>SIM — ORCID declara afiliacao com country=IT e sem data de fim</t>
        </is>
      </c>
      <c r="Q90" t="inlineStr">
        <is>
          <t>ORCID employments: Istituto per la Protezione Sostenibile delle Piante IPSP - CNR</t>
        </is>
      </c>
      <c r="R90" t="inlineStr">
        <is>
          <t>sonda HTTP read-only (GET limitado, payload nao preservado) + ORCID public API /employments</t>
        </is>
      </c>
      <c r="S90" t="inlineStr">
        <is>
          <t>2026-09-14T11:25:47Z</t>
        </is>
      </c>
      <c r="T90" t="inlineStr">
        <is>
          <t>PASS</t>
        </is>
      </c>
      <c r="U90" t="inlineStr"/>
      <c r="V90" t="inlineStr">
        <is>
          <t>T6;T5</t>
        </is>
      </c>
      <c r="W90" t="inlineStr">
        <is>
          <t>PIEMONTE</t>
        </is>
      </c>
      <c r="X90" t="inlineStr">
        <is>
          <t>vite</t>
        </is>
      </c>
      <c r="Y90" t="inlineStr">
        <is>
          <t>vite;flavescenza dorata</t>
        </is>
      </c>
      <c r="Z90" t="inlineStr">
        <is>
          <t>ORCID 0000-0003-0546-9900</t>
        </is>
      </c>
      <c r="AA90" t="inlineStr">
        <is>
          <t>afiliacao atual: Istituto per la Protezione Sostenibile delle Piante IPSP - CNR</t>
        </is>
      </c>
      <c r="AB90" t="inlineStr">
        <is>
          <t>nao sorteada</t>
        </is>
      </c>
      <c r="AC90" t="inlineStr">
        <is>
          <t>nao sorteada</t>
        </is>
      </c>
      <c r="AE90" t="inlineStr"/>
      <c r="AF90" t="inlineStr"/>
    </row>
    <row r="91">
      <c r="A91" t="inlineStr">
        <is>
          <t>IT-DISC-2026-09-14-0090</t>
        </is>
      </c>
      <c r="B91" t="inlineStr">
        <is>
          <t>Daniele Daffonchio — registo cientifico ORCID (University of Turin)</t>
        </is>
      </c>
      <c r="C91" t="inlineStr">
        <is>
          <t>CIENCIA</t>
        </is>
      </c>
      <c r="D91" t="inlineStr">
        <is>
          <t>PERSON</t>
        </is>
      </c>
      <c r="E91" t="inlineStr">
        <is>
          <t>Daniele Daffonchio · University of Turin</t>
        </is>
      </c>
      <c r="F91" t="inlineStr">
        <is>
          <t>https://orcid.org/0000-0003-0947-925X</t>
        </is>
      </c>
      <c r="G91" t="inlineStr">
        <is>
          <t>https://orcid.org/0000-0003-0947-925X</t>
        </is>
      </c>
      <c r="H91" t="inlineStr">
        <is>
          <t>https://orcid.org/0000-0003-0947-925X</t>
        </is>
      </c>
      <c r="I91" t="n">
        <v>200</v>
      </c>
      <c r="J91" t="inlineStr">
        <is>
          <t>text/html</t>
        </is>
      </c>
      <c r="K91" t="n">
        <v>0</v>
      </c>
      <c r="L91" t="b">
        <v>1</v>
      </c>
      <c r="M91" t="b">
        <v>1</v>
      </c>
      <c r="N91" t="inlineStr">
        <is>
          <t>PROVED_BY_ORCID_EMPLOYMENT</t>
        </is>
      </c>
      <c r="O91" t="inlineStr">
        <is>
          <t>SIM</t>
        </is>
      </c>
      <c r="P91" t="inlineStr">
        <is>
          <t>SIM — ORCID declara afiliacao com country=IT e sem data de fim</t>
        </is>
      </c>
      <c r="Q91" t="inlineStr">
        <is>
          <t>ORCID employments: University of Turin</t>
        </is>
      </c>
      <c r="R91" t="inlineStr">
        <is>
          <t>sonda HTTP read-only (GET limitado, payload nao preservado) + ORCID public API /employments</t>
        </is>
      </c>
      <c r="S91" t="inlineStr">
        <is>
          <t>2026-09-14T11:25:47Z</t>
        </is>
      </c>
      <c r="T91" t="inlineStr">
        <is>
          <t>PASS</t>
        </is>
      </c>
      <c r="U91" t="inlineStr"/>
      <c r="V91" t="inlineStr">
        <is>
          <t>T6;T5</t>
        </is>
      </c>
      <c r="W91" t="inlineStr">
        <is>
          <t>PIEMONTE</t>
        </is>
      </c>
      <c r="X91" t="inlineStr"/>
      <c r="Y91" t="inlineStr">
        <is>
          <t>Popillia japonica</t>
        </is>
      </c>
      <c r="Z91" t="inlineStr">
        <is>
          <t>ORCID 0000-0003-0947-925X</t>
        </is>
      </c>
      <c r="AA91" t="inlineStr">
        <is>
          <t>afiliacao atual: University of Turin</t>
        </is>
      </c>
      <c r="AB91" t="inlineStr">
        <is>
          <t>nao sorteada</t>
        </is>
      </c>
      <c r="AC91" t="inlineStr">
        <is>
          <t>nao sorteada</t>
        </is>
      </c>
      <c r="AE91" t="inlineStr"/>
      <c r="AF91" t="inlineStr"/>
    </row>
    <row r="92">
      <c r="A92" t="inlineStr">
        <is>
          <t>IT-DISC-2026-09-14-0091</t>
        </is>
      </c>
      <c r="B92" t="inlineStr">
        <is>
          <t>Fondazione Agrion — Fondazione per la ricerca l'innovazione e lo sviluppo tecnologico dell'agricoltura piemontese</t>
        </is>
      </c>
      <c r="C92" t="inlineStr">
        <is>
          <t>CIENCIA</t>
        </is>
      </c>
      <c r="D92" t="inlineStr">
        <is>
          <t>ORG</t>
        </is>
      </c>
      <c r="E92" t="inlineStr">
        <is>
          <t>Fondazione Agrion</t>
        </is>
      </c>
      <c r="F92" t="inlineStr">
        <is>
          <t>https://www.agrion.it/</t>
        </is>
      </c>
      <c r="G92" t="inlineStr">
        <is>
          <t>https://www.agrion.it/</t>
        </is>
      </c>
      <c r="H92" t="inlineStr">
        <is>
          <t>https://www.agrion.it/</t>
        </is>
      </c>
      <c r="I92" t="n">
        <v>200</v>
      </c>
      <c r="J92" t="inlineStr">
        <is>
          <t>text/html</t>
        </is>
      </c>
      <c r="K92" t="n">
        <v>0</v>
      </c>
      <c r="L92" t="b">
        <v>1</v>
      </c>
      <c r="M92" t="b">
        <v>1</v>
      </c>
      <c r="N92" t="inlineStr">
        <is>
          <t>PROVED_DIRECT</t>
        </is>
      </c>
      <c r="O92" t="inlineStr">
        <is>
          <t>SIM</t>
        </is>
      </c>
      <c r="P92" t="inlineStr">
        <is>
          <t>SIM — dominio .it e conteudo em italiano</t>
        </is>
      </c>
      <c r="Q92" t="inlineStr">
        <is>
          <t>Fondazione Agrion &amp;#8211; Agricoltura Ricerca Innovazione</t>
        </is>
      </c>
      <c r="R92" t="inlineStr">
        <is>
          <t>sonda HTTP read-only (GET limitado, payload nao preservado)</t>
        </is>
      </c>
      <c r="S92" t="inlineStr">
        <is>
          <t>2026-09-14T11:24:53Z</t>
        </is>
      </c>
      <c r="T92" t="inlineStr">
        <is>
          <t>PASS</t>
        </is>
      </c>
      <c r="U92" t="inlineStr"/>
      <c r="V92" t="inlineStr">
        <is>
          <t>T5;T3;T1</t>
        </is>
      </c>
      <c r="W92" t="inlineStr">
        <is>
          <t>PIEMONTE</t>
        </is>
      </c>
      <c r="X92" t="inlineStr"/>
      <c r="Y92" t="inlineStr">
        <is>
          <t>frutticoltura;viticoltura;sperimentazione</t>
        </is>
      </c>
      <c r="Z92" t="inlineStr">
        <is>
          <t>titulo da pagina: Fondazione Agrion &amp;#8211; Agricoltura Ricerca Innovazione</t>
        </is>
      </c>
      <c r="AA92" t="inlineStr">
        <is>
          <t>dominio institucional do dono</t>
        </is>
      </c>
      <c r="AB92" t="inlineStr">
        <is>
          <t>nao sorteada</t>
        </is>
      </c>
      <c r="AC92" t="inlineStr">
        <is>
          <t>nao sorteada</t>
        </is>
      </c>
      <c r="AE92" t="inlineStr"/>
      <c r="AF92" t="inlineStr"/>
    </row>
    <row r="93">
      <c r="A93" t="inlineStr">
        <is>
          <t>IT-DISC-2026-09-14-0092</t>
        </is>
      </c>
      <c r="B93" t="inlineStr">
        <is>
          <t>IRIS UNITO — Archivio istituzionale</t>
        </is>
      </c>
      <c r="C93" t="inlineStr">
        <is>
          <t>CIENCIA</t>
        </is>
      </c>
      <c r="D93" t="inlineStr">
        <is>
          <t>ORG</t>
        </is>
      </c>
      <c r="E93" t="inlineStr">
        <is>
          <t>Universita di Torino</t>
        </is>
      </c>
      <c r="F93" t="inlineStr">
        <is>
          <t>https://iris.unito.it/</t>
        </is>
      </c>
      <c r="G93" t="inlineStr">
        <is>
          <t>https://iris.unito.it/</t>
        </is>
      </c>
      <c r="H93" t="inlineStr">
        <is>
          <t>https://iris.unito.it/</t>
        </is>
      </c>
      <c r="I93" t="n">
        <v>200</v>
      </c>
      <c r="J93" t="inlineStr">
        <is>
          <t>text/html</t>
        </is>
      </c>
      <c r="K93" t="n">
        <v>0</v>
      </c>
      <c r="L93" t="b">
        <v>1</v>
      </c>
      <c r="M93" t="b">
        <v>1</v>
      </c>
      <c r="N93" t="inlineStr">
        <is>
          <t>PROVED_DIRECT</t>
        </is>
      </c>
      <c r="O93" t="inlineStr">
        <is>
          <t>SIM</t>
        </is>
      </c>
      <c r="P93" t="inlineStr">
        <is>
          <t>SIM — dominio .it e conteudo em italiano</t>
        </is>
      </c>
      <c r="Q93" t="inlineStr">
        <is>
          <t>Home page</t>
        </is>
      </c>
      <c r="R93" t="inlineStr">
        <is>
          <t>sonda HTTP read-only (GET limitado, payload nao preservado)</t>
        </is>
      </c>
      <c r="S93" t="inlineStr">
        <is>
          <t>2026-09-14T11:24:56Z</t>
        </is>
      </c>
      <c r="T93" t="inlineStr">
        <is>
          <t>PASS</t>
        </is>
      </c>
      <c r="U93" t="inlineStr"/>
      <c r="V93" t="inlineStr">
        <is>
          <t>T5;T6</t>
        </is>
      </c>
      <c r="W93" t="inlineStr">
        <is>
          <t>PIEMONTE</t>
        </is>
      </c>
      <c r="X93" t="inlineStr"/>
      <c r="Y93" t="inlineStr">
        <is>
          <t>repositorio scientifico</t>
        </is>
      </c>
      <c r="Z93" t="inlineStr">
        <is>
          <t>titulo da pagina: Home page</t>
        </is>
      </c>
      <c r="AA93" t="inlineStr">
        <is>
          <t>dominio institucional do dono</t>
        </is>
      </c>
      <c r="AB93" t="inlineStr">
        <is>
          <t>nao sorteada</t>
        </is>
      </c>
      <c r="AC93" t="inlineStr">
        <is>
          <t>nao sorteada</t>
        </is>
      </c>
      <c r="AE93" t="inlineStr"/>
      <c r="AF93" t="inlineStr"/>
    </row>
    <row r="94">
      <c r="A94" t="inlineStr">
        <is>
          <t>IT-DISC-2026-09-14-0093</t>
        </is>
      </c>
      <c r="B94" t="inlineStr">
        <is>
          <t>Lorenzo Baglieri — registo cientifico ORCID (Politecnico di Torino)</t>
        </is>
      </c>
      <c r="C94" t="inlineStr">
        <is>
          <t>CIENCIA</t>
        </is>
      </c>
      <c r="D94" t="inlineStr">
        <is>
          <t>PERSON</t>
        </is>
      </c>
      <c r="E94" t="inlineStr">
        <is>
          <t>Lorenzo Baglieri · Politecnico di Torino</t>
        </is>
      </c>
      <c r="F94" t="inlineStr">
        <is>
          <t>https://orcid.org/0000-0002-5022-5326</t>
        </is>
      </c>
      <c r="G94" t="inlineStr">
        <is>
          <t>https://orcid.org/0000-0002-5022-5326</t>
        </is>
      </c>
      <c r="H94" t="inlineStr">
        <is>
          <t>https://orcid.org/0000-0002-5022-5326</t>
        </is>
      </c>
      <c r="I94" t="n">
        <v>200</v>
      </c>
      <c r="J94" t="inlineStr">
        <is>
          <t>text/html</t>
        </is>
      </c>
      <c r="K94" t="n">
        <v>0</v>
      </c>
      <c r="L94" t="b">
        <v>1</v>
      </c>
      <c r="M94" t="b">
        <v>1</v>
      </c>
      <c r="N94" t="inlineStr">
        <is>
          <t>PROVED_BY_ORCID_EMPLOYMENT</t>
        </is>
      </c>
      <c r="O94" t="inlineStr">
        <is>
          <t>SIM</t>
        </is>
      </c>
      <c r="P94" t="inlineStr">
        <is>
          <t>SIM — ORCID declara afiliacao com country=IT e sem data de fim</t>
        </is>
      </c>
      <c r="Q94" t="inlineStr">
        <is>
          <t>ORCID employments: Politecnico di Torino</t>
        </is>
      </c>
      <c r="R94" t="inlineStr">
        <is>
          <t>sonda HTTP read-only (GET limitado, payload nao preservado) + ORCID public API /employments</t>
        </is>
      </c>
      <c r="S94" t="inlineStr">
        <is>
          <t>2026-09-14T11:25:49Z</t>
        </is>
      </c>
      <c r="T94" t="inlineStr">
        <is>
          <t>PASS</t>
        </is>
      </c>
      <c r="U94" t="inlineStr"/>
      <c r="V94" t="inlineStr">
        <is>
          <t>T6;T5</t>
        </is>
      </c>
      <c r="W94" t="inlineStr">
        <is>
          <t>PIEMONTE</t>
        </is>
      </c>
      <c r="X94" t="inlineStr"/>
      <c r="Y94" t="inlineStr">
        <is>
          <t>precision farming;telerilevamento</t>
        </is>
      </c>
      <c r="Z94" t="inlineStr">
        <is>
          <t>ORCID 0000-0002-5022-5326</t>
        </is>
      </c>
      <c r="AA94" t="inlineStr">
        <is>
          <t>afiliacao atual: Politecnico di Torino</t>
        </is>
      </c>
      <c r="AB94" t="inlineStr">
        <is>
          <t>nao sorteada</t>
        </is>
      </c>
      <c r="AC94" t="inlineStr">
        <is>
          <t>nao sorteada</t>
        </is>
      </c>
      <c r="AE94" t="inlineStr"/>
      <c r="AF94" t="inlineStr"/>
    </row>
    <row r="95">
      <c r="A95" t="inlineStr">
        <is>
          <t>IT-DISC-2026-09-14-0094</t>
        </is>
      </c>
      <c r="B95" t="inlineStr">
        <is>
          <t>Vera Pavese — registo cientifico ORCID (University of Turin)</t>
        </is>
      </c>
      <c r="C95" t="inlineStr">
        <is>
          <t>CIENCIA</t>
        </is>
      </c>
      <c r="D95" t="inlineStr">
        <is>
          <t>PERSON</t>
        </is>
      </c>
      <c r="E95" t="inlineStr">
        <is>
          <t>Vera Pavese · University of Turin</t>
        </is>
      </c>
      <c r="F95" t="inlineStr">
        <is>
          <t>https://orcid.org/0000-0002-6863-3950</t>
        </is>
      </c>
      <c r="G95" t="inlineStr">
        <is>
          <t>https://orcid.org/0000-0002-6863-3950</t>
        </is>
      </c>
      <c r="H95" t="inlineStr">
        <is>
          <t>https://orcid.org/0000-0002-6863-3950</t>
        </is>
      </c>
      <c r="I95" t="n">
        <v>200</v>
      </c>
      <c r="J95" t="inlineStr">
        <is>
          <t>text/html</t>
        </is>
      </c>
      <c r="K95" t="n">
        <v>0</v>
      </c>
      <c r="L95" t="b">
        <v>1</v>
      </c>
      <c r="M95" t="b">
        <v>1</v>
      </c>
      <c r="N95" t="inlineStr">
        <is>
          <t>PROVED_BY_ORCID_EMPLOYMENT</t>
        </is>
      </c>
      <c r="O95" t="inlineStr">
        <is>
          <t>SIM</t>
        </is>
      </c>
      <c r="P95" t="inlineStr">
        <is>
          <t>SIM — ORCID declara afiliacao com country=IT e sem data de fim</t>
        </is>
      </c>
      <c r="Q95" t="inlineStr">
        <is>
          <t>ORCID employments: University of Turin</t>
        </is>
      </c>
      <c r="R95" t="inlineStr">
        <is>
          <t>sonda HTTP read-only (GET limitado, payload nao preservado) + ORCID public API /employments</t>
        </is>
      </c>
      <c r="S95" t="inlineStr">
        <is>
          <t>2026-09-14T11:25:47Z</t>
        </is>
      </c>
      <c r="T95" t="inlineStr">
        <is>
          <t>PASS</t>
        </is>
      </c>
      <c r="U95" t="inlineStr"/>
      <c r="V95" t="inlineStr">
        <is>
          <t>T6;T5</t>
        </is>
      </c>
      <c r="W95" t="inlineStr">
        <is>
          <t>PIEMONTE</t>
        </is>
      </c>
      <c r="X95" t="inlineStr">
        <is>
          <t>nocciolo</t>
        </is>
      </c>
      <c r="Y95" t="inlineStr">
        <is>
          <t>nocciolo;frutticoltura</t>
        </is>
      </c>
      <c r="Z95" t="inlineStr">
        <is>
          <t>ORCID 0000-0002-6863-3950</t>
        </is>
      </c>
      <c r="AA95" t="inlineStr">
        <is>
          <t>afiliacao atual: University of Turin</t>
        </is>
      </c>
      <c r="AB95" t="inlineStr">
        <is>
          <t>nao sorteada</t>
        </is>
      </c>
      <c r="AC95" t="inlineStr">
        <is>
          <t>nao sorteada</t>
        </is>
      </c>
      <c r="AE95" t="inlineStr"/>
      <c r="AF95" t="inlineStr"/>
    </row>
    <row r="96">
      <c r="A96" t="inlineStr">
        <is>
          <t>IT-DISC-2026-09-14-0095</t>
        </is>
      </c>
      <c r="B96" t="inlineStr">
        <is>
          <t>CNR ISPA — Istituto di Scienze delle Produzioni Alimentari</t>
        </is>
      </c>
      <c r="C96" t="inlineStr">
        <is>
          <t>CIENCIA</t>
        </is>
      </c>
      <c r="D96" t="inlineStr">
        <is>
          <t>ORG</t>
        </is>
      </c>
      <c r="E96" t="inlineStr">
        <is>
          <t>CNR</t>
        </is>
      </c>
      <c r="F96" t="inlineStr">
        <is>
          <t>https://www.ispa.cnr.it/</t>
        </is>
      </c>
      <c r="G96" t="inlineStr">
        <is>
          <t>https://www.ispa.cnr.it/</t>
        </is>
      </c>
      <c r="H96" t="inlineStr">
        <is>
          <t>https://www.ispa.cnr.it/</t>
        </is>
      </c>
      <c r="I96" t="n">
        <v>200</v>
      </c>
      <c r="J96" t="inlineStr">
        <is>
          <t>text/html</t>
        </is>
      </c>
      <c r="K96" t="n">
        <v>0</v>
      </c>
      <c r="L96" t="b">
        <v>1</v>
      </c>
      <c r="M96" t="b">
        <v>1</v>
      </c>
      <c r="N96" t="inlineStr">
        <is>
          <t>PROVED_DIRECT</t>
        </is>
      </c>
      <c r="O96" t="inlineStr">
        <is>
          <t>SIM</t>
        </is>
      </c>
      <c r="P96" t="inlineStr">
        <is>
          <t>SIM — dominio .it e conteudo em italiano</t>
        </is>
      </c>
      <c r="Q96" t="inlineStr">
        <is>
          <t>ISPA - CNR ISPA - CNR</t>
        </is>
      </c>
      <c r="R96" t="inlineStr">
        <is>
          <t>sonda HTTP read-only (GET limitado, payload nao preservado)</t>
        </is>
      </c>
      <c r="S96" t="inlineStr">
        <is>
          <t>2026-09-14T11:04:31Z</t>
        </is>
      </c>
      <c r="T96" t="inlineStr">
        <is>
          <t>PASS</t>
        </is>
      </c>
      <c r="U96" t="inlineStr"/>
      <c r="V96" t="inlineStr">
        <is>
          <t>T3;T5</t>
        </is>
      </c>
      <c r="W96" t="inlineStr">
        <is>
          <t>PUGLIA</t>
        </is>
      </c>
      <c r="X96" t="inlineStr"/>
      <c r="Y96" t="inlineStr">
        <is>
          <t>micotossine;sicurezza alimentare;Fusarium</t>
        </is>
      </c>
      <c r="Z96" t="inlineStr">
        <is>
          <t>titulo da pagina: ISPA - CNR ISPA - CNR</t>
        </is>
      </c>
      <c r="AA96" t="inlineStr">
        <is>
          <t>meta description: ISPA - CNR ISPA - CNR</t>
        </is>
      </c>
      <c r="AB96" t="inlineStr">
        <is>
          <t>nao sorteada</t>
        </is>
      </c>
      <c r="AC96" t="inlineStr">
        <is>
          <t>nao sorteada</t>
        </is>
      </c>
      <c r="AE96" t="inlineStr"/>
      <c r="AF96" t="inlineStr"/>
    </row>
    <row r="97">
      <c r="A97" t="inlineStr">
        <is>
          <t>IT-DISC-2026-09-14-0096</t>
        </is>
      </c>
      <c r="B97" t="inlineStr">
        <is>
          <t>Marwa Mourou — registo cientifico ORCID (Università degli Studi di Bari Aldo Moro)</t>
        </is>
      </c>
      <c r="C97" t="inlineStr">
        <is>
          <t>CIENCIA</t>
        </is>
      </c>
      <c r="D97" t="inlineStr">
        <is>
          <t>PERSON</t>
        </is>
      </c>
      <c r="E97" t="inlineStr">
        <is>
          <t>Marwa Mourou · Università degli Studi di Bari Aldo Moro</t>
        </is>
      </c>
      <c r="F97" t="inlineStr">
        <is>
          <t>https://orcid.org/0000-0002-9925-3520</t>
        </is>
      </c>
      <c r="G97" t="inlineStr">
        <is>
          <t>https://orcid.org/0000-0002-9925-3520</t>
        </is>
      </c>
      <c r="H97" t="inlineStr">
        <is>
          <t>https://orcid.org/0000-0002-9925-3520</t>
        </is>
      </c>
      <c r="I97" t="n">
        <v>200</v>
      </c>
      <c r="J97" t="inlineStr">
        <is>
          <t>text/html</t>
        </is>
      </c>
      <c r="K97" t="n">
        <v>0</v>
      </c>
      <c r="L97" t="b">
        <v>1</v>
      </c>
      <c r="M97" t="b">
        <v>1</v>
      </c>
      <c r="N97" t="inlineStr">
        <is>
          <t>PROVED_BY_ORCID_EMPLOYMENT</t>
        </is>
      </c>
      <c r="O97" t="inlineStr">
        <is>
          <t>SIM</t>
        </is>
      </c>
      <c r="P97" t="inlineStr">
        <is>
          <t>SIM — ORCID declara afiliacao com country=IT e sem data de fim</t>
        </is>
      </c>
      <c r="Q97" t="inlineStr">
        <is>
          <t>ORCID employments: Università degli Studi di Bari Aldo Moro</t>
        </is>
      </c>
      <c r="R97" t="inlineStr">
        <is>
          <t>sonda HTTP read-only (GET limitado, payload nao preservado) + ORCID public API /employments</t>
        </is>
      </c>
      <c r="S97" t="inlineStr">
        <is>
          <t>2026-09-14T11:25:47Z</t>
        </is>
      </c>
      <c r="T97" t="inlineStr">
        <is>
          <t>PASS</t>
        </is>
      </c>
      <c r="U97" t="inlineStr"/>
      <c r="V97" t="inlineStr">
        <is>
          <t>T6;T5</t>
        </is>
      </c>
      <c r="W97" t="inlineStr">
        <is>
          <t>PUGLIA</t>
        </is>
      </c>
      <c r="X97" t="inlineStr">
        <is>
          <t>olivo</t>
        </is>
      </c>
      <c r="Y97" t="inlineStr">
        <is>
          <t>olivo;Xylella;batteriosi</t>
        </is>
      </c>
      <c r="Z97" t="inlineStr">
        <is>
          <t>ORCID 0000-0002-9925-3520</t>
        </is>
      </c>
      <c r="AA97" t="inlineStr">
        <is>
          <t>afiliacao atual: Università degli Studi di Bari Aldo Moro</t>
        </is>
      </c>
      <c r="AB97" t="inlineStr">
        <is>
          <t>CONFIRMA</t>
        </is>
      </c>
      <c r="AC97" t="inlineStr">
        <is>
          <t>nao sorteada</t>
        </is>
      </c>
      <c r="AE97" t="inlineStr"/>
      <c r="AF97" t="inlineStr"/>
    </row>
    <row r="98">
      <c r="A98" t="inlineStr">
        <is>
          <t>IT-DISC-2026-09-14-0097</t>
        </is>
      </c>
      <c r="B98" t="inlineStr">
        <is>
          <t>UNIBA DiSSPA — Dipartimento di Scienze del Suolo della Pianta e degli Alimenti</t>
        </is>
      </c>
      <c r="C98" t="inlineStr">
        <is>
          <t>CIENCIA</t>
        </is>
      </c>
      <c r="D98" t="inlineStr">
        <is>
          <t>ORG</t>
        </is>
      </c>
      <c r="E98" t="inlineStr">
        <is>
          <t>Universita di Bari Aldo Moro</t>
        </is>
      </c>
      <c r="F98" t="inlineStr">
        <is>
          <t>https://www.uniba.it/it/ricerca/dipartimenti/disspa</t>
        </is>
      </c>
      <c r="G98" t="inlineStr">
        <is>
          <t>https://www.uniba.it/it/ricerca/dipartimenti/disspa</t>
        </is>
      </c>
      <c r="H98" t="inlineStr">
        <is>
          <t>https://www.uniba.it/it/ricerca/dipartimenti/disspa</t>
        </is>
      </c>
      <c r="I98" t="n">
        <v>200</v>
      </c>
      <c r="J98" t="inlineStr">
        <is>
          <t>text/html</t>
        </is>
      </c>
      <c r="K98" t="n">
        <v>0</v>
      </c>
      <c r="L98" t="b">
        <v>1</v>
      </c>
      <c r="M98" t="b">
        <v>1</v>
      </c>
      <c r="N98" t="inlineStr">
        <is>
          <t>PROVED_DIRECT</t>
        </is>
      </c>
      <c r="O98" t="inlineStr">
        <is>
          <t>SIM</t>
        </is>
      </c>
      <c r="P98" t="inlineStr">
        <is>
          <t>SIM — dominio .it e conteudo em italiano</t>
        </is>
      </c>
      <c r="Q98" t="inlineStr">
        <is>
          <t>Dipartimento di Scienze del Suolo, della Pianta e degli Alimenti (Di.S.S.P.A.) —</t>
        </is>
      </c>
      <c r="R98" t="inlineStr">
        <is>
          <t>sonda HTTP read-only (GET limitado, payload nao preservado)</t>
        </is>
      </c>
      <c r="S98" t="inlineStr">
        <is>
          <t>2026-09-14T11:24:47Z</t>
        </is>
      </c>
      <c r="T98" t="inlineStr">
        <is>
          <t>PASS</t>
        </is>
      </c>
      <c r="U98" t="inlineStr"/>
      <c r="V98" t="inlineStr">
        <is>
          <t>T5;T6;T3</t>
        </is>
      </c>
      <c r="W98" t="inlineStr">
        <is>
          <t>PUGLIA</t>
        </is>
      </c>
      <c r="X98" t="inlineStr">
        <is>
          <t>olivo;vite</t>
        </is>
      </c>
      <c r="Y98" t="inlineStr">
        <is>
          <t>patologia;Xylella;olivo;vite</t>
        </is>
      </c>
      <c r="Z98" t="inlineStr">
        <is>
          <t>titulo da pagina: Dipartimento di Scienze del Suolo, della Pianta e degli Alimenti (Di.S</t>
        </is>
      </c>
      <c r="AA98" t="inlineStr">
        <is>
          <t>meta description: Dipartimento di eccellenza 2023-2027. Tra i 10 Dipartimenti italiani s</t>
        </is>
      </c>
      <c r="AB98" t="inlineStr">
        <is>
          <t>nao sorteada</t>
        </is>
      </c>
      <c r="AC98" t="inlineStr">
        <is>
          <t>nao sorteada</t>
        </is>
      </c>
      <c r="AE98" t="inlineStr"/>
      <c r="AF98" t="inlineStr"/>
    </row>
    <row r="99">
      <c r="A99" t="inlineStr">
        <is>
          <t>IT-DISC-2026-09-14-0098</t>
        </is>
      </c>
      <c r="B99" t="inlineStr">
        <is>
          <t>Andrea Lentini — registo cientifico ORCID (Università degli Studi di Sassari)</t>
        </is>
      </c>
      <c r="C99" t="inlineStr">
        <is>
          <t>CIENCIA</t>
        </is>
      </c>
      <c r="D99" t="inlineStr">
        <is>
          <t>PERSON</t>
        </is>
      </c>
      <c r="E99" t="inlineStr">
        <is>
          <t>Andrea Lentini · Università degli Studi di Sassari</t>
        </is>
      </c>
      <c r="F99" t="inlineStr">
        <is>
          <t>https://orcid.org/0000-0003-2089-1026</t>
        </is>
      </c>
      <c r="G99" t="inlineStr">
        <is>
          <t>https://orcid.org/0000-0003-2089-1026</t>
        </is>
      </c>
      <c r="H99" t="inlineStr">
        <is>
          <t>https://orcid.org/0000-0003-2089-1026</t>
        </is>
      </c>
      <c r="I99" t="n">
        <v>200</v>
      </c>
      <c r="J99" t="inlineStr">
        <is>
          <t>text/html</t>
        </is>
      </c>
      <c r="K99" t="n">
        <v>0</v>
      </c>
      <c r="L99" t="b">
        <v>1</v>
      </c>
      <c r="M99" t="b">
        <v>1</v>
      </c>
      <c r="N99" t="inlineStr">
        <is>
          <t>PROVED_BY_ORCID_EMPLOYMENT</t>
        </is>
      </c>
      <c r="O99" t="inlineStr">
        <is>
          <t>SIM</t>
        </is>
      </c>
      <c r="P99" t="inlineStr">
        <is>
          <t>SIM — ORCID declara afiliacao com country=IT e sem data de fim</t>
        </is>
      </c>
      <c r="Q99" t="inlineStr">
        <is>
          <t>ORCID employments: Università degli Studi di Sassari</t>
        </is>
      </c>
      <c r="R99" t="inlineStr">
        <is>
          <t>sonda HTTP read-only (GET limitado, payload nao preservado) + ORCID public API /employments</t>
        </is>
      </c>
      <c r="S99" t="inlineStr">
        <is>
          <t>2026-09-14T11:25:49Z</t>
        </is>
      </c>
      <c r="T99" t="inlineStr">
        <is>
          <t>PASS</t>
        </is>
      </c>
      <c r="U99" t="inlineStr"/>
      <c r="V99" t="inlineStr">
        <is>
          <t>T6;T5</t>
        </is>
      </c>
      <c r="W99" t="inlineStr">
        <is>
          <t>SARDEGNA</t>
        </is>
      </c>
      <c r="X99" t="inlineStr">
        <is>
          <t>mais</t>
        </is>
      </c>
      <c r="Y99" t="inlineStr">
        <is>
          <t>mais;piralide</t>
        </is>
      </c>
      <c r="Z99" t="inlineStr">
        <is>
          <t>ORCID 0000-0003-2089-1026</t>
        </is>
      </c>
      <c r="AA99" t="inlineStr">
        <is>
          <t>afiliacao atual: Università degli Studi di Sassari</t>
        </is>
      </c>
      <c r="AB99" t="inlineStr">
        <is>
          <t>nao sorteada</t>
        </is>
      </c>
      <c r="AC99" t="inlineStr">
        <is>
          <t>nao sorteada</t>
        </is>
      </c>
      <c r="AE99" t="inlineStr"/>
      <c r="AF99" t="inlineStr"/>
    </row>
    <row r="100">
      <c r="A100" t="inlineStr">
        <is>
          <t>IT-DISC-2026-09-14-0099</t>
        </is>
      </c>
      <c r="B100" t="inlineStr">
        <is>
          <t>Aparna S Balan — registo cientifico ORCID (University of Palermo)</t>
        </is>
      </c>
      <c r="C100" t="inlineStr">
        <is>
          <t>CIENCIA</t>
        </is>
      </c>
      <c r="D100" t="inlineStr">
        <is>
          <t>PERSON</t>
        </is>
      </c>
      <c r="E100" t="inlineStr">
        <is>
          <t>Aparna S Balan · University of Palermo</t>
        </is>
      </c>
      <c r="F100" t="inlineStr">
        <is>
          <t>https://orcid.org/0009-0001-5306-0125</t>
        </is>
      </c>
      <c r="G100" t="inlineStr">
        <is>
          <t>https://orcid.org/0009-0001-5306-0125</t>
        </is>
      </c>
      <c r="H100" t="inlineStr">
        <is>
          <t>https://orcid.org/0009-0001-5306-0125</t>
        </is>
      </c>
      <c r="I100" t="n">
        <v>200</v>
      </c>
      <c r="J100" t="inlineStr">
        <is>
          <t>text/html</t>
        </is>
      </c>
      <c r="K100" t="n">
        <v>0</v>
      </c>
      <c r="L100" t="b">
        <v>1</v>
      </c>
      <c r="M100" t="b">
        <v>1</v>
      </c>
      <c r="N100" t="inlineStr">
        <is>
          <t>PROVED_BY_ORCID_EMPLOYMENT</t>
        </is>
      </c>
      <c r="O100" t="inlineStr">
        <is>
          <t>SIM</t>
        </is>
      </c>
      <c r="P100" t="inlineStr">
        <is>
          <t>SIM — ORCID declara afiliacao com country=IT e sem data de fim</t>
        </is>
      </c>
      <c r="Q100" t="inlineStr">
        <is>
          <t>ORCID employments: University of Palermo</t>
        </is>
      </c>
      <c r="R100" t="inlineStr">
        <is>
          <t>sonda HTTP read-only (GET limitado, payload nao preservado) + ORCID public API /employments</t>
        </is>
      </c>
      <c r="S100" t="inlineStr">
        <is>
          <t>2026-09-14T11:25:48Z</t>
        </is>
      </c>
      <c r="T100" t="inlineStr">
        <is>
          <t>PASS</t>
        </is>
      </c>
      <c r="U100" t="inlineStr"/>
      <c r="V100" t="inlineStr">
        <is>
          <t>T6;T5</t>
        </is>
      </c>
      <c r="W100" t="inlineStr">
        <is>
          <t>SICILIA</t>
        </is>
      </c>
      <c r="X100" t="inlineStr">
        <is>
          <t>olivo</t>
        </is>
      </c>
      <c r="Y100" t="inlineStr">
        <is>
          <t>olivo;Xylella;batteriosi</t>
        </is>
      </c>
      <c r="Z100" t="inlineStr">
        <is>
          <t>ORCID 0009-0001-5306-0125</t>
        </is>
      </c>
      <c r="AA100" t="inlineStr">
        <is>
          <t>afiliacao atual: University of Palermo</t>
        </is>
      </c>
      <c r="AB100" t="inlineStr">
        <is>
          <t>nao sorteada</t>
        </is>
      </c>
      <c r="AC100" t="inlineStr">
        <is>
          <t>nao sorteada</t>
        </is>
      </c>
      <c r="AE100" t="inlineStr"/>
      <c r="AF100" t="inlineStr"/>
    </row>
    <row r="101">
      <c r="A101" t="inlineStr">
        <is>
          <t>IT-DISC-2026-09-14-0100</t>
        </is>
      </c>
      <c r="B101" t="inlineStr">
        <is>
          <t>ROBERTO RIZZO — registo cientifico ORCID (CREA - Research Centre for Plant Protection and Certification)</t>
        </is>
      </c>
      <c r="C101" t="inlineStr">
        <is>
          <t>CIENCIA</t>
        </is>
      </c>
      <c r="D101" t="inlineStr">
        <is>
          <t>PERSON</t>
        </is>
      </c>
      <c r="E101" t="inlineStr">
        <is>
          <t>ROBERTO RIZZO · CREA - Research Centre for Plant Protection and Certification</t>
        </is>
      </c>
      <c r="F101" t="inlineStr">
        <is>
          <t>https://orcid.org/0000-0003-1628-643X</t>
        </is>
      </c>
      <c r="G101" t="inlineStr">
        <is>
          <t>https://orcid.org/0000-0003-1628-643X</t>
        </is>
      </c>
      <c r="H101" t="inlineStr">
        <is>
          <t>https://orcid.org/0000-0003-1628-643X</t>
        </is>
      </c>
      <c r="I101" t="n">
        <v>200</v>
      </c>
      <c r="J101" t="inlineStr">
        <is>
          <t>text/html</t>
        </is>
      </c>
      <c r="K101" t="n">
        <v>0</v>
      </c>
      <c r="L101" t="b">
        <v>1</v>
      </c>
      <c r="M101" t="b">
        <v>1</v>
      </c>
      <c r="N101" t="inlineStr">
        <is>
          <t>PROVED_BY_ORCID_EMPLOYMENT</t>
        </is>
      </c>
      <c r="O101" t="inlineStr">
        <is>
          <t>SIM</t>
        </is>
      </c>
      <c r="P101" t="inlineStr">
        <is>
          <t>SIM — ORCID declara afiliacao com country=IT e sem data de fim</t>
        </is>
      </c>
      <c r="Q101" t="inlineStr">
        <is>
          <t>ORCID employments: CREA - Research Centre for Plant Protection and Certification</t>
        </is>
      </c>
      <c r="R101" t="inlineStr">
        <is>
          <t>sonda HTTP read-only (GET limitado, payload nao preservado) + ORCID public API /employments</t>
        </is>
      </c>
      <c r="S101" t="inlineStr">
        <is>
          <t>2026-09-14T11:25:48Z</t>
        </is>
      </c>
      <c r="T101" t="inlineStr">
        <is>
          <t>PASS</t>
        </is>
      </c>
      <c r="U101" t="inlineStr"/>
      <c r="V101" t="inlineStr">
        <is>
          <t>T6;T5</t>
        </is>
      </c>
      <c r="W101" t="inlineStr">
        <is>
          <t>SICILIA</t>
        </is>
      </c>
      <c r="X101" t="inlineStr">
        <is>
          <t>olivo</t>
        </is>
      </c>
      <c r="Y101" t="inlineStr">
        <is>
          <t>olivo;mosca delle olive</t>
        </is>
      </c>
      <c r="Z101" t="inlineStr">
        <is>
          <t>ORCID 0000-0003-1628-643X</t>
        </is>
      </c>
      <c r="AA101" t="inlineStr">
        <is>
          <t>afiliacao atual: CREA - Research Centre for Plant Protection and Certification</t>
        </is>
      </c>
      <c r="AB101" t="inlineStr">
        <is>
          <t>nao sorteada</t>
        </is>
      </c>
      <c r="AC101" t="inlineStr">
        <is>
          <t>SIM</t>
        </is>
      </c>
      <c r="AE101" t="inlineStr"/>
      <c r="AF101" t="inlineStr"/>
    </row>
    <row r="102">
      <c r="A102" t="inlineStr">
        <is>
          <t>IT-DISC-2026-09-14-0101</t>
        </is>
      </c>
      <c r="B102" t="inlineStr">
        <is>
          <t>Roberta Maria Gravagno — registo cientifico ORCID (University of Catania)</t>
        </is>
      </c>
      <c r="C102" t="inlineStr">
        <is>
          <t>CIENCIA</t>
        </is>
      </c>
      <c r="D102" t="inlineStr">
        <is>
          <t>PERSON</t>
        </is>
      </c>
      <c r="E102" t="inlineStr">
        <is>
          <t>Roberta Maria Gravagno · University of Catania</t>
        </is>
      </c>
      <c r="F102" t="inlineStr">
        <is>
          <t>https://orcid.org/0009-0005-2447-3608</t>
        </is>
      </c>
      <c r="G102" t="inlineStr">
        <is>
          <t>https://orcid.org/0009-0005-2447-3608</t>
        </is>
      </c>
      <c r="H102" t="inlineStr">
        <is>
          <t>https://orcid.org/0009-0005-2447-3608</t>
        </is>
      </c>
      <c r="I102" t="n">
        <v>200</v>
      </c>
      <c r="J102" t="inlineStr">
        <is>
          <t>text/html</t>
        </is>
      </c>
      <c r="K102" t="n">
        <v>0</v>
      </c>
      <c r="L102" t="b">
        <v>1</v>
      </c>
      <c r="M102" t="b">
        <v>1</v>
      </c>
      <c r="N102" t="inlineStr">
        <is>
          <t>PROVED_BY_ORCID_EMPLOYMENT</t>
        </is>
      </c>
      <c r="O102" t="inlineStr">
        <is>
          <t>SIM</t>
        </is>
      </c>
      <c r="P102" t="inlineStr">
        <is>
          <t>SIM — ORCID declara afiliacao com country=IT e sem data de fim</t>
        </is>
      </c>
      <c r="Q102" t="inlineStr">
        <is>
          <t>ORCID employments: University of Catania</t>
        </is>
      </c>
      <c r="R102" t="inlineStr">
        <is>
          <t>sonda HTTP read-only (GET limitado, payload nao preservado) + ORCID public API /employments</t>
        </is>
      </c>
      <c r="S102" t="inlineStr">
        <is>
          <t>2026-09-14T11:25:48Z</t>
        </is>
      </c>
      <c r="T102" t="inlineStr">
        <is>
          <t>PASS</t>
        </is>
      </c>
      <c r="U102" t="inlineStr"/>
      <c r="V102" t="inlineStr">
        <is>
          <t>T6;T5</t>
        </is>
      </c>
      <c r="W102" t="inlineStr">
        <is>
          <t>SICILIA</t>
        </is>
      </c>
      <c r="X102" t="inlineStr">
        <is>
          <t>vite</t>
        </is>
      </c>
      <c r="Y102" t="inlineStr">
        <is>
          <t>vite;Plasmopara viticola</t>
        </is>
      </c>
      <c r="Z102" t="inlineStr">
        <is>
          <t>ORCID 0009-0005-2447-3608</t>
        </is>
      </c>
      <c r="AA102" t="inlineStr">
        <is>
          <t>afiliacao atual: University of Catania</t>
        </is>
      </c>
      <c r="AB102" t="inlineStr">
        <is>
          <t>nao sorteada</t>
        </is>
      </c>
      <c r="AC102" t="inlineStr">
        <is>
          <t>nao sorteada</t>
        </is>
      </c>
      <c r="AE102" t="inlineStr"/>
      <c r="AF102" t="inlineStr"/>
    </row>
    <row r="103">
      <c r="A103" t="inlineStr">
        <is>
          <t>IT-DISC-2026-09-14-0102</t>
        </is>
      </c>
      <c r="B103" t="inlineStr">
        <is>
          <t>UNICT Di3A — Dipartimento di Agricoltura Alimentazione e Ambiente</t>
        </is>
      </c>
      <c r="C103" t="inlineStr">
        <is>
          <t>CIENCIA</t>
        </is>
      </c>
      <c r="D103" t="inlineStr">
        <is>
          <t>ORG</t>
        </is>
      </c>
      <c r="E103" t="inlineStr">
        <is>
          <t>Universita di Catania</t>
        </is>
      </c>
      <c r="F103" t="inlineStr">
        <is>
          <t>https://www.di3a.unict.it/</t>
        </is>
      </c>
      <c r="G103" t="inlineStr">
        <is>
          <t>https://www.di3a.unict.it/</t>
        </is>
      </c>
      <c r="H103" t="inlineStr">
        <is>
          <t>https://www.di3a.unict.it/</t>
        </is>
      </c>
      <c r="I103" t="n">
        <v>200</v>
      </c>
      <c r="J103" t="inlineStr">
        <is>
          <t>text/html</t>
        </is>
      </c>
      <c r="K103" t="n">
        <v>0</v>
      </c>
      <c r="L103" t="b">
        <v>1</v>
      </c>
      <c r="M103" t="b">
        <v>1</v>
      </c>
      <c r="N103" t="inlineStr">
        <is>
          <t>PROVED_DIRECT</t>
        </is>
      </c>
      <c r="O103" t="inlineStr">
        <is>
          <t>SIM</t>
        </is>
      </c>
      <c r="P103" t="inlineStr">
        <is>
          <t>SIM — dominio .it e conteudo em italiano</t>
        </is>
      </c>
      <c r="Q103" t="inlineStr">
        <is>
          <t>Dipartimento di Agricoltura, Alimentazione e Ambiente</t>
        </is>
      </c>
      <c r="R103" t="inlineStr">
        <is>
          <t>sonda HTTP read-only (GET limitado, payload nao preservado)</t>
        </is>
      </c>
      <c r="S103" t="inlineStr">
        <is>
          <t>2026-09-14T11:24:48Z</t>
        </is>
      </c>
      <c r="T103" t="inlineStr">
        <is>
          <t>PASS</t>
        </is>
      </c>
      <c r="U103" t="inlineStr"/>
      <c r="V103" t="inlineStr">
        <is>
          <t>T5;T6;T3</t>
        </is>
      </c>
      <c r="W103" t="inlineStr">
        <is>
          <t>SICILIA</t>
        </is>
      </c>
      <c r="X103" t="inlineStr">
        <is>
          <t>agrumi</t>
        </is>
      </c>
      <c r="Y103" t="inlineStr">
        <is>
          <t>agrumi;difesa;agronomia</t>
        </is>
      </c>
      <c r="Z103" t="inlineStr">
        <is>
          <t>titulo da pagina: Dipartimento di Agricoltura, Alimentazione e Ambiente</t>
        </is>
      </c>
      <c r="AA103" t="inlineStr">
        <is>
          <t>dominio institucional do dono</t>
        </is>
      </c>
      <c r="AB103" t="inlineStr">
        <is>
          <t>CONFIRMA</t>
        </is>
      </c>
      <c r="AC103" t="inlineStr">
        <is>
          <t>SIM</t>
        </is>
      </c>
      <c r="AE103" t="inlineStr"/>
      <c r="AF103" t="inlineStr"/>
    </row>
    <row r="104">
      <c r="A104" t="inlineStr">
        <is>
          <t>IT-DISC-2026-09-14-0103</t>
        </is>
      </c>
      <c r="B104" t="inlineStr">
        <is>
          <t>UNIPA SAAF — Dipartimento Scienze Agrarie Alimentari e Forestali</t>
        </is>
      </c>
      <c r="C104" t="inlineStr">
        <is>
          <t>CIENCIA</t>
        </is>
      </c>
      <c r="D104" t="inlineStr">
        <is>
          <t>ORG</t>
        </is>
      </c>
      <c r="E104" t="inlineStr">
        <is>
          <t>Universita di Palermo</t>
        </is>
      </c>
      <c r="F104" t="inlineStr">
        <is>
          <t>https://www.unipa.it/dipartimenti/saaf/</t>
        </is>
      </c>
      <c r="G104" t="inlineStr">
        <is>
          <t>https://www.unipa.it/dipartimenti/saaf/</t>
        </is>
      </c>
      <c r="H104" t="inlineStr">
        <is>
          <t>https://www.unipa.it/dipartimenti/saaf/</t>
        </is>
      </c>
      <c r="I104" t="n">
        <v>200</v>
      </c>
      <c r="J104" t="inlineStr">
        <is>
          <t>text/html</t>
        </is>
      </c>
      <c r="K104" t="n">
        <v>0</v>
      </c>
      <c r="L104" t="b">
        <v>1</v>
      </c>
      <c r="M104" t="b">
        <v>1</v>
      </c>
      <c r="N104" t="inlineStr">
        <is>
          <t>PROVED_DIRECT</t>
        </is>
      </c>
      <c r="O104" t="inlineStr">
        <is>
          <t>SIM</t>
        </is>
      </c>
      <c r="P104" t="inlineStr">
        <is>
          <t>SIM — dominio .it e conteudo em italiano</t>
        </is>
      </c>
      <c r="Q104" t="inlineStr">
        <is>
          <t>Scienze Agrarie, Alimentari e Forestali | Universit&amp;agrave; degli Studi di Paler</t>
        </is>
      </c>
      <c r="R104" t="inlineStr">
        <is>
          <t>sonda HTTP read-only (GET limitado, payload nao preservado)</t>
        </is>
      </c>
      <c r="S104" t="inlineStr">
        <is>
          <t>2026-09-14T11:24:48Z</t>
        </is>
      </c>
      <c r="T104" t="inlineStr">
        <is>
          <t>PASS</t>
        </is>
      </c>
      <c r="U104" t="inlineStr"/>
      <c r="V104" t="inlineStr">
        <is>
          <t>T5;T6;T1</t>
        </is>
      </c>
      <c r="W104" t="inlineStr">
        <is>
          <t>SICILIA</t>
        </is>
      </c>
      <c r="X104" t="inlineStr">
        <is>
          <t>olivo;vite</t>
        </is>
      </c>
      <c r="Y104" t="inlineStr">
        <is>
          <t>agraria;vite;olivo</t>
        </is>
      </c>
      <c r="Z104" t="inlineStr">
        <is>
          <t>titulo da pagina: Scienze Agrarie, Alimentari e Forestali | Universit&amp;agrave; degli Stud</t>
        </is>
      </c>
      <c r="AA104" t="inlineStr">
        <is>
          <t>meta description: Scienze Agrarie, Alimentari e Forestali</t>
        </is>
      </c>
      <c r="AB104" t="inlineStr">
        <is>
          <t>nao sorteada</t>
        </is>
      </c>
      <c r="AC104" t="inlineStr">
        <is>
          <t>nao sorteada</t>
        </is>
      </c>
      <c r="AE104" t="inlineStr"/>
      <c r="AF104" t="inlineStr"/>
    </row>
    <row r="105">
      <c r="A105" t="inlineStr">
        <is>
          <t>IT-DISC-2026-09-14-0104</t>
        </is>
      </c>
      <c r="B105" t="inlineStr">
        <is>
          <t>Advances in Horticultural Science</t>
        </is>
      </c>
      <c r="C105" t="inlineStr">
        <is>
          <t>CIENCIA</t>
        </is>
      </c>
      <c r="D105" t="inlineStr">
        <is>
          <t>ORG</t>
        </is>
      </c>
      <c r="E105" t="inlineStr">
        <is>
          <t>Firenze University Press</t>
        </is>
      </c>
      <c r="F105" t="inlineStr">
        <is>
          <t>https://oaj.fupress.net/index.php/ahs</t>
        </is>
      </c>
      <c r="G105" t="inlineStr">
        <is>
          <t>https://oaj.fupress.net/index.php/ahs</t>
        </is>
      </c>
      <c r="H105" t="inlineStr">
        <is>
          <t>https://oaj.fupress.net/index.php/ahs</t>
        </is>
      </c>
      <c r="I105" t="n">
        <v>200</v>
      </c>
      <c r="J105" t="inlineStr">
        <is>
          <t>text/html</t>
        </is>
      </c>
      <c r="K105" t="n">
        <v>0</v>
      </c>
      <c r="L105" t="b">
        <v>1</v>
      </c>
      <c r="M105" t="b">
        <v>1</v>
      </c>
      <c r="N105" t="inlineStr">
        <is>
          <t>PROVED_DIRECT</t>
        </is>
      </c>
      <c r="O105" t="inlineStr">
        <is>
          <t>SIM</t>
        </is>
      </c>
      <c r="P105" t="inlineStr">
        <is>
          <t>SIM — dono italiano identificado na pagina</t>
        </is>
      </c>
      <c r="Q105" t="inlineStr">
        <is>
          <t>Advances in Horticultural Science</t>
        </is>
      </c>
      <c r="R105" t="inlineStr">
        <is>
          <t>sonda HTTP read-only (GET limitado, payload nao preservado)</t>
        </is>
      </c>
      <c r="S105" t="inlineStr">
        <is>
          <t>2026-09-14T11:24:57Z</t>
        </is>
      </c>
      <c r="T105" t="inlineStr">
        <is>
          <t>PASS</t>
        </is>
      </c>
      <c r="U105" t="inlineStr"/>
      <c r="V105" t="inlineStr">
        <is>
          <t>T5;T1</t>
        </is>
      </c>
      <c r="W105" t="inlineStr">
        <is>
          <t>TOSCANA</t>
        </is>
      </c>
      <c r="X105" t="inlineStr"/>
      <c r="Y105" t="inlineStr">
        <is>
          <t>journal;orticoltura</t>
        </is>
      </c>
      <c r="Z105" t="inlineStr">
        <is>
          <t>titulo da pagina: Advances in Horticultural Science</t>
        </is>
      </c>
      <c r="AA105" t="inlineStr">
        <is>
          <t>meta description: FUP Open Access Journals – Firenze University Press. Scientific peer-r</t>
        </is>
      </c>
      <c r="AB105" t="inlineStr">
        <is>
          <t>nao sorteada</t>
        </is>
      </c>
      <c r="AC105" t="inlineStr">
        <is>
          <t>nao sorteada</t>
        </is>
      </c>
      <c r="AE105" t="inlineStr"/>
      <c r="AF105" t="inlineStr"/>
    </row>
    <row r="106">
      <c r="A106" t="inlineStr">
        <is>
          <t>IT-DISC-2026-09-14-0105</t>
        </is>
      </c>
      <c r="B106" t="inlineStr">
        <is>
          <t>FLORE UNIFI — Archivio istituzionale della ricerca</t>
        </is>
      </c>
      <c r="C106" t="inlineStr">
        <is>
          <t>CIENCIA</t>
        </is>
      </c>
      <c r="D106" t="inlineStr">
        <is>
          <t>ORG</t>
        </is>
      </c>
      <c r="E106" t="inlineStr">
        <is>
          <t>Universita di Firenze</t>
        </is>
      </c>
      <c r="F106" t="inlineStr">
        <is>
          <t>https://flore.unifi.it/</t>
        </is>
      </c>
      <c r="G106" t="inlineStr">
        <is>
          <t>https://flore.unifi.it/</t>
        </is>
      </c>
      <c r="H106" t="inlineStr">
        <is>
          <t>https://flore.unifi.it/</t>
        </is>
      </c>
      <c r="I106" t="n">
        <v>200</v>
      </c>
      <c r="J106" t="inlineStr">
        <is>
          <t>text/html</t>
        </is>
      </c>
      <c r="K106" t="n">
        <v>0</v>
      </c>
      <c r="L106" t="b">
        <v>1</v>
      </c>
      <c r="M106" t="b">
        <v>1</v>
      </c>
      <c r="N106" t="inlineStr">
        <is>
          <t>PROVED_DIRECT</t>
        </is>
      </c>
      <c r="O106" t="inlineStr">
        <is>
          <t>SIM</t>
        </is>
      </c>
      <c r="P106" t="inlineStr">
        <is>
          <t>SIM — dominio .it e conteudo em italiano</t>
        </is>
      </c>
      <c r="Q106" t="inlineStr">
        <is>
          <t>Home page</t>
        </is>
      </c>
      <c r="R106" t="inlineStr">
        <is>
          <t>sonda HTTP read-only (GET limitado, payload nao preservado)</t>
        </is>
      </c>
      <c r="S106" t="inlineStr">
        <is>
          <t>2026-09-14T11:24:57Z</t>
        </is>
      </c>
      <c r="T106" t="inlineStr">
        <is>
          <t>PASS</t>
        </is>
      </c>
      <c r="U106" t="inlineStr"/>
      <c r="V106" t="inlineStr">
        <is>
          <t>T5;T6</t>
        </is>
      </c>
      <c r="W106" t="inlineStr">
        <is>
          <t>TOSCANA</t>
        </is>
      </c>
      <c r="X106" t="inlineStr"/>
      <c r="Y106" t="inlineStr">
        <is>
          <t>repositorio scientifico</t>
        </is>
      </c>
      <c r="Z106" t="inlineStr">
        <is>
          <t>titulo da pagina: Home page</t>
        </is>
      </c>
      <c r="AA106" t="inlineStr">
        <is>
          <t>dominio institucional do dono</t>
        </is>
      </c>
      <c r="AB106" t="inlineStr">
        <is>
          <t>nao sorteada</t>
        </is>
      </c>
      <c r="AC106" t="inlineStr">
        <is>
          <t>nao sorteada</t>
        </is>
      </c>
      <c r="AE106" t="inlineStr"/>
      <c r="AF106" t="inlineStr"/>
    </row>
    <row r="107">
      <c r="A107" t="inlineStr">
        <is>
          <t>IT-DISC-2026-09-14-0106</t>
        </is>
      </c>
      <c r="B107" t="inlineStr">
        <is>
          <t>Leonardo Caproni — registo cientifico ORCID (Scuola Superiore Sant'Anna)</t>
        </is>
      </c>
      <c r="C107" t="inlineStr">
        <is>
          <t>CIENCIA</t>
        </is>
      </c>
      <c r="D107" t="inlineStr">
        <is>
          <t>PERSON</t>
        </is>
      </c>
      <c r="E107" t="inlineStr">
        <is>
          <t>Leonardo Caproni · Scuola Superiore Sant'Anna</t>
        </is>
      </c>
      <c r="F107" t="inlineStr">
        <is>
          <t>https://orcid.org/0000-0002-7129-8575</t>
        </is>
      </c>
      <c r="G107" t="inlineStr">
        <is>
          <t>https://orcid.org/0000-0002-7129-8575</t>
        </is>
      </c>
      <c r="H107" t="inlineStr">
        <is>
          <t>https://orcid.org/0000-0002-7129-8575</t>
        </is>
      </c>
      <c r="I107" t="n">
        <v>200</v>
      </c>
      <c r="J107" t="inlineStr">
        <is>
          <t>text/html</t>
        </is>
      </c>
      <c r="K107" t="n">
        <v>0</v>
      </c>
      <c r="L107" t="b">
        <v>1</v>
      </c>
      <c r="M107" t="b">
        <v>1</v>
      </c>
      <c r="N107" t="inlineStr">
        <is>
          <t>PROVED_BY_ORCID_EMPLOYMENT</t>
        </is>
      </c>
      <c r="O107" t="inlineStr">
        <is>
          <t>SIM</t>
        </is>
      </c>
      <c r="P107" t="inlineStr">
        <is>
          <t>SIM — ORCID declara afiliacao com country=IT e sem data de fim</t>
        </is>
      </c>
      <c r="Q107" t="inlineStr">
        <is>
          <t>ORCID employments: Scuola Superiore Sant'Anna</t>
        </is>
      </c>
      <c r="R107" t="inlineStr">
        <is>
          <t>sonda HTTP read-only (GET limitado, payload nao preservado) + ORCID public API /employments</t>
        </is>
      </c>
      <c r="S107" t="inlineStr">
        <is>
          <t>2026-09-14T11:25:49Z</t>
        </is>
      </c>
      <c r="T107" t="inlineStr">
        <is>
          <t>PASS</t>
        </is>
      </c>
      <c r="U107" t="inlineStr"/>
      <c r="V107" t="inlineStr">
        <is>
          <t>T6;T5</t>
        </is>
      </c>
      <c r="W107" t="inlineStr">
        <is>
          <t>TOSCANA</t>
        </is>
      </c>
      <c r="X107" t="inlineStr">
        <is>
          <t>nocciolo</t>
        </is>
      </c>
      <c r="Y107" t="inlineStr">
        <is>
          <t>nocciolo;frutticoltura</t>
        </is>
      </c>
      <c r="Z107" t="inlineStr">
        <is>
          <t>ORCID 0000-0002-7129-8575</t>
        </is>
      </c>
      <c r="AA107" t="inlineStr">
        <is>
          <t>afiliacao atual: Scuola Superiore Sant'Anna</t>
        </is>
      </c>
      <c r="AB107" t="inlineStr">
        <is>
          <t>nao sorteada</t>
        </is>
      </c>
      <c r="AC107" t="inlineStr">
        <is>
          <t>nao sorteada</t>
        </is>
      </c>
      <c r="AE107" t="inlineStr"/>
      <c r="AF107" t="inlineStr"/>
    </row>
    <row r="108">
      <c r="A108" t="inlineStr">
        <is>
          <t>IT-DISC-2026-09-14-0107</t>
        </is>
      </c>
      <c r="B108" t="inlineStr">
        <is>
          <t>Marco Mancini — registo cientifico ORCID (University of Florence)</t>
        </is>
      </c>
      <c r="C108" t="inlineStr">
        <is>
          <t>CIENCIA</t>
        </is>
      </c>
      <c r="D108" t="inlineStr">
        <is>
          <t>PERSON</t>
        </is>
      </c>
      <c r="E108" t="inlineStr">
        <is>
          <t>Marco Mancini · University of Florence</t>
        </is>
      </c>
      <c r="F108" t="inlineStr">
        <is>
          <t>https://orcid.org/0000-0002-1454-4995</t>
        </is>
      </c>
      <c r="G108" t="inlineStr">
        <is>
          <t>https://orcid.org/0000-0002-1454-4995</t>
        </is>
      </c>
      <c r="H108" t="inlineStr">
        <is>
          <t>https://orcid.org/0000-0002-1454-4995</t>
        </is>
      </c>
      <c r="I108" t="n">
        <v>200</v>
      </c>
      <c r="J108" t="inlineStr">
        <is>
          <t>text/html</t>
        </is>
      </c>
      <c r="K108" t="n">
        <v>0</v>
      </c>
      <c r="L108" t="b">
        <v>1</v>
      </c>
      <c r="M108" t="b">
        <v>1</v>
      </c>
      <c r="N108" t="inlineStr">
        <is>
          <t>PROVED_BY_ORCID_EMPLOYMENT</t>
        </is>
      </c>
      <c r="O108" t="inlineStr">
        <is>
          <t>SIM</t>
        </is>
      </c>
      <c r="P108" t="inlineStr">
        <is>
          <t>SIM — ORCID declara afiliacao com country=IT e sem data de fim</t>
        </is>
      </c>
      <c r="Q108" t="inlineStr">
        <is>
          <t>ORCID employments: University of Florence</t>
        </is>
      </c>
      <c r="R108" t="inlineStr">
        <is>
          <t>sonda HTTP read-only (GET limitado, payload nao preservado) + ORCID public API /employments</t>
        </is>
      </c>
      <c r="S108" t="inlineStr">
        <is>
          <t>2026-09-14T11:25:49Z</t>
        </is>
      </c>
      <c r="T108" t="inlineStr">
        <is>
          <t>PASS</t>
        </is>
      </c>
      <c r="U108" t="inlineStr"/>
      <c r="V108" t="inlineStr">
        <is>
          <t>T6;T5</t>
        </is>
      </c>
      <c r="W108" t="inlineStr">
        <is>
          <t>TOSCANA</t>
        </is>
      </c>
      <c r="X108" t="inlineStr"/>
      <c r="Y108" t="inlineStr">
        <is>
          <t>agrometeorologia;modelli</t>
        </is>
      </c>
      <c r="Z108" t="inlineStr">
        <is>
          <t>ORCID 0000-0002-1454-4995</t>
        </is>
      </c>
      <c r="AA108" t="inlineStr">
        <is>
          <t>afiliacao atual: University of Florence</t>
        </is>
      </c>
      <c r="AB108" t="inlineStr">
        <is>
          <t>nao sorteada</t>
        </is>
      </c>
      <c r="AC108" t="inlineStr">
        <is>
          <t>nao sorteada</t>
        </is>
      </c>
      <c r="AE108" t="inlineStr"/>
      <c r="AF108" t="inlineStr"/>
    </row>
    <row r="109">
      <c r="A109" t="inlineStr">
        <is>
          <t>IT-DISC-2026-09-14-0108</t>
        </is>
      </c>
      <c r="B109" t="inlineStr">
        <is>
          <t>Phytopathologia Mediterranea</t>
        </is>
      </c>
      <c r="C109" t="inlineStr">
        <is>
          <t>CIENCIA</t>
        </is>
      </c>
      <c r="D109" t="inlineStr">
        <is>
          <t>ORG</t>
        </is>
      </c>
      <c r="E109" t="inlineStr">
        <is>
          <t>Firenze University Press / Mediterranean Phytopathological Union</t>
        </is>
      </c>
      <c r="F109" t="inlineStr">
        <is>
          <t>https://oajournals.fupress.net/index.php/pm</t>
        </is>
      </c>
      <c r="G109" t="inlineStr">
        <is>
          <t>https://oajournals.fupress.net/index.php/pm</t>
        </is>
      </c>
      <c r="H109" t="inlineStr">
        <is>
          <t>https://oajournals.fupress.net/index.php/pm</t>
        </is>
      </c>
      <c r="I109" t="n">
        <v>200</v>
      </c>
      <c r="J109" t="inlineStr">
        <is>
          <t>text/html</t>
        </is>
      </c>
      <c r="K109" t="n">
        <v>0</v>
      </c>
      <c r="L109" t="b">
        <v>1</v>
      </c>
      <c r="M109" t="b">
        <v>1</v>
      </c>
      <c r="N109" t="inlineStr">
        <is>
          <t>PROVED_DIRECT</t>
        </is>
      </c>
      <c r="O109" t="inlineStr">
        <is>
          <t>SIM</t>
        </is>
      </c>
      <c r="P109" t="inlineStr">
        <is>
          <t>SIM — dono italiano identificado na pagina</t>
        </is>
      </c>
      <c r="Q109" t="inlineStr">
        <is>
          <t>Phytopathologia Mediterranea</t>
        </is>
      </c>
      <c r="R109" t="inlineStr">
        <is>
          <t>sonda HTTP read-only (GET limitado, payload nao preservado)</t>
        </is>
      </c>
      <c r="S109" t="inlineStr">
        <is>
          <t>2026-09-14T11:24:58Z</t>
        </is>
      </c>
      <c r="T109" t="inlineStr">
        <is>
          <t>PASS</t>
        </is>
      </c>
      <c r="U109" t="inlineStr"/>
      <c r="V109" t="inlineStr">
        <is>
          <t>T3;T5</t>
        </is>
      </c>
      <c r="W109" t="inlineStr">
        <is>
          <t>TOSCANA</t>
        </is>
      </c>
      <c r="X109" t="inlineStr"/>
      <c r="Y109" t="inlineStr">
        <is>
          <t>journal;patologia mediterranea</t>
        </is>
      </c>
      <c r="Z109" t="inlineStr">
        <is>
          <t>titulo da pagina: Phytopathologia Mediterranea</t>
        </is>
      </c>
      <c r="AA109" t="inlineStr">
        <is>
          <t>dominio institucional do dono</t>
        </is>
      </c>
      <c r="AB109" t="inlineStr">
        <is>
          <t>nao sorteada</t>
        </is>
      </c>
      <c r="AC109" t="inlineStr">
        <is>
          <t>nao sorteada</t>
        </is>
      </c>
      <c r="AE109" t="inlineStr"/>
      <c r="AF109" t="inlineStr"/>
    </row>
    <row r="110">
      <c r="A110" t="inlineStr">
        <is>
          <t>IT-DISC-2026-09-14-0109</t>
        </is>
      </c>
      <c r="B110" t="inlineStr">
        <is>
          <t>Roberto Ferrise — registo cientifico ORCID (University of Florence)</t>
        </is>
      </c>
      <c r="C110" t="inlineStr">
        <is>
          <t>CIENCIA</t>
        </is>
      </c>
      <c r="D110" t="inlineStr">
        <is>
          <t>PERSON</t>
        </is>
      </c>
      <c r="E110" t="inlineStr">
        <is>
          <t>Roberto Ferrise · University of Florence</t>
        </is>
      </c>
      <c r="F110" t="inlineStr">
        <is>
          <t>https://orcid.org/0000-0001-8236-7823</t>
        </is>
      </c>
      <c r="G110" t="inlineStr">
        <is>
          <t>https://orcid.org/0000-0001-8236-7823</t>
        </is>
      </c>
      <c r="H110" t="inlineStr">
        <is>
          <t>https://orcid.org/0000-0001-8236-7823</t>
        </is>
      </c>
      <c r="I110" t="n">
        <v>200</v>
      </c>
      <c r="J110" t="inlineStr">
        <is>
          <t>text/html</t>
        </is>
      </c>
      <c r="K110" t="n">
        <v>0</v>
      </c>
      <c r="L110" t="b">
        <v>1</v>
      </c>
      <c r="M110" t="b">
        <v>1</v>
      </c>
      <c r="N110" t="inlineStr">
        <is>
          <t>PROVED_BY_ORCID_EMPLOYMENT</t>
        </is>
      </c>
      <c r="O110" t="inlineStr">
        <is>
          <t>SIM</t>
        </is>
      </c>
      <c r="P110" t="inlineStr">
        <is>
          <t>SIM — ORCID declara afiliacao com country=IT e sem data de fim</t>
        </is>
      </c>
      <c r="Q110" t="inlineStr">
        <is>
          <t>ORCID employments: University of Florence</t>
        </is>
      </c>
      <c r="R110" t="inlineStr">
        <is>
          <t>sonda HTTP read-only (GET limitado, payload nao preservado) + ORCID public API /employments</t>
        </is>
      </c>
      <c r="S110" t="inlineStr">
        <is>
          <t>2026-09-14T11:25:47Z</t>
        </is>
      </c>
      <c r="T110" t="inlineStr">
        <is>
          <t>PASS</t>
        </is>
      </c>
      <c r="U110" t="inlineStr"/>
      <c r="V110" t="inlineStr">
        <is>
          <t>T6;T5</t>
        </is>
      </c>
      <c r="W110" t="inlineStr">
        <is>
          <t>TOSCANA</t>
        </is>
      </c>
      <c r="X110" t="inlineStr"/>
      <c r="Y110" t="inlineStr">
        <is>
          <t>agrometeorologia;modelli</t>
        </is>
      </c>
      <c r="Z110" t="inlineStr">
        <is>
          <t>ORCID 0000-0001-8236-7823</t>
        </is>
      </c>
      <c r="AA110" t="inlineStr">
        <is>
          <t>afiliacao atual: University of Florence</t>
        </is>
      </c>
      <c r="AB110" t="inlineStr">
        <is>
          <t>nao sorteada</t>
        </is>
      </c>
      <c r="AC110" t="inlineStr">
        <is>
          <t>nao sorteada</t>
        </is>
      </c>
      <c r="AE110" t="inlineStr"/>
      <c r="AF110" t="inlineStr"/>
    </row>
    <row r="111">
      <c r="A111" t="inlineStr">
        <is>
          <t>IT-DISC-2026-09-14-0110</t>
        </is>
      </c>
      <c r="B111" t="inlineStr">
        <is>
          <t>Scuola Superiore Sant'Anna — Istituto di Scienze delle Produzioni Vegetali</t>
        </is>
      </c>
      <c r="C111" t="inlineStr">
        <is>
          <t>CIENCIA</t>
        </is>
      </c>
      <c r="D111" t="inlineStr">
        <is>
          <t>ORG</t>
        </is>
      </c>
      <c r="E111" t="inlineStr">
        <is>
          <t>Scuola Superiore Sant'Anna Pisa</t>
        </is>
      </c>
      <c r="F111" t="inlineStr">
        <is>
          <t>https://www.santannapisa.it/it/istituto/scienze-delle-produzioni-vegetali</t>
        </is>
      </c>
      <c r="G111" t="inlineStr">
        <is>
          <t>https://www.santannapisa.it/it/istituto/produzioni-vegetali</t>
        </is>
      </c>
      <c r="H111" t="inlineStr">
        <is>
          <t>https://www.santannapisa.it/it/istituto/produzioni-vegetali</t>
        </is>
      </c>
      <c r="I111" t="n">
        <v>200</v>
      </c>
      <c r="J111" t="inlineStr">
        <is>
          <t>text/html</t>
        </is>
      </c>
      <c r="K111" t="n">
        <v>0</v>
      </c>
      <c r="L111" t="b">
        <v>1</v>
      </c>
      <c r="M111" t="b">
        <v>1</v>
      </c>
      <c r="N111" t="inlineStr">
        <is>
          <t>PROVED_DIRECT</t>
        </is>
      </c>
      <c r="O111" t="inlineStr">
        <is>
          <t>SIM</t>
        </is>
      </c>
      <c r="P111" t="inlineStr">
        <is>
          <t>SIM — dominio .it e conteudo em italiano</t>
        </is>
      </c>
      <c r="Q111" t="inlineStr">
        <is>
          <t>Istituto di Produzioni vegetali | Scuola Superiore Sant&amp;#039;Anna</t>
        </is>
      </c>
      <c r="R111" t="inlineStr">
        <is>
          <t>sonda HTTP read-only (GET limitado, payload nao preservado)</t>
        </is>
      </c>
      <c r="S111" t="inlineStr">
        <is>
          <t>2026-09-14T11:17:20Z</t>
        </is>
      </c>
      <c r="T111" t="inlineStr">
        <is>
          <t>PASS</t>
        </is>
      </c>
      <c r="U111" t="inlineStr"/>
      <c r="V111" t="inlineStr">
        <is>
          <t>T5;T6;T1</t>
        </is>
      </c>
      <c r="W111" t="inlineStr">
        <is>
          <t>TOSCANA</t>
        </is>
      </c>
      <c r="X111" t="inlineStr"/>
      <c r="Y111" t="inlineStr">
        <is>
          <t>agricoltura sostenibile;precision farming</t>
        </is>
      </c>
      <c r="Z111" t="inlineStr">
        <is>
          <t>titulo da pagina: Istituto di Produzioni vegetali | Scuola Superiore Sant&amp;#039;Anna</t>
        </is>
      </c>
      <c r="AA111" t="inlineStr">
        <is>
          <t>dominio institucional do dono</t>
        </is>
      </c>
      <c r="AB111" t="inlineStr">
        <is>
          <t>nao sorteada</t>
        </is>
      </c>
      <c r="AC111" t="inlineStr">
        <is>
          <t>nao sorteada</t>
        </is>
      </c>
      <c r="AE111" t="inlineStr"/>
      <c r="AF111" t="inlineStr">
        <is>
          <t>slug do instituto mudou</t>
        </is>
      </c>
    </row>
    <row r="112">
      <c r="A112" t="inlineStr">
        <is>
          <t>IT-DISC-2026-09-14-0111</t>
        </is>
      </c>
      <c r="B112" t="inlineStr">
        <is>
          <t>UNIFI DAGRI — Dipartimento di Scienze e Tecnologie Agrarie Alimentari Ambientali e Forestali</t>
        </is>
      </c>
      <c r="C112" t="inlineStr">
        <is>
          <t>CIENCIA</t>
        </is>
      </c>
      <c r="D112" t="inlineStr">
        <is>
          <t>ORG</t>
        </is>
      </c>
      <c r="E112" t="inlineStr">
        <is>
          <t>Universita di Firenze</t>
        </is>
      </c>
      <c r="F112" t="inlineStr">
        <is>
          <t>https://www.dagri.unifi.it/</t>
        </is>
      </c>
      <c r="G112" t="inlineStr">
        <is>
          <t>https://www.dagri.unifi.it/</t>
        </is>
      </c>
      <c r="H112" t="inlineStr">
        <is>
          <t>https://www.dagri.unifi.it/</t>
        </is>
      </c>
      <c r="I112" t="n">
        <v>200</v>
      </c>
      <c r="J112" t="inlineStr">
        <is>
          <t>text/html</t>
        </is>
      </c>
      <c r="K112" t="n">
        <v>0</v>
      </c>
      <c r="L112" t="b">
        <v>1</v>
      </c>
      <c r="M112" t="b">
        <v>1</v>
      </c>
      <c r="N112" t="inlineStr">
        <is>
          <t>PROVED_DIRECT</t>
        </is>
      </c>
      <c r="O112" t="inlineStr">
        <is>
          <t>SIM</t>
        </is>
      </c>
      <c r="P112" t="inlineStr">
        <is>
          <t>SIM — dominio .it e conteudo em italiano</t>
        </is>
      </c>
      <c r="Q112" t="inlineStr">
        <is>
          <t>Dipartimento di Scienze e Tecnologie Agrarie, Alimentari, Ambientali e Forestali</t>
        </is>
      </c>
      <c r="R112" t="inlineStr">
        <is>
          <t>sonda HTTP read-only (GET limitado, payload nao preservado)</t>
        </is>
      </c>
      <c r="S112" t="inlineStr">
        <is>
          <t>2026-09-14T11:24:45Z</t>
        </is>
      </c>
      <c r="T112" t="inlineStr">
        <is>
          <t>PASS</t>
        </is>
      </c>
      <c r="U112" t="inlineStr"/>
      <c r="V112" t="inlineStr">
        <is>
          <t>T5;T6;T1</t>
        </is>
      </c>
      <c r="W112" t="inlineStr">
        <is>
          <t>TOSCANA</t>
        </is>
      </c>
      <c r="X112" t="inlineStr">
        <is>
          <t>olivo;vite</t>
        </is>
      </c>
      <c r="Y112" t="inlineStr">
        <is>
          <t>agraria;olivo;vite</t>
        </is>
      </c>
      <c r="Z112" t="inlineStr">
        <is>
          <t>titulo da pagina: Dipartimento di Scienze e Tecnologie Agrarie, Alimentari, Ambientali e</t>
        </is>
      </c>
      <c r="AA112" t="inlineStr">
        <is>
          <t>meta description: Dipartimento di Scienze e Tecnologie Agrarie, Alimentari, Ambientali e</t>
        </is>
      </c>
      <c r="AB112" t="inlineStr">
        <is>
          <t>nao sorteada</t>
        </is>
      </c>
      <c r="AC112" t="inlineStr">
        <is>
          <t>nao sorteada</t>
        </is>
      </c>
      <c r="AE112" t="inlineStr"/>
      <c r="AF112" t="inlineStr"/>
    </row>
    <row r="113">
      <c r="A113" t="inlineStr">
        <is>
          <t>IT-DISC-2026-09-14-0112</t>
        </is>
      </c>
      <c r="B113" t="inlineStr">
        <is>
          <t>UNIPI DiSAAA-a — Dipartimento di Scienze Agrarie Alimentari e Agro-ambientali</t>
        </is>
      </c>
      <c r="C113" t="inlineStr">
        <is>
          <t>CIENCIA</t>
        </is>
      </c>
      <c r="D113" t="inlineStr">
        <is>
          <t>ORG</t>
        </is>
      </c>
      <c r="E113" t="inlineStr">
        <is>
          <t>Universita di Pisa</t>
        </is>
      </c>
      <c r="F113" t="inlineStr">
        <is>
          <t>https://www.agr.unipi.it/</t>
        </is>
      </c>
      <c r="G113" t="inlineStr">
        <is>
          <t>https://www.agr.unipi.it/</t>
        </is>
      </c>
      <c r="H113" t="inlineStr">
        <is>
          <t>https://www.agr.unipi.it/</t>
        </is>
      </c>
      <c r="I113" t="n">
        <v>200</v>
      </c>
      <c r="J113" t="inlineStr">
        <is>
          <t>text/html</t>
        </is>
      </c>
      <c r="K113" t="n">
        <v>0</v>
      </c>
      <c r="L113" t="b">
        <v>1</v>
      </c>
      <c r="M113" t="b">
        <v>1</v>
      </c>
      <c r="N113" t="inlineStr">
        <is>
          <t>PROVED_DIRECT</t>
        </is>
      </c>
      <c r="O113" t="inlineStr">
        <is>
          <t>SIM</t>
        </is>
      </c>
      <c r="P113" t="inlineStr">
        <is>
          <t>SIM — dominio .it e conteudo em italiano</t>
        </is>
      </c>
      <c r="Q113" t="inlineStr">
        <is>
          <t>Dipartimento di Scienze Agrarie, Alimentari e Agro-ambientali</t>
        </is>
      </c>
      <c r="R113" t="inlineStr">
        <is>
          <t>sonda HTTP read-only (GET limitado, payload nao preservado) + cadeia TLS completada por AIA</t>
        </is>
      </c>
      <c r="S113" t="inlineStr">
        <is>
          <t>2026-09-14T11:24:46Z</t>
        </is>
      </c>
      <c r="T113" t="inlineStr">
        <is>
          <t>PASS</t>
        </is>
      </c>
      <c r="U113" t="inlineStr"/>
      <c r="V113" t="inlineStr">
        <is>
          <t>T5;T6;T1</t>
        </is>
      </c>
      <c r="W113" t="inlineStr">
        <is>
          <t>TOSCANA</t>
        </is>
      </c>
      <c r="X113" t="inlineStr"/>
      <c r="Y113" t="inlineStr">
        <is>
          <t>agraria;agronomia;difesa</t>
        </is>
      </c>
      <c r="Z113" t="inlineStr">
        <is>
          <t>titulo da pagina: Dipartimento di Scienze Agrarie, Alimentari e Agro-ambientali</t>
        </is>
      </c>
      <c r="AA113" t="inlineStr">
        <is>
          <t>dominio institucional do dono</t>
        </is>
      </c>
      <c r="AB113" t="inlineStr">
        <is>
          <t>nao sorteada</t>
        </is>
      </c>
      <c r="AC113" t="inlineStr">
        <is>
          <t>nao sorteada</t>
        </is>
      </c>
      <c r="AE113" t="inlineStr">
        <is>
          <t>VIA_CURL_TLS_FALLBACK</t>
        </is>
      </c>
      <c r="AF113" t="inlineStr"/>
    </row>
    <row r="114">
      <c r="A114" t="inlineStr">
        <is>
          <t>IT-DISC-2026-09-14-0113</t>
        </is>
      </c>
      <c r="B114" t="inlineStr">
        <is>
          <t>Anna Aldrighetti — registo cientifico ORCID (University of Trento)</t>
        </is>
      </c>
      <c r="C114" t="inlineStr">
        <is>
          <t>CIENCIA</t>
        </is>
      </c>
      <c r="D114" t="inlineStr">
        <is>
          <t>PERSON</t>
        </is>
      </c>
      <c r="E114" t="inlineStr">
        <is>
          <t>Anna Aldrighetti · University of Trento</t>
        </is>
      </c>
      <c r="F114" t="inlineStr">
        <is>
          <t>https://orcid.org/0000-0002-9018-3343</t>
        </is>
      </c>
      <c r="G114" t="inlineStr">
        <is>
          <t>https://orcid.org/0000-0002-9018-3343</t>
        </is>
      </c>
      <c r="H114" t="inlineStr">
        <is>
          <t>https://orcid.org/0000-0002-9018-3343</t>
        </is>
      </c>
      <c r="I114" t="n">
        <v>200</v>
      </c>
      <c r="J114" t="inlineStr">
        <is>
          <t>text/html</t>
        </is>
      </c>
      <c r="K114" t="n">
        <v>0</v>
      </c>
      <c r="L114" t="b">
        <v>1</v>
      </c>
      <c r="M114" t="b">
        <v>1</v>
      </c>
      <c r="N114" t="inlineStr">
        <is>
          <t>PROVED_BY_ORCID_EMPLOYMENT</t>
        </is>
      </c>
      <c r="O114" t="inlineStr">
        <is>
          <t>SIM</t>
        </is>
      </c>
      <c r="P114" t="inlineStr">
        <is>
          <t>SIM — ORCID declara afiliacao com country=IT e sem data de fim</t>
        </is>
      </c>
      <c r="Q114" t="inlineStr">
        <is>
          <t>ORCID employments: University of Trento</t>
        </is>
      </c>
      <c r="R114" t="inlineStr">
        <is>
          <t>sonda HTTP read-only (GET limitado, payload nao preservado) + ORCID public API /employments</t>
        </is>
      </c>
      <c r="S114" t="inlineStr">
        <is>
          <t>2026-09-14T11:25:47Z</t>
        </is>
      </c>
      <c r="T114" t="inlineStr">
        <is>
          <t>PASS</t>
        </is>
      </c>
      <c r="U114" t="inlineStr"/>
      <c r="V114" t="inlineStr">
        <is>
          <t>T6;T5</t>
        </is>
      </c>
      <c r="W114" t="inlineStr">
        <is>
          <t>TRENTINO-ALTO ADIGE</t>
        </is>
      </c>
      <c r="X114" t="inlineStr">
        <is>
          <t>vite</t>
        </is>
      </c>
      <c r="Y114" t="inlineStr">
        <is>
          <t>vite;Plasmopara viticola</t>
        </is>
      </c>
      <c r="Z114" t="inlineStr">
        <is>
          <t>ORCID 0000-0002-9018-3343</t>
        </is>
      </c>
      <c r="AA114" t="inlineStr">
        <is>
          <t>afiliacao atual: University of Trento</t>
        </is>
      </c>
      <c r="AB114" t="inlineStr">
        <is>
          <t>nao sorteada</t>
        </is>
      </c>
      <c r="AC114" t="inlineStr">
        <is>
          <t>nao sorteada</t>
        </is>
      </c>
      <c r="AE114" t="inlineStr"/>
      <c r="AF114" t="inlineStr"/>
    </row>
    <row r="115">
      <c r="A115" t="inlineStr">
        <is>
          <t>IT-DISC-2026-09-14-0114</t>
        </is>
      </c>
      <c r="B115" t="inlineStr">
        <is>
          <t>Centro di Sperimentazione Laimburg</t>
        </is>
      </c>
      <c r="C115" t="inlineStr">
        <is>
          <t>CIENCIA</t>
        </is>
      </c>
      <c r="D115" t="inlineStr">
        <is>
          <t>ORG</t>
        </is>
      </c>
      <c r="E115" t="inlineStr">
        <is>
          <t>Provincia autonoma di Bolzano</t>
        </is>
      </c>
      <c r="F115" t="inlineStr">
        <is>
          <t>https://www.laimburg.it/</t>
        </is>
      </c>
      <c r="G115" t="inlineStr">
        <is>
          <t>https://www.laimburg.it/</t>
        </is>
      </c>
      <c r="H115" t="inlineStr">
        <is>
          <t>https://www.laimburg.it/it</t>
        </is>
      </c>
      <c r="I115" t="n">
        <v>200</v>
      </c>
      <c r="J115" t="inlineStr">
        <is>
          <t>text/html</t>
        </is>
      </c>
      <c r="K115" t="n">
        <v>1</v>
      </c>
      <c r="L115" t="b">
        <v>1</v>
      </c>
      <c r="M115" t="b">
        <v>1</v>
      </c>
      <c r="N115" t="inlineStr">
        <is>
          <t>PROVED_DIRECT</t>
        </is>
      </c>
      <c r="O115" t="inlineStr">
        <is>
          <t>SIM</t>
        </is>
      </c>
      <c r="P115" t="inlineStr">
        <is>
          <t>SIM — dominio .it e conteudo em italiano</t>
        </is>
      </c>
      <c r="Q115" t="inlineStr">
        <is>
          <t>Versuchszentrum Laimburg</t>
        </is>
      </c>
      <c r="R115" t="inlineStr">
        <is>
          <t>sonda HTTP read-only (GET limitado, payload nao preservado)</t>
        </is>
      </c>
      <c r="S115" t="inlineStr">
        <is>
          <t>2026-09-14T11:04:47Z</t>
        </is>
      </c>
      <c r="T115" t="inlineStr">
        <is>
          <t>PASS</t>
        </is>
      </c>
      <c r="U115" t="inlineStr"/>
      <c r="V115" t="inlineStr">
        <is>
          <t>T5;T3;T1</t>
        </is>
      </c>
      <c r="W115" t="inlineStr">
        <is>
          <t>TRENTINO-ALTO ADIGE</t>
        </is>
      </c>
      <c r="X115" t="inlineStr">
        <is>
          <t>melo;vite</t>
        </is>
      </c>
      <c r="Y115" t="inlineStr">
        <is>
          <t>sperimentazione;melo;vite;difesa</t>
        </is>
      </c>
      <c r="Z115" t="inlineStr">
        <is>
          <t>titulo da pagina: Versuchszentrum Laimburg</t>
        </is>
      </c>
      <c r="AA115" t="inlineStr">
        <is>
          <t>dominio institucional do dono</t>
        </is>
      </c>
      <c r="AB115" t="inlineStr">
        <is>
          <t>nao sorteada</t>
        </is>
      </c>
      <c r="AC115" t="inlineStr">
        <is>
          <t>SIM</t>
        </is>
      </c>
      <c r="AE115" t="inlineStr"/>
      <c r="AF115" t="inlineStr"/>
    </row>
    <row r="116">
      <c r="A116" t="inlineStr">
        <is>
          <t>IT-DISC-2026-09-14-0115</t>
        </is>
      </c>
      <c r="B116" t="inlineStr">
        <is>
          <t>Gerardo Puopolo — registo cientifico ORCID (University of Trento)</t>
        </is>
      </c>
      <c r="C116" t="inlineStr">
        <is>
          <t>CIENCIA</t>
        </is>
      </c>
      <c r="D116" t="inlineStr">
        <is>
          <t>PERSON</t>
        </is>
      </c>
      <c r="E116" t="inlineStr">
        <is>
          <t>Gerardo Puopolo · University of Trento</t>
        </is>
      </c>
      <c r="F116" t="inlineStr">
        <is>
          <t>https://orcid.org/0000-0002-4864-4396</t>
        </is>
      </c>
      <c r="G116" t="inlineStr">
        <is>
          <t>https://orcid.org/0000-0002-4864-4396</t>
        </is>
      </c>
      <c r="H116" t="inlineStr">
        <is>
          <t>https://orcid.org/0000-0002-4864-4396</t>
        </is>
      </c>
      <c r="I116" t="n">
        <v>200</v>
      </c>
      <c r="J116" t="inlineStr">
        <is>
          <t>text/html</t>
        </is>
      </c>
      <c r="K116" t="n">
        <v>0</v>
      </c>
      <c r="L116" t="b">
        <v>1</v>
      </c>
      <c r="M116" t="b">
        <v>1</v>
      </c>
      <c r="N116" t="inlineStr">
        <is>
          <t>PROVED_BY_ORCID_EMPLOYMENT</t>
        </is>
      </c>
      <c r="O116" t="inlineStr">
        <is>
          <t>SIM</t>
        </is>
      </c>
      <c r="P116" t="inlineStr">
        <is>
          <t>SIM — ORCID declara afiliacao com country=IT e sem data de fim</t>
        </is>
      </c>
      <c r="Q116" t="inlineStr">
        <is>
          <t>ORCID employments: University of Trento</t>
        </is>
      </c>
      <c r="R116" t="inlineStr">
        <is>
          <t>sonda HTTP read-only (GET limitado, payload nao preservado) + ORCID public API /employments</t>
        </is>
      </c>
      <c r="S116" t="inlineStr">
        <is>
          <t>2026-09-14T11:25:49Z</t>
        </is>
      </c>
      <c r="T116" t="inlineStr">
        <is>
          <t>PASS</t>
        </is>
      </c>
      <c r="U116" t="inlineStr"/>
      <c r="V116" t="inlineStr">
        <is>
          <t>T6;T5</t>
        </is>
      </c>
      <c r="W116" t="inlineStr">
        <is>
          <t>TRENTINO-ALTO ADIGE</t>
        </is>
      </c>
      <c r="X116" t="inlineStr"/>
      <c r="Y116" t="inlineStr">
        <is>
          <t>biocontrollo;difesa biologica</t>
        </is>
      </c>
      <c r="Z116" t="inlineStr">
        <is>
          <t>ORCID 0000-0002-4864-4396</t>
        </is>
      </c>
      <c r="AA116" t="inlineStr">
        <is>
          <t>afiliacao atual: University of Trento</t>
        </is>
      </c>
      <c r="AB116" t="inlineStr">
        <is>
          <t>nao sorteada</t>
        </is>
      </c>
      <c r="AC116" t="inlineStr">
        <is>
          <t>nao sorteada</t>
        </is>
      </c>
      <c r="AE116" t="inlineStr"/>
      <c r="AF116" t="inlineStr"/>
    </row>
    <row r="117">
      <c r="A117" t="inlineStr">
        <is>
          <t>IT-DISC-2026-09-14-0116</t>
        </is>
      </c>
      <c r="B117" t="inlineStr">
        <is>
          <t>Gianfranco ANFORA — registo cientifico ORCID (University of Trento)</t>
        </is>
      </c>
      <c r="C117" t="inlineStr">
        <is>
          <t>CIENCIA</t>
        </is>
      </c>
      <c r="D117" t="inlineStr">
        <is>
          <t>PERSON</t>
        </is>
      </c>
      <c r="E117" t="inlineStr">
        <is>
          <t>Gianfranco ANFORA · University of Trento</t>
        </is>
      </c>
      <c r="F117" t="inlineStr">
        <is>
          <t>https://orcid.org/0000-0003-2545-1409</t>
        </is>
      </c>
      <c r="G117" t="inlineStr">
        <is>
          <t>https://orcid.org/0000-0003-2545-1409</t>
        </is>
      </c>
      <c r="H117" t="inlineStr">
        <is>
          <t>https://orcid.org/0000-0003-2545-1409</t>
        </is>
      </c>
      <c r="I117" t="n">
        <v>200</v>
      </c>
      <c r="J117" t="inlineStr">
        <is>
          <t>text/html</t>
        </is>
      </c>
      <c r="K117" t="n">
        <v>0</v>
      </c>
      <c r="L117" t="b">
        <v>1</v>
      </c>
      <c r="M117" t="b">
        <v>1</v>
      </c>
      <c r="N117" t="inlineStr">
        <is>
          <t>PROVED_BY_ORCID_EMPLOYMENT</t>
        </is>
      </c>
      <c r="O117" t="inlineStr">
        <is>
          <t>SIM</t>
        </is>
      </c>
      <c r="P117" t="inlineStr">
        <is>
          <t>SIM — ORCID declara afiliacao com country=IT e sem data de fim</t>
        </is>
      </c>
      <c r="Q117" t="inlineStr">
        <is>
          <t>ORCID employments: University of Trento</t>
        </is>
      </c>
      <c r="R117" t="inlineStr">
        <is>
          <t>sonda HTTP read-only (GET limitado, payload nao preservado) + ORCID public API /employments</t>
        </is>
      </c>
      <c r="S117" t="inlineStr">
        <is>
          <t>2026-09-14T11:25:49Z</t>
        </is>
      </c>
      <c r="T117" t="inlineStr">
        <is>
          <t>PASS</t>
        </is>
      </c>
      <c r="U117" t="inlineStr"/>
      <c r="V117" t="inlineStr">
        <is>
          <t>T6;T5</t>
        </is>
      </c>
      <c r="W117" t="inlineStr">
        <is>
          <t>TRENTINO-ALTO ADIGE</t>
        </is>
      </c>
      <c r="X117" t="inlineStr"/>
      <c r="Y117" t="inlineStr">
        <is>
          <t>Halyomorpha;cimice asiatica</t>
        </is>
      </c>
      <c r="Z117" t="inlineStr">
        <is>
          <t>ORCID 0000-0003-2545-1409</t>
        </is>
      </c>
      <c r="AA117" t="inlineStr">
        <is>
          <t>afiliacao atual: University of Trento</t>
        </is>
      </c>
      <c r="AB117" t="inlineStr">
        <is>
          <t>CONFIRMA</t>
        </is>
      </c>
      <c r="AC117" t="inlineStr">
        <is>
          <t>nao sorteada</t>
        </is>
      </c>
      <c r="AE117" t="inlineStr"/>
      <c r="AF117" t="inlineStr"/>
    </row>
    <row r="118">
      <c r="A118" t="inlineStr">
        <is>
          <t>IT-DISC-2026-09-14-0117</t>
        </is>
      </c>
      <c r="B118" t="inlineStr">
        <is>
          <t>Libera Universita di Bolzano — Facolta di Scienze agrarie ambientali e alimentari</t>
        </is>
      </c>
      <c r="C118" t="inlineStr">
        <is>
          <t>CIENCIA</t>
        </is>
      </c>
      <c r="D118" t="inlineStr">
        <is>
          <t>ORG</t>
        </is>
      </c>
      <c r="E118" t="inlineStr">
        <is>
          <t>Libera Universita di Bolzano</t>
        </is>
      </c>
      <c r="F118" t="inlineStr">
        <is>
          <t>https://www.unibz.it/it/faculties/agricultural-environmental-food-sciences/</t>
        </is>
      </c>
      <c r="G118" t="inlineStr">
        <is>
          <t>https://www.unibz.it/it/faculties/agricultural-environmental-food-sciences/</t>
        </is>
      </c>
      <c r="H118" t="inlineStr">
        <is>
          <t>https://www.unibz.it/it/faculties/agricultural-environmental-food-sciences</t>
        </is>
      </c>
      <c r="I118" t="n">
        <v>200</v>
      </c>
      <c r="J118" t="inlineStr">
        <is>
          <t>text/html</t>
        </is>
      </c>
      <c r="K118" t="n">
        <v>1</v>
      </c>
      <c r="L118" t="b">
        <v>1</v>
      </c>
      <c r="M118" t="b">
        <v>1</v>
      </c>
      <c r="N118" t="inlineStr">
        <is>
          <t>PROVED_DIRECT</t>
        </is>
      </c>
      <c r="O118" t="inlineStr">
        <is>
          <t>SIM</t>
        </is>
      </c>
      <c r="P118" t="inlineStr">
        <is>
          <t>SIM — dominio .it e conteudo em italiano</t>
        </is>
      </c>
      <c r="Q118" t="inlineStr">
        <is>
          <t>Scienze agrarie, ambientali e alimentari / Libera Università di Bolzano</t>
        </is>
      </c>
      <c r="R118" t="inlineStr">
        <is>
          <t>sonda HTTP read-only (GET limitado, payload nao preservado)</t>
        </is>
      </c>
      <c r="S118" t="inlineStr">
        <is>
          <t>2026-09-14T11:24:53Z</t>
        </is>
      </c>
      <c r="T118" t="inlineStr">
        <is>
          <t>PASS</t>
        </is>
      </c>
      <c r="U118" t="inlineStr"/>
      <c r="V118" t="inlineStr">
        <is>
          <t>T5;T6;T1</t>
        </is>
      </c>
      <c r="W118" t="inlineStr">
        <is>
          <t>TRENTINO-ALTO ADIGE</t>
        </is>
      </c>
      <c r="X118" t="inlineStr">
        <is>
          <t>melo</t>
        </is>
      </c>
      <c r="Y118" t="inlineStr">
        <is>
          <t>frutticoltura;melo;montagna</t>
        </is>
      </c>
      <c r="Z118" t="inlineStr">
        <is>
          <t>titulo da pagina: Scienze agrarie, ambientali e alimentari / Libera Università di Bolzan</t>
        </is>
      </c>
      <c r="AA118" t="inlineStr">
        <is>
          <t>meta description: L&amp;#039;offerta formativa si concentra su due settori principali: da un</t>
        </is>
      </c>
      <c r="AB118" t="inlineStr">
        <is>
          <t>nao sorteada</t>
        </is>
      </c>
      <c r="AC118" t="inlineStr">
        <is>
          <t>nao sorteada</t>
        </is>
      </c>
      <c r="AE118" t="inlineStr"/>
      <c r="AF118" t="inlineStr"/>
    </row>
    <row r="119">
      <c r="A119" t="inlineStr">
        <is>
          <t>IT-DISC-2026-09-14-0118</t>
        </is>
      </c>
      <c r="B119" t="inlineStr">
        <is>
          <t>Paolo Grazieschi — registo cientifico ORCID (Fondazione Bruno Kessler)</t>
        </is>
      </c>
      <c r="C119" t="inlineStr">
        <is>
          <t>CIENCIA</t>
        </is>
      </c>
      <c r="D119" t="inlineStr">
        <is>
          <t>PERSON</t>
        </is>
      </c>
      <c r="E119" t="inlineStr">
        <is>
          <t>Paolo Grazieschi · Fondazione Bruno Kessler</t>
        </is>
      </c>
      <c r="F119" t="inlineStr">
        <is>
          <t>https://orcid.org/0009-0009-6027-471X</t>
        </is>
      </c>
      <c r="G119" t="inlineStr">
        <is>
          <t>https://orcid.org/0009-0009-6027-471X</t>
        </is>
      </c>
      <c r="H119" t="inlineStr">
        <is>
          <t>https://orcid.org/0009-0009-6027-471X</t>
        </is>
      </c>
      <c r="I119" t="n">
        <v>200</v>
      </c>
      <c r="J119" t="inlineStr">
        <is>
          <t>text/html</t>
        </is>
      </c>
      <c r="K119" t="n">
        <v>0</v>
      </c>
      <c r="L119" t="b">
        <v>1</v>
      </c>
      <c r="M119" t="b">
        <v>1</v>
      </c>
      <c r="N119" t="inlineStr">
        <is>
          <t>PROVED_BY_ORCID_EMPLOYMENT</t>
        </is>
      </c>
      <c r="O119" t="inlineStr">
        <is>
          <t>SIM</t>
        </is>
      </c>
      <c r="P119" t="inlineStr">
        <is>
          <t>SIM — ORCID declara afiliacao com country=IT e sem data de fim</t>
        </is>
      </c>
      <c r="Q119" t="inlineStr">
        <is>
          <t>ORCID employments: Fondazione Bruno Kessler</t>
        </is>
      </c>
      <c r="R119" t="inlineStr">
        <is>
          <t>sonda HTTP read-only (GET limitado, payload nao preservado) + ORCID public API /employments</t>
        </is>
      </c>
      <c r="S119" t="inlineStr">
        <is>
          <t>2026-09-14T11:25:47Z</t>
        </is>
      </c>
      <c r="T119" t="inlineStr">
        <is>
          <t>PASS</t>
        </is>
      </c>
      <c r="U119" t="inlineStr"/>
      <c r="V119" t="inlineStr">
        <is>
          <t>T6;T5</t>
        </is>
      </c>
      <c r="W119" t="inlineStr">
        <is>
          <t>TRENTINO-ALTO ADIGE</t>
        </is>
      </c>
      <c r="X119" t="inlineStr"/>
      <c r="Y119" t="inlineStr">
        <is>
          <t>precision farming;telerilevamento</t>
        </is>
      </c>
      <c r="Z119" t="inlineStr">
        <is>
          <t>ORCID 0009-0009-6027-471X</t>
        </is>
      </c>
      <c r="AA119" t="inlineStr">
        <is>
          <t>afiliacao atual: Fondazione Bruno Kessler</t>
        </is>
      </c>
      <c r="AB119" t="inlineStr">
        <is>
          <t>nao sorteada</t>
        </is>
      </c>
      <c r="AC119" t="inlineStr">
        <is>
          <t>nao sorteada</t>
        </is>
      </c>
      <c r="AE119" t="inlineStr"/>
      <c r="AF119" t="inlineStr"/>
    </row>
    <row r="120">
      <c r="A120" t="inlineStr">
        <is>
          <t>IT-DISC-2026-09-14-0119</t>
        </is>
      </c>
      <c r="B120" t="inlineStr">
        <is>
          <t>Emilio Balducci — registo cientifico ORCID (University of Perugia)</t>
        </is>
      </c>
      <c r="C120" t="inlineStr">
        <is>
          <t>CIENCIA</t>
        </is>
      </c>
      <c r="D120" t="inlineStr">
        <is>
          <t>PERSON</t>
        </is>
      </c>
      <c r="E120" t="inlineStr">
        <is>
          <t>Emilio Balducci · University of Perugia</t>
        </is>
      </c>
      <c r="F120" t="inlineStr">
        <is>
          <t>https://orcid.org/0000-0002-8656-7870</t>
        </is>
      </c>
      <c r="G120" t="inlineStr">
        <is>
          <t>https://orcid.org/0000-0002-8656-7870</t>
        </is>
      </c>
      <c r="H120" t="inlineStr">
        <is>
          <t>https://orcid.org/0000-0002-8656-7870</t>
        </is>
      </c>
      <c r="I120" t="n">
        <v>200</v>
      </c>
      <c r="J120" t="inlineStr">
        <is>
          <t>text/html</t>
        </is>
      </c>
      <c r="K120" t="n">
        <v>0</v>
      </c>
      <c r="L120" t="b">
        <v>1</v>
      </c>
      <c r="M120" t="b">
        <v>1</v>
      </c>
      <c r="N120" t="inlineStr">
        <is>
          <t>PROVED_BY_ORCID_EMPLOYMENT</t>
        </is>
      </c>
      <c r="O120" t="inlineStr">
        <is>
          <t>SIM</t>
        </is>
      </c>
      <c r="P120" t="inlineStr">
        <is>
          <t>SIM — ORCID declara afiliacao com country=IT e sem data de fim</t>
        </is>
      </c>
      <c r="Q120" t="inlineStr">
        <is>
          <t>ORCID employments: University of Perugia</t>
        </is>
      </c>
      <c r="R120" t="inlineStr">
        <is>
          <t>sonda HTTP read-only (GET limitado, payload nao preservado) + ORCID public API /employments</t>
        </is>
      </c>
      <c r="S120" t="inlineStr">
        <is>
          <t>2026-09-14T11:25:48Z</t>
        </is>
      </c>
      <c r="T120" t="inlineStr">
        <is>
          <t>PASS</t>
        </is>
      </c>
      <c r="U120" t="inlineStr"/>
      <c r="V120" t="inlineStr">
        <is>
          <t>T6;T5</t>
        </is>
      </c>
      <c r="W120" t="inlineStr">
        <is>
          <t>UMBRIA</t>
        </is>
      </c>
      <c r="X120" t="inlineStr">
        <is>
          <t>grano</t>
        </is>
      </c>
      <c r="Y120" t="inlineStr">
        <is>
          <t>grano duro;Fusarium;micotossine</t>
        </is>
      </c>
      <c r="Z120" t="inlineStr">
        <is>
          <t>ORCID 0000-0002-8656-7870</t>
        </is>
      </c>
      <c r="AA120" t="inlineStr">
        <is>
          <t>afiliacao atual: University of Perugia</t>
        </is>
      </c>
      <c r="AB120" t="inlineStr">
        <is>
          <t>nao sorteada</t>
        </is>
      </c>
      <c r="AC120" t="inlineStr">
        <is>
          <t>nao sorteada</t>
        </is>
      </c>
      <c r="AE120" t="inlineStr"/>
      <c r="AF120" t="inlineStr"/>
    </row>
    <row r="121">
      <c r="A121" t="inlineStr">
        <is>
          <t>IT-DISC-2026-09-14-0120</t>
        </is>
      </c>
      <c r="B121" t="inlineStr">
        <is>
          <t>UNIPG DSA3 — Dipartimento di Scienze Agrarie Alimentari e Ambientali</t>
        </is>
      </c>
      <c r="C121" t="inlineStr">
        <is>
          <t>CIENCIA</t>
        </is>
      </c>
      <c r="D121" t="inlineStr">
        <is>
          <t>ORG</t>
        </is>
      </c>
      <c r="E121" t="inlineStr">
        <is>
          <t>Universita di Perugia</t>
        </is>
      </c>
      <c r="F121" t="inlineStr">
        <is>
          <t>https://www.dsa3.unipg.it/</t>
        </is>
      </c>
      <c r="G121" t="inlineStr">
        <is>
          <t>https://dsa3.unipg.it/</t>
        </is>
      </c>
      <c r="H121" t="inlineStr">
        <is>
          <t>https://dsa3.unipg.it/</t>
        </is>
      </c>
      <c r="I121" t="n">
        <v>200</v>
      </c>
      <c r="J121" t="inlineStr">
        <is>
          <t>text/html</t>
        </is>
      </c>
      <c r="K121" t="n">
        <v>0</v>
      </c>
      <c r="L121" t="b">
        <v>1</v>
      </c>
      <c r="M121" t="b">
        <v>1</v>
      </c>
      <c r="N121" t="inlineStr">
        <is>
          <t>PROVED_DIRECT</t>
        </is>
      </c>
      <c r="O121" t="inlineStr">
        <is>
          <t>SIM</t>
        </is>
      </c>
      <c r="P121" t="inlineStr">
        <is>
          <t>SIM — dominio .it e conteudo em italiano</t>
        </is>
      </c>
      <c r="Q121" t="inlineStr">
        <is>
          <t>Home - Dipartimento di Scienze Agrarie, Alimentari e Ambientali</t>
        </is>
      </c>
      <c r="R121" t="inlineStr">
        <is>
          <t>sonda HTTP read-only (GET limitado, payload nao preservado)</t>
        </is>
      </c>
      <c r="S121" t="inlineStr">
        <is>
          <t>2026-09-14T11:17:20Z</t>
        </is>
      </c>
      <c r="T121" t="inlineStr">
        <is>
          <t>PASS</t>
        </is>
      </c>
      <c r="U121" t="inlineStr"/>
      <c r="V121" t="inlineStr">
        <is>
          <t>T5;T6;T1</t>
        </is>
      </c>
      <c r="W121" t="inlineStr">
        <is>
          <t>UMBRIA</t>
        </is>
      </c>
      <c r="X121" t="inlineStr"/>
      <c r="Y121" t="inlineStr">
        <is>
          <t>agraria;agronomia;difesa</t>
        </is>
      </c>
      <c r="Z121" t="inlineStr">
        <is>
          <t>titulo da pagina: Home - Dipartimento di Scienze Agrarie, Alimentari e Ambientali</t>
        </is>
      </c>
      <c r="AA121" t="inlineStr">
        <is>
          <t>meta description: Il Dipartimento svolge attività didattiche e di ricerca volte a miglio</t>
        </is>
      </c>
      <c r="AB121" t="inlineStr">
        <is>
          <t>nao sorteada</t>
        </is>
      </c>
      <c r="AC121" t="inlineStr">
        <is>
          <t>nao sorteada</t>
        </is>
      </c>
      <c r="AE121" t="inlineStr"/>
      <c r="AF121" t="inlineStr">
        <is>
          <t>o host com www nao resolve</t>
        </is>
      </c>
    </row>
    <row r="122">
      <c r="A122" t="inlineStr">
        <is>
          <t>IT-DISC-2026-09-14-0121</t>
        </is>
      </c>
      <c r="B122" t="inlineStr">
        <is>
          <t>Dumitru Scutelnic — registo cientifico ORCID (University of Verona)</t>
        </is>
      </c>
      <c r="C122" t="inlineStr">
        <is>
          <t>CIENCIA</t>
        </is>
      </c>
      <c r="D122" t="inlineStr">
        <is>
          <t>PERSON</t>
        </is>
      </c>
      <c r="E122" t="inlineStr">
        <is>
          <t>Dumitru Scutelnic · University of Verona</t>
        </is>
      </c>
      <c r="F122" t="inlineStr">
        <is>
          <t>https://orcid.org/0000-0001-6935-7540</t>
        </is>
      </c>
      <c r="G122" t="inlineStr">
        <is>
          <t>https://orcid.org/0000-0001-6935-7540</t>
        </is>
      </c>
      <c r="H122" t="inlineStr">
        <is>
          <t>https://orcid.org/0000-0001-6935-7540</t>
        </is>
      </c>
      <c r="I122" t="n">
        <v>200</v>
      </c>
      <c r="J122" t="inlineStr">
        <is>
          <t>text/html</t>
        </is>
      </c>
      <c r="K122" t="n">
        <v>0</v>
      </c>
      <c r="L122" t="b">
        <v>1</v>
      </c>
      <c r="M122" t="b">
        <v>1</v>
      </c>
      <c r="N122" t="inlineStr">
        <is>
          <t>PROVED_BY_ORCID_EMPLOYMENT</t>
        </is>
      </c>
      <c r="O122" t="inlineStr">
        <is>
          <t>SIM</t>
        </is>
      </c>
      <c r="P122" t="inlineStr">
        <is>
          <t>SIM — ORCID declara afiliacao com country=IT e sem data de fim</t>
        </is>
      </c>
      <c r="Q122" t="inlineStr">
        <is>
          <t>ORCID employments: University of Verona</t>
        </is>
      </c>
      <c r="R122" t="inlineStr">
        <is>
          <t>sonda HTTP read-only (GET limitado, payload nao preservado) + ORCID public API /employments</t>
        </is>
      </c>
      <c r="S122" t="inlineStr">
        <is>
          <t>2026-09-14T11:25:48Z</t>
        </is>
      </c>
      <c r="T122" t="inlineStr">
        <is>
          <t>PASS</t>
        </is>
      </c>
      <c r="U122" t="inlineStr"/>
      <c r="V122" t="inlineStr">
        <is>
          <t>T6;T5</t>
        </is>
      </c>
      <c r="W122" t="inlineStr">
        <is>
          <t>VENETO</t>
        </is>
      </c>
      <c r="X122" t="inlineStr"/>
      <c r="Y122" t="inlineStr">
        <is>
          <t>precision farming;telerilevamento</t>
        </is>
      </c>
      <c r="Z122" t="inlineStr">
        <is>
          <t>ORCID 0000-0001-6935-7540</t>
        </is>
      </c>
      <c r="AA122" t="inlineStr">
        <is>
          <t>afiliacao atual: University of Verona</t>
        </is>
      </c>
      <c r="AB122" t="inlineStr">
        <is>
          <t>CONFIRMA</t>
        </is>
      </c>
      <c r="AC122" t="inlineStr">
        <is>
          <t>nao sorteada</t>
        </is>
      </c>
      <c r="AE122" t="inlineStr"/>
      <c r="AF122" t="inlineStr"/>
    </row>
    <row r="123">
      <c r="A123" t="inlineStr">
        <is>
          <t>IT-DISC-2026-09-14-0122</t>
        </is>
      </c>
      <c r="B123" t="inlineStr">
        <is>
          <t>Giulia Mandalà — registo cientifico ORCID (Verona University )</t>
        </is>
      </c>
      <c r="C123" t="inlineStr">
        <is>
          <t>CIENCIA</t>
        </is>
      </c>
      <c r="D123" t="inlineStr">
        <is>
          <t>PERSON</t>
        </is>
      </c>
      <c r="E123" t="inlineStr">
        <is>
          <t xml:space="preserve">Giulia Mandalà · Verona University </t>
        </is>
      </c>
      <c r="F123" t="inlineStr">
        <is>
          <t>https://orcid.org/0000-0001-7697-8310</t>
        </is>
      </c>
      <c r="G123" t="inlineStr">
        <is>
          <t>https://orcid.org/0000-0001-7697-8310</t>
        </is>
      </c>
      <c r="H123" t="inlineStr">
        <is>
          <t>https://orcid.org/0000-0001-7697-8310</t>
        </is>
      </c>
      <c r="I123" t="n">
        <v>200</v>
      </c>
      <c r="J123" t="inlineStr">
        <is>
          <t>text/html</t>
        </is>
      </c>
      <c r="K123" t="n">
        <v>0</v>
      </c>
      <c r="L123" t="b">
        <v>1</v>
      </c>
      <c r="M123" t="b">
        <v>1</v>
      </c>
      <c r="N123" t="inlineStr">
        <is>
          <t>PROVED_BY_ORCID_EMPLOYMENT</t>
        </is>
      </c>
      <c r="O123" t="inlineStr">
        <is>
          <t>SIM</t>
        </is>
      </c>
      <c r="P123" t="inlineStr">
        <is>
          <t>SIM — ORCID declara afiliacao com country=IT e sem data de fim</t>
        </is>
      </c>
      <c r="Q123" t="inlineStr">
        <is>
          <t xml:space="preserve">ORCID employments: Verona University </t>
        </is>
      </c>
      <c r="R123" t="inlineStr">
        <is>
          <t>sonda HTTP read-only (GET limitado, payload nao preservado) + ORCID public API /employments</t>
        </is>
      </c>
      <c r="S123" t="inlineStr">
        <is>
          <t>2026-09-14T11:25:49Z</t>
        </is>
      </c>
      <c r="T123" t="inlineStr">
        <is>
          <t>PASS</t>
        </is>
      </c>
      <c r="U123" t="inlineStr"/>
      <c r="V123" t="inlineStr">
        <is>
          <t>T6;T5</t>
        </is>
      </c>
      <c r="W123" t="inlineStr">
        <is>
          <t>VENETO</t>
        </is>
      </c>
      <c r="X123" t="inlineStr">
        <is>
          <t>grano</t>
        </is>
      </c>
      <c r="Y123" t="inlineStr">
        <is>
          <t>grano duro;Fusarium;micotossine</t>
        </is>
      </c>
      <c r="Z123" t="inlineStr">
        <is>
          <t>ORCID 0000-0001-7697-8310</t>
        </is>
      </c>
      <c r="AA123" t="inlineStr">
        <is>
          <t xml:space="preserve">afiliacao atual: Verona University </t>
        </is>
      </c>
      <c r="AB123" t="inlineStr">
        <is>
          <t>nao sorteada</t>
        </is>
      </c>
      <c r="AC123" t="inlineStr">
        <is>
          <t>nao sorteada</t>
        </is>
      </c>
      <c r="AE123" t="inlineStr"/>
      <c r="AF123" t="inlineStr"/>
    </row>
    <row r="124">
      <c r="A124" t="inlineStr">
        <is>
          <t>IT-DISC-2026-09-14-0123</t>
        </is>
      </c>
      <c r="B124" t="inlineStr">
        <is>
          <t>IRIS UNIPD — Archivio della ricerca</t>
        </is>
      </c>
      <c r="C124" t="inlineStr">
        <is>
          <t>CIENCIA</t>
        </is>
      </c>
      <c r="D124" t="inlineStr">
        <is>
          <t>ORG</t>
        </is>
      </c>
      <c r="E124" t="inlineStr">
        <is>
          <t>Universita di Padova</t>
        </is>
      </c>
      <c r="F124" t="inlineStr">
        <is>
          <t>https://www.research.unipd.it/</t>
        </is>
      </c>
      <c r="G124" t="inlineStr">
        <is>
          <t>https://www.research.unipd.it/</t>
        </is>
      </c>
      <c r="H124" t="inlineStr">
        <is>
          <t>https://www.research.unipd.it/</t>
        </is>
      </c>
      <c r="I124" t="n">
        <v>200</v>
      </c>
      <c r="J124" t="inlineStr">
        <is>
          <t>text/html</t>
        </is>
      </c>
      <c r="K124" t="n">
        <v>0</v>
      </c>
      <c r="L124" t="b">
        <v>1</v>
      </c>
      <c r="M124" t="b">
        <v>1</v>
      </c>
      <c r="N124" t="inlineStr">
        <is>
          <t>PROVED_DIRECT</t>
        </is>
      </c>
      <c r="O124" t="inlineStr">
        <is>
          <t>SIM</t>
        </is>
      </c>
      <c r="P124" t="inlineStr">
        <is>
          <t>SIM — dominio .it e conteudo em italiano</t>
        </is>
      </c>
      <c r="Q124" t="inlineStr">
        <is>
          <t>Home page</t>
        </is>
      </c>
      <c r="R124" t="inlineStr">
        <is>
          <t>sonda HTTP read-only (GET limitado, payload nao preservado)</t>
        </is>
      </c>
      <c r="S124" t="inlineStr">
        <is>
          <t>2026-09-14T11:24:56Z</t>
        </is>
      </c>
      <c r="T124" t="inlineStr">
        <is>
          <t>PASS</t>
        </is>
      </c>
      <c r="U124" t="inlineStr"/>
      <c r="V124" t="inlineStr">
        <is>
          <t>T5;T6</t>
        </is>
      </c>
      <c r="W124" t="inlineStr">
        <is>
          <t>VENETO</t>
        </is>
      </c>
      <c r="X124" t="inlineStr"/>
      <c r="Y124" t="inlineStr">
        <is>
          <t>repositorio scientifico</t>
        </is>
      </c>
      <c r="Z124" t="inlineStr">
        <is>
          <t>titulo da pagina: Home page</t>
        </is>
      </c>
      <c r="AA124" t="inlineStr">
        <is>
          <t>dominio institucional do dono</t>
        </is>
      </c>
      <c r="AB124" t="inlineStr">
        <is>
          <t>nao sorteada</t>
        </is>
      </c>
      <c r="AC124" t="inlineStr">
        <is>
          <t>SIM</t>
        </is>
      </c>
      <c r="AE124" t="inlineStr"/>
      <c r="AF124" t="inlineStr"/>
    </row>
    <row r="125">
      <c r="A125" t="inlineStr">
        <is>
          <t>IT-DISC-2026-09-14-0124</t>
        </is>
      </c>
      <c r="B125" t="inlineStr">
        <is>
          <t>Leonardo Cera — registo cientifico ORCID (University of Padua)</t>
        </is>
      </c>
      <c r="C125" t="inlineStr">
        <is>
          <t>CIENCIA</t>
        </is>
      </c>
      <c r="D125" t="inlineStr">
        <is>
          <t>PERSON</t>
        </is>
      </c>
      <c r="E125" t="inlineStr">
        <is>
          <t>Leonardo Cera · University of Padua</t>
        </is>
      </c>
      <c r="F125" t="inlineStr">
        <is>
          <t>https://orcid.org/0009-0005-6118-7432</t>
        </is>
      </c>
      <c r="G125" t="inlineStr">
        <is>
          <t>https://orcid.org/0009-0005-6118-7432</t>
        </is>
      </c>
      <c r="H125" t="inlineStr">
        <is>
          <t>https://orcid.org/0009-0005-6118-7432</t>
        </is>
      </c>
      <c r="I125" t="n">
        <v>200</v>
      </c>
      <c r="J125" t="inlineStr">
        <is>
          <t>text/html</t>
        </is>
      </c>
      <c r="K125" t="n">
        <v>0</v>
      </c>
      <c r="L125" t="b">
        <v>1</v>
      </c>
      <c r="M125" t="b">
        <v>1</v>
      </c>
      <c r="N125" t="inlineStr">
        <is>
          <t>PROVED_BY_ORCID_EMPLOYMENT</t>
        </is>
      </c>
      <c r="O125" t="inlineStr">
        <is>
          <t>SIM</t>
        </is>
      </c>
      <c r="P125" t="inlineStr">
        <is>
          <t>SIM — ORCID declara afiliacao com country=IT e sem data de fim</t>
        </is>
      </c>
      <c r="Q125" t="inlineStr">
        <is>
          <t>ORCID employments: University of Padua</t>
        </is>
      </c>
      <c r="R125" t="inlineStr">
        <is>
          <t>sonda HTTP read-only (GET limitado, payload nao preservado) + ORCID public API /employments</t>
        </is>
      </c>
      <c r="S125" t="inlineStr">
        <is>
          <t>2026-09-14T11:25:47Z</t>
        </is>
      </c>
      <c r="T125" t="inlineStr">
        <is>
          <t>PASS</t>
        </is>
      </c>
      <c r="U125" t="inlineStr"/>
      <c r="V125" t="inlineStr">
        <is>
          <t>T6;T5</t>
        </is>
      </c>
      <c r="W125" t="inlineStr">
        <is>
          <t>VENETO</t>
        </is>
      </c>
      <c r="X125" t="inlineStr">
        <is>
          <t>vite</t>
        </is>
      </c>
      <c r="Y125" t="inlineStr">
        <is>
          <t>vite;flavescenza dorata</t>
        </is>
      </c>
      <c r="Z125" t="inlineStr">
        <is>
          <t>ORCID 0009-0005-6118-7432</t>
        </is>
      </c>
      <c r="AA125" t="inlineStr">
        <is>
          <t>afiliacao atual: University of Padua</t>
        </is>
      </c>
      <c r="AB125" t="inlineStr">
        <is>
          <t>nao sorteada</t>
        </is>
      </c>
      <c r="AC125" t="inlineStr">
        <is>
          <t>nao sorteada</t>
        </is>
      </c>
      <c r="AE125" t="inlineStr"/>
      <c r="AF125" t="inlineStr"/>
    </row>
    <row r="126">
      <c r="A126" t="inlineStr">
        <is>
          <t>IT-DISC-2026-09-14-0125</t>
        </is>
      </c>
      <c r="B126" t="inlineStr">
        <is>
          <t>Luca Mazzon — registo cientifico ORCID (Università degli Studi di Padova)</t>
        </is>
      </c>
      <c r="C126" t="inlineStr">
        <is>
          <t>CIENCIA</t>
        </is>
      </c>
      <c r="D126" t="inlineStr">
        <is>
          <t>PERSON</t>
        </is>
      </c>
      <c r="E126" t="inlineStr">
        <is>
          <t>Luca Mazzon · Università degli Studi di Padova</t>
        </is>
      </c>
      <c r="F126" t="inlineStr">
        <is>
          <t>https://orcid.org/0000-0002-8459-893X</t>
        </is>
      </c>
      <c r="G126" t="inlineStr">
        <is>
          <t>https://orcid.org/0000-0002-8459-893X</t>
        </is>
      </c>
      <c r="H126" t="inlineStr">
        <is>
          <t>https://orcid.org/0000-0002-8459-893X</t>
        </is>
      </c>
      <c r="I126" t="n">
        <v>200</v>
      </c>
      <c r="J126" t="inlineStr">
        <is>
          <t>text/html</t>
        </is>
      </c>
      <c r="K126" t="n">
        <v>0</v>
      </c>
      <c r="L126" t="b">
        <v>1</v>
      </c>
      <c r="M126" t="b">
        <v>1</v>
      </c>
      <c r="N126" t="inlineStr">
        <is>
          <t>PROVED_BY_ORCID_EMPLOYMENT</t>
        </is>
      </c>
      <c r="O126" t="inlineStr">
        <is>
          <t>SIM</t>
        </is>
      </c>
      <c r="P126" t="inlineStr">
        <is>
          <t>SIM — ORCID declara afiliacao com country=IT e sem data de fim</t>
        </is>
      </c>
      <c r="Q126" t="inlineStr">
        <is>
          <t>ORCID employments: Università degli Studi di Padova</t>
        </is>
      </c>
      <c r="R126" t="inlineStr">
        <is>
          <t>sonda HTTP read-only (GET limitado, payload nao preservado) + ORCID public API /employments</t>
        </is>
      </c>
      <c r="S126" t="inlineStr">
        <is>
          <t>2026-09-14T11:25:49Z</t>
        </is>
      </c>
      <c r="T126" t="inlineStr">
        <is>
          <t>PASS</t>
        </is>
      </c>
      <c r="U126" t="inlineStr"/>
      <c r="V126" t="inlineStr">
        <is>
          <t>T6;T5</t>
        </is>
      </c>
      <c r="W126" t="inlineStr">
        <is>
          <t>VENETO</t>
        </is>
      </c>
      <c r="X126" t="inlineStr">
        <is>
          <t>olivo</t>
        </is>
      </c>
      <c r="Y126" t="inlineStr">
        <is>
          <t>olivo;mosca delle olive</t>
        </is>
      </c>
      <c r="Z126" t="inlineStr">
        <is>
          <t>ORCID 0000-0002-8459-893X</t>
        </is>
      </c>
      <c r="AA126" t="inlineStr">
        <is>
          <t>afiliacao atual: Università degli Studi di Padova</t>
        </is>
      </c>
      <c r="AB126" t="inlineStr">
        <is>
          <t>nao sorteada</t>
        </is>
      </c>
      <c r="AC126" t="inlineStr">
        <is>
          <t>nao sorteada</t>
        </is>
      </c>
      <c r="AE126" t="inlineStr"/>
      <c r="AF126" t="inlineStr"/>
    </row>
    <row r="127">
      <c r="A127" t="inlineStr">
        <is>
          <t>IT-DISC-2026-09-14-0126</t>
        </is>
      </c>
      <c r="B127" t="inlineStr">
        <is>
          <t>UNIPD DAFNAE — Dipartimento di Agronomia Animali Alimenti Risorse Naturali e Ambiente</t>
        </is>
      </c>
      <c r="C127" t="inlineStr">
        <is>
          <t>CIENCIA</t>
        </is>
      </c>
      <c r="D127" t="inlineStr">
        <is>
          <t>ORG</t>
        </is>
      </c>
      <c r="E127" t="inlineStr">
        <is>
          <t>Universita di Padova</t>
        </is>
      </c>
      <c r="F127" t="inlineStr">
        <is>
          <t>https://www.dafnae.unipd.it/</t>
        </is>
      </c>
      <c r="G127" t="inlineStr">
        <is>
          <t>https://www.dafnae.unipd.it/</t>
        </is>
      </c>
      <c r="H127" t="inlineStr">
        <is>
          <t>https://www.dafnae.unipd.it/</t>
        </is>
      </c>
      <c r="I127" t="n">
        <v>200</v>
      </c>
      <c r="J127" t="inlineStr">
        <is>
          <t>text/html</t>
        </is>
      </c>
      <c r="K127" t="n">
        <v>0</v>
      </c>
      <c r="L127" t="b">
        <v>1</v>
      </c>
      <c r="M127" t="b">
        <v>1</v>
      </c>
      <c r="N127" t="inlineStr">
        <is>
          <t>PROVED_DIRECT</t>
        </is>
      </c>
      <c r="O127" t="inlineStr">
        <is>
          <t>SIM</t>
        </is>
      </c>
      <c r="P127" t="inlineStr">
        <is>
          <t>SIM — dominio .it e conteudo em italiano</t>
        </is>
      </c>
      <c r="Q127" t="inlineStr">
        <is>
          <t>| Università di Padova</t>
        </is>
      </c>
      <c r="R127" t="inlineStr">
        <is>
          <t>sonda HTTP read-only (GET limitado, payload nao preservado)</t>
        </is>
      </c>
      <c r="S127" t="inlineStr">
        <is>
          <t>2026-09-14T11:24:45Z</t>
        </is>
      </c>
      <c r="T127" t="inlineStr">
        <is>
          <t>PASS</t>
        </is>
      </c>
      <c r="U127" t="inlineStr"/>
      <c r="V127" t="inlineStr">
        <is>
          <t>T5;T6;T3</t>
        </is>
      </c>
      <c r="W127" t="inlineStr">
        <is>
          <t>VENETO</t>
        </is>
      </c>
      <c r="X127" t="inlineStr"/>
      <c r="Y127" t="inlineStr">
        <is>
          <t>agronomia;entomologia;patologia</t>
        </is>
      </c>
      <c r="Z127" t="inlineStr">
        <is>
          <t>titulo da pagina: | Università di Padova</t>
        </is>
      </c>
      <c r="AA127" t="inlineStr">
        <is>
          <t>meta description: UniPD</t>
        </is>
      </c>
      <c r="AB127" t="inlineStr">
        <is>
          <t>nao sorteada</t>
        </is>
      </c>
      <c r="AC127" t="inlineStr">
        <is>
          <t>nao sorteada</t>
        </is>
      </c>
      <c r="AE127" t="inlineStr"/>
      <c r="AF127" t="inlineStr"/>
    </row>
    <row r="128">
      <c r="A128" t="inlineStr">
        <is>
          <t>IT-DISC-2026-09-14-0127</t>
        </is>
      </c>
      <c r="B128" t="inlineStr">
        <is>
          <t>UNIVR Dipartimento di Biotecnologie</t>
        </is>
      </c>
      <c r="C128" t="inlineStr">
        <is>
          <t>CIENCIA</t>
        </is>
      </c>
      <c r="D128" t="inlineStr">
        <is>
          <t>ORG</t>
        </is>
      </c>
      <c r="E128" t="inlineStr">
        <is>
          <t>Universita di Verona</t>
        </is>
      </c>
      <c r="F128" t="inlineStr">
        <is>
          <t>https://www.dbt.univr.it/</t>
        </is>
      </c>
      <c r="G128" t="inlineStr">
        <is>
          <t>https://www.dbt.univr.it/</t>
        </is>
      </c>
      <c r="H128" t="inlineStr">
        <is>
          <t>https://www.dbt.univr.it/</t>
        </is>
      </c>
      <c r="I128" t="n">
        <v>200</v>
      </c>
      <c r="J128" t="inlineStr">
        <is>
          <t>text/html</t>
        </is>
      </c>
      <c r="K128" t="n">
        <v>0</v>
      </c>
      <c r="L128" t="b">
        <v>1</v>
      </c>
      <c r="M128" t="b">
        <v>1</v>
      </c>
      <c r="N128" t="inlineStr">
        <is>
          <t>PROVED_DIRECT</t>
        </is>
      </c>
      <c r="O128" t="inlineStr">
        <is>
          <t>SIM</t>
        </is>
      </c>
      <c r="P128" t="inlineStr">
        <is>
          <t>SIM — dominio .it e conteudo em italiano</t>
        </is>
      </c>
      <c r="Q128" t="inlineStr">
        <is>
          <t>Home Page-Dip.Biotecnologie-Universit&amp;agrave; degli Studi di Verona</t>
        </is>
      </c>
      <c r="R128" t="inlineStr">
        <is>
          <t>sonda HTTP read-only (GET limitado, payload nao preservado)</t>
        </is>
      </c>
      <c r="S128" t="inlineStr">
        <is>
          <t>2026-09-14T11:24:53Z</t>
        </is>
      </c>
      <c r="T128" t="inlineStr">
        <is>
          <t>PASS</t>
        </is>
      </c>
      <c r="U128" t="inlineStr"/>
      <c r="V128" t="inlineStr">
        <is>
          <t>T5;T6</t>
        </is>
      </c>
      <c r="W128" t="inlineStr">
        <is>
          <t>VENETO</t>
        </is>
      </c>
      <c r="X128" t="inlineStr">
        <is>
          <t>vite</t>
        </is>
      </c>
      <c r="Y128" t="inlineStr">
        <is>
          <t>biotecnologie;vite</t>
        </is>
      </c>
      <c r="Z128" t="inlineStr">
        <is>
          <t>titulo da pagina: Home Page-Dip.Biotecnologie-Universit&amp;agrave; degli Studi di Verona</t>
        </is>
      </c>
      <c r="AA128" t="inlineStr">
        <is>
          <t>meta description: Dip.Biotecnologie,Universit&amp;agrave; degli Studi di Verona</t>
        </is>
      </c>
      <c r="AB128" t="inlineStr">
        <is>
          <t>nao sorteada</t>
        </is>
      </c>
      <c r="AC128" t="inlineStr">
        <is>
          <t>nao sorteada</t>
        </is>
      </c>
      <c r="AE128" t="inlineStr"/>
      <c r="AF128" t="inlineStr"/>
    </row>
    <row r="129">
      <c r="A129" t="inlineStr">
        <is>
          <t>IT-DISC-2026-09-14-0128</t>
        </is>
      </c>
      <c r="B129" t="inlineStr">
        <is>
          <t>ARTA Abruzzo — Facebook ufficiale</t>
        </is>
      </c>
      <c r="C129" t="inlineStr">
        <is>
          <t>FACEBOOK</t>
        </is>
      </c>
      <c r="D129" t="inlineStr">
        <is>
          <t>ORG</t>
        </is>
      </c>
      <c r="E129" t="inlineStr">
        <is>
          <t>ARTA Abruzzo</t>
        </is>
      </c>
      <c r="F129" t="inlineStr">
        <is>
          <t>https://www.facebook.com/arpaabruzzo</t>
        </is>
      </c>
      <c r="G129" t="inlineStr">
        <is>
          <t>https://www.facebook.com/arpaabruzzo</t>
        </is>
      </c>
      <c r="H129" t="inlineStr">
        <is>
          <t>https://www.facebook.com/login/?next=https%3A%2F%2Fwww.facebook.com%2Farpaabruzzo</t>
        </is>
      </c>
      <c r="I129" t="n">
        <v>200</v>
      </c>
      <c r="J129" t="inlineStr">
        <is>
          <t>text/html</t>
        </is>
      </c>
      <c r="K129" t="n">
        <v>1</v>
      </c>
      <c r="L129" t="b">
        <v>1</v>
      </c>
      <c r="M129" t="b">
        <v>1</v>
      </c>
      <c r="N129" t="inlineStr">
        <is>
          <t>PROVED_BY_OWNER_SITE</t>
        </is>
      </c>
      <c r="O129" t="inlineStr">
        <is>
          <t>SIM</t>
        </is>
      </c>
      <c r="P129" t="inlineStr">
        <is>
          <t>SIM — declarado por dono italiano no proprio site</t>
        </is>
      </c>
      <c r="Q129" t="inlineStr">
        <is>
          <t>https://www.artaabruzzo.it/</t>
        </is>
      </c>
      <c r="R129" t="inlineStr">
        <is>
          <t>sonda HTTP read-only (GET limitado, payload nao preservado) + declaracao do perfil no site oficial do dono (rota publica, secao 10)</t>
        </is>
      </c>
      <c r="S129" t="inlineStr">
        <is>
          <t>2026-09-14T11:25:31Z</t>
        </is>
      </c>
      <c r="T129" t="inlineStr">
        <is>
          <t>PASS</t>
        </is>
      </c>
      <c r="U129" t="inlineStr"/>
      <c r="V129" t="inlineStr">
        <is>
          <t>T2;T12</t>
        </is>
      </c>
      <c r="W129" t="inlineStr">
        <is>
          <t>ABRUZZO</t>
        </is>
      </c>
      <c r="X129" t="inlineStr"/>
      <c r="Y129" t="inlineStr">
        <is>
          <t>ambiente;monitoraggio</t>
        </is>
      </c>
      <c r="Z129" t="inlineStr">
        <is>
          <t>titulo da pagina: Facebook</t>
        </is>
      </c>
      <c r="AA129" t="inlineStr">
        <is>
          <t>site oficial do dono: https://www.artaabruzzo.it/</t>
        </is>
      </c>
      <c r="AB129" t="inlineStr">
        <is>
          <t>nao sorteada</t>
        </is>
      </c>
      <c r="AC129" t="inlineStr">
        <is>
          <t>nao sorteada</t>
        </is>
      </c>
      <c r="AE129" t="inlineStr">
        <is>
          <t>PLATFORM_GENERIC_TITLE</t>
        </is>
      </c>
      <c r="AF129" t="inlineStr"/>
    </row>
    <row r="130">
      <c r="A130" t="inlineStr">
        <is>
          <t>IT-DISC-2026-09-14-0129</t>
        </is>
      </c>
      <c r="B130" t="inlineStr">
        <is>
          <t>Consorzio Tutela Vini d'Abruzzo — Facebook ufficiale</t>
        </is>
      </c>
      <c r="C130" t="inlineStr">
        <is>
          <t>FACEBOOK</t>
        </is>
      </c>
      <c r="D130" t="inlineStr">
        <is>
          <t>ORG</t>
        </is>
      </c>
      <c r="E130" t="inlineStr">
        <is>
          <t>Consorzio Tutela Vini d'Abruzzo</t>
        </is>
      </c>
      <c r="F130" t="inlineStr">
        <is>
          <t>https://www.facebook.com/vinidabruzzo</t>
        </is>
      </c>
      <c r="G130" t="inlineStr">
        <is>
          <t>https://www.facebook.com/vinidabruzzo</t>
        </is>
      </c>
      <c r="H130" t="inlineStr">
        <is>
          <t>https://www.facebook.com/login/?next=https%3A%2F%2Fwww.facebook.com%2Fvinidabruzzo</t>
        </is>
      </c>
      <c r="I130" t="n">
        <v>200</v>
      </c>
      <c r="J130" t="inlineStr">
        <is>
          <t>text/html</t>
        </is>
      </c>
      <c r="K130" t="n">
        <v>1</v>
      </c>
      <c r="L130" t="b">
        <v>1</v>
      </c>
      <c r="M130" t="b">
        <v>1</v>
      </c>
      <c r="N130" t="inlineStr">
        <is>
          <t>PROVED_BY_OWNER_SITE</t>
        </is>
      </c>
      <c r="O130" t="inlineStr">
        <is>
          <t>SIM</t>
        </is>
      </c>
      <c r="P130" t="inlineStr">
        <is>
          <t>SIM — declarado por dono italiano no proprio site</t>
        </is>
      </c>
      <c r="Q130" t="inlineStr">
        <is>
          <t>https://www.vinidabruzzo.it/</t>
        </is>
      </c>
      <c r="R130" t="inlineStr">
        <is>
          <t>sonda HTTP read-only (GET limitado, payload nao preservado) + declaracao do perfil no site oficial do dono (rota publica, secao 10)</t>
        </is>
      </c>
      <c r="S130" t="inlineStr">
        <is>
          <t>2026-09-14T11:25:45Z</t>
        </is>
      </c>
      <c r="T130" t="inlineStr">
        <is>
          <t>PASS</t>
        </is>
      </c>
      <c r="U130" t="inlineStr"/>
      <c r="V130" t="inlineStr">
        <is>
          <t>T10;T1</t>
        </is>
      </c>
      <c r="W130" t="inlineStr">
        <is>
          <t>ABRUZZO</t>
        </is>
      </c>
      <c r="X130" t="inlineStr">
        <is>
          <t>vino</t>
        </is>
      </c>
      <c r="Y130" t="inlineStr">
        <is>
          <t>vino;DOC</t>
        </is>
      </c>
      <c r="Z130" t="inlineStr">
        <is>
          <t>titulo da pagina: Facebook</t>
        </is>
      </c>
      <c r="AA130" t="inlineStr">
        <is>
          <t>site oficial do dono: https://www.vinidabruzzo.it/</t>
        </is>
      </c>
      <c r="AB130" t="inlineStr">
        <is>
          <t>nao sorteada</t>
        </is>
      </c>
      <c r="AC130" t="inlineStr">
        <is>
          <t>nao sorteada</t>
        </is>
      </c>
      <c r="AE130" t="inlineStr">
        <is>
          <t>PLATFORM_GENERIC_TITLE</t>
        </is>
      </c>
      <c r="AF130" t="inlineStr"/>
    </row>
    <row r="131">
      <c r="A131" t="inlineStr">
        <is>
          <t>IT-DISC-2026-09-14-0130</t>
        </is>
      </c>
      <c r="B131" t="inlineStr">
        <is>
          <t>ARSAC Calabria — Azienda Regionale per lo Sviluppo dell'Agricoltura Calabrese — Facebook ufficiale</t>
        </is>
      </c>
      <c r="C131" t="inlineStr">
        <is>
          <t>FACEBOOK</t>
        </is>
      </c>
      <c r="D131" t="inlineStr">
        <is>
          <t>ORG</t>
        </is>
      </c>
      <c r="E131" t="inlineStr">
        <is>
          <t>Regione Calabria</t>
        </is>
      </c>
      <c r="F131" t="inlineStr">
        <is>
          <t>https://www.facebook.com/ArsacRegioneCalabria</t>
        </is>
      </c>
      <c r="G131" t="inlineStr">
        <is>
          <t>https://www.facebook.com/ArsacRegioneCalabria</t>
        </is>
      </c>
      <c r="H131" t="inlineStr">
        <is>
          <t>https://www.facebook.com/login/?next=https%3A%2F%2Fwww.facebook.com%2FArsacRegioneCalabria</t>
        </is>
      </c>
      <c r="I131" t="n">
        <v>200</v>
      </c>
      <c r="J131" t="inlineStr">
        <is>
          <t>text/html</t>
        </is>
      </c>
      <c r="K131" t="n">
        <v>1</v>
      </c>
      <c r="L131" t="b">
        <v>1</v>
      </c>
      <c r="M131" t="b">
        <v>1</v>
      </c>
      <c r="N131" t="inlineStr">
        <is>
          <t>PROVED_BY_OWNER_SITE</t>
        </is>
      </c>
      <c r="O131" t="inlineStr">
        <is>
          <t>SIM</t>
        </is>
      </c>
      <c r="P131" t="inlineStr">
        <is>
          <t>SIM — declarado por dono italiano no proprio site</t>
        </is>
      </c>
      <c r="Q131" t="inlineStr">
        <is>
          <t>https://www.arsac.calabria.it/</t>
        </is>
      </c>
      <c r="R131" t="inlineStr">
        <is>
          <t>sonda HTTP read-only (GET limitado, payload nao preservado) + declaracao do perfil no site oficial do dono (rota publica, secao 10)</t>
        </is>
      </c>
      <c r="S131" t="inlineStr">
        <is>
          <t>2026-09-14T11:25:28Z</t>
        </is>
      </c>
      <c r="T131" t="inlineStr">
        <is>
          <t>PASS</t>
        </is>
      </c>
      <c r="U131" t="inlineStr"/>
      <c r="V131" t="inlineStr">
        <is>
          <t>T1;T7;T3</t>
        </is>
      </c>
      <c r="W131" t="inlineStr">
        <is>
          <t>CALABRIA</t>
        </is>
      </c>
      <c r="X131" t="inlineStr"/>
      <c r="Y131" t="inlineStr">
        <is>
          <t>assistenza tecnica;divulgazione;fitosanitario</t>
        </is>
      </c>
      <c r="Z131" t="inlineStr">
        <is>
          <t>titulo da pagina: Facebook</t>
        </is>
      </c>
      <c r="AA131" t="inlineStr">
        <is>
          <t>site oficial do dono: https://www.arsac.calabria.it/</t>
        </is>
      </c>
      <c r="AB131" t="inlineStr">
        <is>
          <t>nao sorteada</t>
        </is>
      </c>
      <c r="AC131" t="inlineStr">
        <is>
          <t>SIM</t>
        </is>
      </c>
      <c r="AE131" t="inlineStr">
        <is>
          <t>PLATFORM_GENERIC_TITLE</t>
        </is>
      </c>
      <c r="AF131" t="inlineStr"/>
    </row>
    <row r="132">
      <c r="A132" t="inlineStr">
        <is>
          <t>IT-DISC-2026-09-14-0131</t>
        </is>
      </c>
      <c r="B132" t="inlineStr">
        <is>
          <t>CRPV — Centro Ricerche Produzioni Vegetali — Facebook ufficiale</t>
        </is>
      </c>
      <c r="C132" t="inlineStr">
        <is>
          <t>FACEBOOK</t>
        </is>
      </c>
      <c r="D132" t="inlineStr">
        <is>
          <t>ORG</t>
        </is>
      </c>
      <c r="E132" t="inlineStr">
        <is>
          <t>CRPV</t>
        </is>
      </c>
      <c r="F132" t="inlineStr">
        <is>
          <t>https://www.facebook.com/rinovaeducazionecomunicazione</t>
        </is>
      </c>
      <c r="G132" t="inlineStr">
        <is>
          <t>https://www.facebook.com/rinovaeducazionecomunicazione</t>
        </is>
      </c>
      <c r="H132" t="inlineStr">
        <is>
          <t>https://www.facebook.com/login/?next=https%3A%2F%2Fwww.facebook.com%2Frinovaeducazionecomunicazione</t>
        </is>
      </c>
      <c r="I132" t="n">
        <v>200</v>
      </c>
      <c r="J132" t="inlineStr">
        <is>
          <t>text/html</t>
        </is>
      </c>
      <c r="K132" t="n">
        <v>1</v>
      </c>
      <c r="L132" t="b">
        <v>1</v>
      </c>
      <c r="M132" t="b">
        <v>1</v>
      </c>
      <c r="N132" t="inlineStr">
        <is>
          <t>PROVED_BY_OWNER_SITE</t>
        </is>
      </c>
      <c r="O132" t="inlineStr">
        <is>
          <t>SIM</t>
        </is>
      </c>
      <c r="P132" t="inlineStr">
        <is>
          <t>SIM — declarado por dono italiano no proprio site</t>
        </is>
      </c>
      <c r="Q132" t="inlineStr">
        <is>
          <t>https://www.crpv.it/</t>
        </is>
      </c>
      <c r="R132" t="inlineStr">
        <is>
          <t>sonda HTTP read-only (GET limitado, payload nao preservado) + declaracao do perfil no site oficial do dono (rota publica, secao 10)</t>
        </is>
      </c>
      <c r="S132" t="inlineStr">
        <is>
          <t>2026-09-14T11:25:36Z</t>
        </is>
      </c>
      <c r="T132" t="inlineStr">
        <is>
          <t>PASS</t>
        </is>
      </c>
      <c r="U132" t="inlineStr"/>
      <c r="V132" t="inlineStr">
        <is>
          <t>T5;T3;T1</t>
        </is>
      </c>
      <c r="W132" t="inlineStr">
        <is>
          <t>EMILIA-ROMAGNA</t>
        </is>
      </c>
      <c r="X132" t="inlineStr">
        <is>
          <t>ortofrutta</t>
        </is>
      </c>
      <c r="Y132" t="inlineStr">
        <is>
          <t>sperimentazione;ortofrutta;difesa</t>
        </is>
      </c>
      <c r="Z132" t="inlineStr">
        <is>
          <t>titulo da pagina: Facebook</t>
        </is>
      </c>
      <c r="AA132" t="inlineStr">
        <is>
          <t>site oficial do dono: https://www.crpv.it/</t>
        </is>
      </c>
      <c r="AB132" t="inlineStr">
        <is>
          <t>nao sorteada</t>
        </is>
      </c>
      <c r="AC132" t="inlineStr">
        <is>
          <t>SIM</t>
        </is>
      </c>
      <c r="AE132" t="inlineStr">
        <is>
          <t>PLATFORM_GENERIC_TITLE</t>
        </is>
      </c>
      <c r="AF132" t="inlineStr"/>
    </row>
    <row r="133">
      <c r="A133" t="inlineStr">
        <is>
          <t>IT-DISC-2026-09-14-0132</t>
        </is>
      </c>
      <c r="B133" t="inlineStr">
        <is>
          <t>Caviro — Facebook ufficiale</t>
        </is>
      </c>
      <c r="C133" t="inlineStr">
        <is>
          <t>FACEBOOK</t>
        </is>
      </c>
      <c r="D133" t="inlineStr">
        <is>
          <t>ORG</t>
        </is>
      </c>
      <c r="E133" t="inlineStr">
        <is>
          <t>Caviro</t>
        </is>
      </c>
      <c r="F133" t="inlineStr">
        <is>
          <t>https://www.facebook.com/GruppoCaviro</t>
        </is>
      </c>
      <c r="G133" t="inlineStr">
        <is>
          <t>https://www.facebook.com/GruppoCaviro</t>
        </is>
      </c>
      <c r="H133" t="inlineStr">
        <is>
          <t>https://www.facebook.com/login/?next=https%3A%2F%2Fwww.facebook.com%2FGruppoCaviro</t>
        </is>
      </c>
      <c r="I133" t="n">
        <v>200</v>
      </c>
      <c r="J133" t="inlineStr">
        <is>
          <t>text/html</t>
        </is>
      </c>
      <c r="K133" t="n">
        <v>1</v>
      </c>
      <c r="L133" t="b">
        <v>1</v>
      </c>
      <c r="M133" t="b">
        <v>1</v>
      </c>
      <c r="N133" t="inlineStr">
        <is>
          <t>PROVED_BY_OWNER_SITE</t>
        </is>
      </c>
      <c r="O133" t="inlineStr">
        <is>
          <t>SIM</t>
        </is>
      </c>
      <c r="P133" t="inlineStr">
        <is>
          <t>SIM — declarado por dono italiano no proprio site</t>
        </is>
      </c>
      <c r="Q133" t="inlineStr">
        <is>
          <t>https://www.caviro.com/</t>
        </is>
      </c>
      <c r="R133" t="inlineStr">
        <is>
          <t>sonda HTTP read-only (GET limitado, payload nao preservado) + declaracao do perfil no site oficial do dono (rota publica, secao 10)</t>
        </is>
      </c>
      <c r="S133" t="inlineStr">
        <is>
          <t>2026-09-14T11:25:44Z</t>
        </is>
      </c>
      <c r="T133" t="inlineStr">
        <is>
          <t>PASS</t>
        </is>
      </c>
      <c r="U133" t="inlineStr"/>
      <c r="V133" t="inlineStr">
        <is>
          <t>T10;T1</t>
        </is>
      </c>
      <c r="W133" t="inlineStr">
        <is>
          <t>EMILIA-ROMAGNA</t>
        </is>
      </c>
      <c r="X133" t="inlineStr"/>
      <c r="Y133" t="inlineStr">
        <is>
          <t>cooperativa vitivinicola;economia circolare</t>
        </is>
      </c>
      <c r="Z133" t="inlineStr">
        <is>
          <t>titulo da pagina: Facebook</t>
        </is>
      </c>
      <c r="AA133" t="inlineStr">
        <is>
          <t>site oficial do dono: https://www.caviro.com/</t>
        </is>
      </c>
      <c r="AB133" t="inlineStr">
        <is>
          <t>nao sorteada</t>
        </is>
      </c>
      <c r="AC133" t="inlineStr">
        <is>
          <t>nao sorteada</t>
        </is>
      </c>
      <c r="AE133" t="inlineStr">
        <is>
          <t>PLATFORM_GENERIC_TITLE</t>
        </is>
      </c>
      <c r="AF133" t="inlineStr"/>
    </row>
    <row r="134">
      <c r="A134" t="inlineStr">
        <is>
          <t>IT-DISC-2026-09-14-0133</t>
        </is>
      </c>
      <c r="B134" t="inlineStr">
        <is>
          <t>Cifo — Facebook ufficiale</t>
        </is>
      </c>
      <c r="C134" t="inlineStr">
        <is>
          <t>FACEBOOK</t>
        </is>
      </c>
      <c r="D134" t="inlineStr">
        <is>
          <t>ORG</t>
        </is>
      </c>
      <c r="E134" t="inlineStr">
        <is>
          <t>Cifo</t>
        </is>
      </c>
      <c r="F134" t="inlineStr">
        <is>
          <t>https://www.facebook.com/Cifo1965</t>
        </is>
      </c>
      <c r="G134" t="inlineStr">
        <is>
          <t>https://www.facebook.com/Cifo1965</t>
        </is>
      </c>
      <c r="H134" t="inlineStr">
        <is>
          <t>https://www.facebook.com/login/?next=https%3A%2F%2Fwww.facebook.com%2FCifo1965</t>
        </is>
      </c>
      <c r="I134" t="n">
        <v>200</v>
      </c>
      <c r="J134" t="inlineStr">
        <is>
          <t>text/html</t>
        </is>
      </c>
      <c r="K134" t="n">
        <v>1</v>
      </c>
      <c r="L134" t="b">
        <v>1</v>
      </c>
      <c r="M134" t="b">
        <v>1</v>
      </c>
      <c r="N134" t="inlineStr">
        <is>
          <t>PROVED_BY_OWNER_SITE</t>
        </is>
      </c>
      <c r="O134" t="inlineStr">
        <is>
          <t>SIM</t>
        </is>
      </c>
      <c r="P134" t="inlineStr">
        <is>
          <t>SIM — declarado por dono italiano no proprio site</t>
        </is>
      </c>
      <c r="Q134" t="inlineStr">
        <is>
          <t>https://www.cifo.it/</t>
        </is>
      </c>
      <c r="R134" t="inlineStr">
        <is>
          <t>sonda HTTP read-only (GET limitado, payload nao preservado) + declaracao do perfil no site oficial do dono (rota publica, secao 10)</t>
        </is>
      </c>
      <c r="S134" t="inlineStr">
        <is>
          <t>2026-09-14T11:25:41Z</t>
        </is>
      </c>
      <c r="T134" t="inlineStr">
        <is>
          <t>PASS</t>
        </is>
      </c>
      <c r="U134" t="inlineStr"/>
      <c r="V134" t="inlineStr">
        <is>
          <t>T9;T10</t>
        </is>
      </c>
      <c r="W134" t="inlineStr">
        <is>
          <t>EMILIA-ROMAGNA</t>
        </is>
      </c>
      <c r="X134" t="inlineStr"/>
      <c r="Y134" t="inlineStr">
        <is>
          <t>nutrizione vegetale</t>
        </is>
      </c>
      <c r="Z134" t="inlineStr">
        <is>
          <t>titulo da pagina: Facebook</t>
        </is>
      </c>
      <c r="AA134" t="inlineStr">
        <is>
          <t>site oficial do dono: https://www.cifo.it/</t>
        </is>
      </c>
      <c r="AB134" t="inlineStr">
        <is>
          <t>nao sorteada</t>
        </is>
      </c>
      <c r="AC134" t="inlineStr">
        <is>
          <t>nao sorteada</t>
        </is>
      </c>
      <c r="AE134" t="inlineStr">
        <is>
          <t>PLATFORM_GENERIC_TITLE</t>
        </is>
      </c>
      <c r="AF134" t="inlineStr"/>
    </row>
    <row r="135">
      <c r="A135" t="inlineStr">
        <is>
          <t>IT-DISC-2026-09-14-0134</t>
        </is>
      </c>
      <c r="B135" t="inlineStr">
        <is>
          <t>ARPA Lazio — Facebook ufficiale</t>
        </is>
      </c>
      <c r="C135" t="inlineStr">
        <is>
          <t>FACEBOOK</t>
        </is>
      </c>
      <c r="D135" t="inlineStr">
        <is>
          <t>ORG</t>
        </is>
      </c>
      <c r="E135" t="inlineStr">
        <is>
          <t>ARPA Lazio</t>
        </is>
      </c>
      <c r="F135" t="inlineStr">
        <is>
          <t>https://www.facebook.com/arpalazio</t>
        </is>
      </c>
      <c r="G135" t="inlineStr">
        <is>
          <t>https://www.facebook.com/arpalazio</t>
        </is>
      </c>
      <c r="H135" t="inlineStr">
        <is>
          <t>https://www.facebook.com/login/?next=https%3A%2F%2Fwww.facebook.com%2Farpalazio</t>
        </is>
      </c>
      <c r="I135" t="n">
        <v>200</v>
      </c>
      <c r="J135" t="inlineStr">
        <is>
          <t>text/html</t>
        </is>
      </c>
      <c r="K135" t="n">
        <v>1</v>
      </c>
      <c r="L135" t="b">
        <v>1</v>
      </c>
      <c r="M135" t="b">
        <v>1</v>
      </c>
      <c r="N135" t="inlineStr">
        <is>
          <t>PROVED_BY_OWNER_SITE</t>
        </is>
      </c>
      <c r="O135" t="inlineStr">
        <is>
          <t>SIM</t>
        </is>
      </c>
      <c r="P135" t="inlineStr">
        <is>
          <t>SIM — declarado por dono italiano no proprio site</t>
        </is>
      </c>
      <c r="Q135" t="inlineStr">
        <is>
          <t>https://www.arpalazio.it/</t>
        </is>
      </c>
      <c r="R135" t="inlineStr">
        <is>
          <t>sonda HTTP read-only (GET limitado, payload nao preservado) + declaracao do perfil no site oficial do dono (rota publica, secao 10)</t>
        </is>
      </c>
      <c r="S135" t="inlineStr">
        <is>
          <t>2026-09-14T11:25:31Z</t>
        </is>
      </c>
      <c r="T135" t="inlineStr">
        <is>
          <t>PASS</t>
        </is>
      </c>
      <c r="U135" t="inlineStr"/>
      <c r="V135" t="inlineStr">
        <is>
          <t>T2;T12</t>
        </is>
      </c>
      <c r="W135" t="inlineStr">
        <is>
          <t>LAZIO</t>
        </is>
      </c>
      <c r="X135" t="inlineStr"/>
      <c r="Y135" t="inlineStr">
        <is>
          <t>ambiente;aria;acque</t>
        </is>
      </c>
      <c r="Z135" t="inlineStr">
        <is>
          <t>titulo da pagina: Facebook</t>
        </is>
      </c>
      <c r="AA135" t="inlineStr">
        <is>
          <t>site oficial do dono: https://www.arpalazio.it/</t>
        </is>
      </c>
      <c r="AB135" t="inlineStr">
        <is>
          <t>nao sorteada</t>
        </is>
      </c>
      <c r="AC135" t="inlineStr">
        <is>
          <t>nao sorteada</t>
        </is>
      </c>
      <c r="AE135" t="inlineStr">
        <is>
          <t>PLATFORM_GENERIC_TITLE</t>
        </is>
      </c>
      <c r="AF135" t="inlineStr"/>
    </row>
    <row r="136">
      <c r="A136" t="inlineStr">
        <is>
          <t>IT-DISC-2026-09-14-0135</t>
        </is>
      </c>
      <c r="B136" t="inlineStr">
        <is>
          <t>ARSIAL — Agenzia Regionale Sviluppo Innovazione Agricoltura Lazio — Facebook ufficiale</t>
        </is>
      </c>
      <c r="C136" t="inlineStr">
        <is>
          <t>FACEBOOK</t>
        </is>
      </c>
      <c r="D136" t="inlineStr">
        <is>
          <t>ORG</t>
        </is>
      </c>
      <c r="E136" t="inlineStr">
        <is>
          <t>Regione Lazio</t>
        </is>
      </c>
      <c r="F136" t="inlineStr">
        <is>
          <t>https://www.facebook.com/ARSIALregionelazio</t>
        </is>
      </c>
      <c r="G136" t="inlineStr">
        <is>
          <t>https://www.facebook.com/ARSIALregionelazio</t>
        </is>
      </c>
      <c r="H136" t="inlineStr">
        <is>
          <t>https://www.facebook.com/login/?next=https%3A%2F%2Fwww.facebook.com%2FARSIALregionelazio</t>
        </is>
      </c>
      <c r="I136" t="n">
        <v>200</v>
      </c>
      <c r="J136" t="inlineStr">
        <is>
          <t>text/html</t>
        </is>
      </c>
      <c r="K136" t="n">
        <v>1</v>
      </c>
      <c r="L136" t="b">
        <v>1</v>
      </c>
      <c r="M136" t="b">
        <v>1</v>
      </c>
      <c r="N136" t="inlineStr">
        <is>
          <t>PROVED_BY_OWNER_SITE</t>
        </is>
      </c>
      <c r="O136" t="inlineStr">
        <is>
          <t>SIM</t>
        </is>
      </c>
      <c r="P136" t="inlineStr">
        <is>
          <t>SIM — declarado por dono italiano no proprio site</t>
        </is>
      </c>
      <c r="Q136" t="inlineStr">
        <is>
          <t>https://www.arsial.it/</t>
        </is>
      </c>
      <c r="R136" t="inlineStr">
        <is>
          <t>sonda HTTP read-only (GET limitado, payload nao preservado) + declaracao do perfil no site oficial do dono (rota publica, secao 10)</t>
        </is>
      </c>
      <c r="S136" t="inlineStr">
        <is>
          <t>2026-09-14T11:25:28Z</t>
        </is>
      </c>
      <c r="T136" t="inlineStr">
        <is>
          <t>PASS</t>
        </is>
      </c>
      <c r="U136" t="inlineStr"/>
      <c r="V136" t="inlineStr">
        <is>
          <t>T1;T7;T3</t>
        </is>
      </c>
      <c r="W136" t="inlineStr">
        <is>
          <t>LAZIO</t>
        </is>
      </c>
      <c r="X136" t="inlineStr"/>
      <c r="Y136" t="inlineStr">
        <is>
          <t>sviluppo agricolo;biodiversita;assistenza</t>
        </is>
      </c>
      <c r="Z136" t="inlineStr">
        <is>
          <t>titulo da pagina: Facebook</t>
        </is>
      </c>
      <c r="AA136" t="inlineStr">
        <is>
          <t>site oficial do dono: https://www.arsial.it/</t>
        </is>
      </c>
      <c r="AB136" t="inlineStr">
        <is>
          <t>nao sorteada</t>
        </is>
      </c>
      <c r="AC136" t="inlineStr">
        <is>
          <t>nao sorteada</t>
        </is>
      </c>
      <c r="AE136" t="inlineStr">
        <is>
          <t>PLATFORM_GENERIC_TITLE</t>
        </is>
      </c>
      <c r="AF136" t="inlineStr"/>
    </row>
    <row r="137">
      <c r="A137" t="inlineStr">
        <is>
          <t>IT-DISC-2026-09-14-0136</t>
        </is>
      </c>
      <c r="B137" t="inlineStr">
        <is>
          <t>ARPA Liguria — Facebook ufficiale</t>
        </is>
      </c>
      <c r="C137" t="inlineStr">
        <is>
          <t>FACEBOOK</t>
        </is>
      </c>
      <c r="D137" t="inlineStr">
        <is>
          <t>ORG</t>
        </is>
      </c>
      <c r="E137" t="inlineStr">
        <is>
          <t>ARPAL</t>
        </is>
      </c>
      <c r="F137" t="inlineStr">
        <is>
          <t>https://www.facebook.com/ArpaLiguria</t>
        </is>
      </c>
      <c r="G137" t="inlineStr">
        <is>
          <t>https://www.facebook.com/ArpaLiguria</t>
        </is>
      </c>
      <c r="H137" t="inlineStr">
        <is>
          <t>https://www.facebook.com/login/?next=https%3A%2F%2Fwww.facebook.com%2FArpaLiguria</t>
        </is>
      </c>
      <c r="I137" t="n">
        <v>200</v>
      </c>
      <c r="J137" t="inlineStr">
        <is>
          <t>text/html</t>
        </is>
      </c>
      <c r="K137" t="n">
        <v>1</v>
      </c>
      <c r="L137" t="b">
        <v>1</v>
      </c>
      <c r="M137" t="b">
        <v>1</v>
      </c>
      <c r="N137" t="inlineStr">
        <is>
          <t>PROVED_BY_OWNER_SITE</t>
        </is>
      </c>
      <c r="O137" t="inlineStr">
        <is>
          <t>SIM</t>
        </is>
      </c>
      <c r="P137" t="inlineStr">
        <is>
          <t>SIM — declarado por dono italiano no proprio site</t>
        </is>
      </c>
      <c r="Q137" t="inlineStr">
        <is>
          <t>https://www.arpal.liguria.it/</t>
        </is>
      </c>
      <c r="R137" t="inlineStr">
        <is>
          <t>sonda HTTP read-only (GET limitado, payload nao preservado) + declaracao do perfil no site oficial do dono (rota publica, secao 10)</t>
        </is>
      </c>
      <c r="S137" t="inlineStr">
        <is>
          <t>2026-09-14T11:25:31Z</t>
        </is>
      </c>
      <c r="T137" t="inlineStr">
        <is>
          <t>PASS</t>
        </is>
      </c>
      <c r="U137" t="inlineStr"/>
      <c r="V137" t="inlineStr">
        <is>
          <t>T2;T12</t>
        </is>
      </c>
      <c r="W137" t="inlineStr">
        <is>
          <t>LIGURIA</t>
        </is>
      </c>
      <c r="X137" t="inlineStr"/>
      <c r="Y137" t="inlineStr">
        <is>
          <t>meteo;ambiente;allerta</t>
        </is>
      </c>
      <c r="Z137" t="inlineStr">
        <is>
          <t>titulo da pagina: Facebook</t>
        </is>
      </c>
      <c r="AA137" t="inlineStr">
        <is>
          <t>site oficial do dono: https://www.arpal.liguria.it/</t>
        </is>
      </c>
      <c r="AB137" t="inlineStr">
        <is>
          <t>nao sorteada</t>
        </is>
      </c>
      <c r="AC137" t="inlineStr">
        <is>
          <t>nao sorteada</t>
        </is>
      </c>
      <c r="AE137" t="inlineStr">
        <is>
          <t>PLATFORM_GENERIC_TITLE</t>
        </is>
      </c>
      <c r="AF137" t="inlineStr"/>
    </row>
    <row r="138">
      <c r="A138" t="inlineStr">
        <is>
          <t>IT-DISC-2026-09-14-0137</t>
        </is>
      </c>
      <c r="B138" t="inlineStr">
        <is>
          <t>Agriligurianet — Regione Liguria agricoltura — Facebook ufficiale</t>
        </is>
      </c>
      <c r="C138" t="inlineStr">
        <is>
          <t>FACEBOOK</t>
        </is>
      </c>
      <c r="D138" t="inlineStr">
        <is>
          <t>ORG</t>
        </is>
      </c>
      <c r="E138" t="inlineStr">
        <is>
          <t>Regione Liguria</t>
        </is>
      </c>
      <c r="F138" t="inlineStr">
        <is>
          <t>https://www.facebook.com/agriligurianet</t>
        </is>
      </c>
      <c r="G138" t="inlineStr">
        <is>
          <t>https://www.facebook.com/agriligurianet</t>
        </is>
      </c>
      <c r="H138" t="inlineStr">
        <is>
          <t>https://www.facebook.com/login/?next=https%3A%2F%2Fwww.facebook.com%2Fagriligurianet</t>
        </is>
      </c>
      <c r="I138" t="n">
        <v>200</v>
      </c>
      <c r="J138" t="inlineStr">
        <is>
          <t>text/html</t>
        </is>
      </c>
      <c r="K138" t="n">
        <v>1</v>
      </c>
      <c r="L138" t="b">
        <v>1</v>
      </c>
      <c r="M138" t="b">
        <v>1</v>
      </c>
      <c r="N138" t="inlineStr">
        <is>
          <t>PROVED_BY_OWNER_SITE</t>
        </is>
      </c>
      <c r="O138" t="inlineStr">
        <is>
          <t>SIM</t>
        </is>
      </c>
      <c r="P138" t="inlineStr">
        <is>
          <t>SIM — declarado por dono italiano no proprio site</t>
        </is>
      </c>
      <c r="Q138" t="inlineStr">
        <is>
          <t>https://www.agriligurianet.it/</t>
        </is>
      </c>
      <c r="R138" t="inlineStr">
        <is>
          <t>sonda HTTP read-only (GET limitado, payload nao preservado) + declaracao do perfil no site oficial do dono (rota publica, secao 10)</t>
        </is>
      </c>
      <c r="S138" t="inlineStr">
        <is>
          <t>2026-09-14T11:25:28Z</t>
        </is>
      </c>
      <c r="T138" t="inlineStr">
        <is>
          <t>PASS</t>
        </is>
      </c>
      <c r="U138" t="inlineStr"/>
      <c r="V138" t="inlineStr">
        <is>
          <t>T1;T3;T7</t>
        </is>
      </c>
      <c r="W138" t="inlineStr">
        <is>
          <t>LIGURIA</t>
        </is>
      </c>
      <c r="X138" t="inlineStr"/>
      <c r="Y138" t="inlineStr">
        <is>
          <t>agricoltura ligure;floricoltura;fitosanitario</t>
        </is>
      </c>
      <c r="Z138" t="inlineStr">
        <is>
          <t>titulo da pagina: Facebook</t>
        </is>
      </c>
      <c r="AA138" t="inlineStr">
        <is>
          <t>site oficial do dono: https://www.agriligurianet.it/</t>
        </is>
      </c>
      <c r="AB138" t="inlineStr">
        <is>
          <t>nao sorteada</t>
        </is>
      </c>
      <c r="AC138" t="inlineStr">
        <is>
          <t>nao sorteada</t>
        </is>
      </c>
      <c r="AE138" t="inlineStr">
        <is>
          <t>PLATFORM_GENERIC_TITLE</t>
        </is>
      </c>
      <c r="AF138" t="inlineStr"/>
    </row>
    <row r="139">
      <c r="A139" t="inlineStr">
        <is>
          <t>IT-DISC-2026-09-14-0138</t>
        </is>
      </c>
      <c r="B139" t="inlineStr">
        <is>
          <t>Confagricoltura Lombardia — Facebook ufficiale</t>
        </is>
      </c>
      <c r="C139" t="inlineStr">
        <is>
          <t>FACEBOOK</t>
        </is>
      </c>
      <c r="D139" t="inlineStr">
        <is>
          <t>ORG</t>
        </is>
      </c>
      <c r="E139" t="inlineStr">
        <is>
          <t>Confagricoltura</t>
        </is>
      </c>
      <c r="F139" t="inlineStr">
        <is>
          <t>https://www.facebook.com/lombardiaconfagricoltura</t>
        </is>
      </c>
      <c r="G139" t="inlineStr">
        <is>
          <t>https://www.facebook.com/lombardiaconfagricoltura</t>
        </is>
      </c>
      <c r="H139" t="inlineStr">
        <is>
          <t>https://www.facebook.com/login/?next=https%3A%2F%2Fwww.facebook.com%2Flombardiaconfagricoltura</t>
        </is>
      </c>
      <c r="I139" t="n">
        <v>200</v>
      </c>
      <c r="J139" t="inlineStr">
        <is>
          <t>text/html</t>
        </is>
      </c>
      <c r="K139" t="n">
        <v>1</v>
      </c>
      <c r="L139" t="b">
        <v>1</v>
      </c>
      <c r="M139" t="b">
        <v>1</v>
      </c>
      <c r="N139" t="inlineStr">
        <is>
          <t>PROVED_BY_OWNER_SITE</t>
        </is>
      </c>
      <c r="O139" t="inlineStr">
        <is>
          <t>SIM</t>
        </is>
      </c>
      <c r="P139" t="inlineStr">
        <is>
          <t>SIM — declarado por dono italiano no proprio site</t>
        </is>
      </c>
      <c r="Q139" t="inlineStr">
        <is>
          <t>https://www.confagricolturalombardia.it/</t>
        </is>
      </c>
      <c r="R139" t="inlineStr">
        <is>
          <t>sonda HTTP read-only (GET limitado, payload nao preservado) + declaracao do perfil no site oficial do dono (rota publica, secao 10)</t>
        </is>
      </c>
      <c r="S139" t="inlineStr">
        <is>
          <t>2026-09-14T11:25:46Z</t>
        </is>
      </c>
      <c r="T139" t="inlineStr">
        <is>
          <t>PASS</t>
        </is>
      </c>
      <c r="U139" t="inlineStr"/>
      <c r="V139" t="inlineStr">
        <is>
          <t>T12;T7</t>
        </is>
      </c>
      <c r="W139" t="inlineStr">
        <is>
          <t>LOMBARDIA</t>
        </is>
      </c>
      <c r="X139" t="inlineStr"/>
      <c r="Y139" t="inlineStr">
        <is>
          <t>organizzazione agricola regionale</t>
        </is>
      </c>
      <c r="Z139" t="inlineStr">
        <is>
          <t>titulo da pagina: Facebook</t>
        </is>
      </c>
      <c r="AA139" t="inlineStr">
        <is>
          <t>site oficial do dono: https://www.confagricolturalombardia.it/</t>
        </is>
      </c>
      <c r="AB139" t="inlineStr">
        <is>
          <t>nao sorteada</t>
        </is>
      </c>
      <c r="AC139" t="inlineStr">
        <is>
          <t>nao sorteada</t>
        </is>
      </c>
      <c r="AE139" t="inlineStr">
        <is>
          <t>PLATFORM_GENERIC_TITLE</t>
        </is>
      </c>
      <c r="AF139" t="inlineStr"/>
    </row>
    <row r="140">
      <c r="A140" t="inlineStr">
        <is>
          <t>IT-DISC-2026-09-14-0139</t>
        </is>
      </c>
      <c r="B140" t="inlineStr">
        <is>
          <t>Agroinnova — Centro di Competenza per l'Innovazione in campo agro-ambientale — Facebook ufficiale</t>
        </is>
      </c>
      <c r="C140" t="inlineStr">
        <is>
          <t>FACEBOOK</t>
        </is>
      </c>
      <c r="D140" t="inlineStr">
        <is>
          <t>ORG</t>
        </is>
      </c>
      <c r="E140" t="inlineStr">
        <is>
          <t>Universita di Torino</t>
        </is>
      </c>
      <c r="F140" t="inlineStr">
        <is>
          <t>https://www.facebook.com/unito.it</t>
        </is>
      </c>
      <c r="G140" t="inlineStr">
        <is>
          <t>https://www.facebook.com/unito.it</t>
        </is>
      </c>
      <c r="H140" t="inlineStr">
        <is>
          <t>https://www.facebook.com/login/?next=https%3A%2F%2Fwww.facebook.com%2Funito.it</t>
        </is>
      </c>
      <c r="I140" t="n">
        <v>200</v>
      </c>
      <c r="J140" t="inlineStr">
        <is>
          <t>text/html</t>
        </is>
      </c>
      <c r="K140" t="n">
        <v>1</v>
      </c>
      <c r="L140" t="b">
        <v>1</v>
      </c>
      <c r="M140" t="b">
        <v>1</v>
      </c>
      <c r="N140" t="inlineStr">
        <is>
          <t>PROVED_BY_OWNER_SITE</t>
        </is>
      </c>
      <c r="O140" t="inlineStr">
        <is>
          <t>SIM</t>
        </is>
      </c>
      <c r="P140" t="inlineStr">
        <is>
          <t>SIM — declarado por dono italiano no proprio site</t>
        </is>
      </c>
      <c r="Q140" t="inlineStr">
        <is>
          <t>https://www.agroinnova.unito.it/</t>
        </is>
      </c>
      <c r="R140" t="inlineStr">
        <is>
          <t>sonda HTTP read-only (GET limitado, payload nao preservado) + declaracao do perfil no site oficial do dono (rota publica, secao 10)</t>
        </is>
      </c>
      <c r="S140" t="inlineStr">
        <is>
          <t>2026-09-14T11:25:36Z</t>
        </is>
      </c>
      <c r="T140" t="inlineStr">
        <is>
          <t>PASS</t>
        </is>
      </c>
      <c r="U140" t="inlineStr"/>
      <c r="V140" t="inlineStr">
        <is>
          <t>T3;T5;T6</t>
        </is>
      </c>
      <c r="W140" t="inlineStr">
        <is>
          <t>PIEMONTE</t>
        </is>
      </c>
      <c r="X140" t="inlineStr"/>
      <c r="Y140" t="inlineStr">
        <is>
          <t>patologia vegetale;difesa;sostenibilita</t>
        </is>
      </c>
      <c r="Z140" t="inlineStr">
        <is>
          <t>titulo da pagina: Facebook</t>
        </is>
      </c>
      <c r="AA140" t="inlineStr">
        <is>
          <t>site oficial do dono: https://www.agroinnova.unito.it/</t>
        </is>
      </c>
      <c r="AB140" t="inlineStr">
        <is>
          <t>nao sorteada</t>
        </is>
      </c>
      <c r="AC140" t="inlineStr">
        <is>
          <t>nao sorteada</t>
        </is>
      </c>
      <c r="AE140" t="inlineStr">
        <is>
          <t>PLATFORM_GENERIC_TITLE</t>
        </is>
      </c>
      <c r="AF140" t="inlineStr"/>
    </row>
    <row r="141">
      <c r="A141" t="inlineStr">
        <is>
          <t>IT-DISC-2026-09-14-0140</t>
        </is>
      </c>
      <c r="B141" t="inlineStr">
        <is>
          <t>Agrilevante — Facebook ufficiale</t>
        </is>
      </c>
      <c r="C141" t="inlineStr">
        <is>
          <t>FACEBOOK</t>
        </is>
      </c>
      <c r="D141" t="inlineStr">
        <is>
          <t>ORG</t>
        </is>
      </c>
      <c r="E141" t="inlineStr">
        <is>
          <t>FederUnacoma</t>
        </is>
      </c>
      <c r="F141" t="inlineStr">
        <is>
          <t>https://www.facebook.com/Agrilevante</t>
        </is>
      </c>
      <c r="G141" t="inlineStr">
        <is>
          <t>https://www.facebook.com/Agrilevante</t>
        </is>
      </c>
      <c r="H141" t="inlineStr">
        <is>
          <t>https://www.facebook.com/login/?next=https%3A%2F%2Fwww.facebook.com%2FAgrilevante</t>
        </is>
      </c>
      <c r="I141" t="n">
        <v>200</v>
      </c>
      <c r="J141" t="inlineStr">
        <is>
          <t>text/html</t>
        </is>
      </c>
      <c r="K141" t="n">
        <v>1</v>
      </c>
      <c r="L141" t="b">
        <v>1</v>
      </c>
      <c r="M141" t="b">
        <v>1</v>
      </c>
      <c r="N141" t="inlineStr">
        <is>
          <t>PROVED_BY_OWNER_SITE</t>
        </is>
      </c>
      <c r="O141" t="inlineStr">
        <is>
          <t>SIM</t>
        </is>
      </c>
      <c r="P141" t="inlineStr">
        <is>
          <t>SIM — declarado por dono italiano no proprio site</t>
        </is>
      </c>
      <c r="Q141" t="inlineStr">
        <is>
          <t>https://www.agrilevante.eu/</t>
        </is>
      </c>
      <c r="R141" t="inlineStr">
        <is>
          <t>sonda HTTP read-only (GET limitado, payload nao preservado) + declaracao do perfil no site oficial do dono (rota publica, secao 10)</t>
        </is>
      </c>
      <c r="S141" t="inlineStr">
        <is>
          <t>2026-09-14T11:25:39Z</t>
        </is>
      </c>
      <c r="T141" t="inlineStr">
        <is>
          <t>PASS</t>
        </is>
      </c>
      <c r="U141" t="inlineStr"/>
      <c r="V141" t="inlineStr">
        <is>
          <t>T11;T10</t>
        </is>
      </c>
      <c r="W141" t="inlineStr">
        <is>
          <t>PUGLIA</t>
        </is>
      </c>
      <c r="X141" t="inlineStr"/>
      <c r="Y141" t="inlineStr">
        <is>
          <t>fiera meccanizzazione mediterraneo</t>
        </is>
      </c>
      <c r="Z141" t="inlineStr">
        <is>
          <t>titulo da pagina: Facebook</t>
        </is>
      </c>
      <c r="AA141" t="inlineStr">
        <is>
          <t>site oficial do dono: https://www.agrilevante.eu/</t>
        </is>
      </c>
      <c r="AB141" t="inlineStr">
        <is>
          <t>nao sorteada</t>
        </is>
      </c>
      <c r="AC141" t="inlineStr">
        <is>
          <t>nao sorteada</t>
        </is>
      </c>
      <c r="AE141" t="inlineStr">
        <is>
          <t>PLATFORM_GENERIC_TITLE</t>
        </is>
      </c>
      <c r="AF141" t="inlineStr"/>
    </row>
    <row r="142">
      <c r="A142" t="inlineStr">
        <is>
          <t>IT-DISC-2026-09-14-0141</t>
        </is>
      </c>
      <c r="B142" t="inlineStr">
        <is>
          <t>Consorzio Tutela Pecorino Romano — Facebook ufficiale</t>
        </is>
      </c>
      <c r="C142" t="inlineStr">
        <is>
          <t>FACEBOOK</t>
        </is>
      </c>
      <c r="D142" t="inlineStr">
        <is>
          <t>ORG</t>
        </is>
      </c>
      <c r="E142" t="inlineStr">
        <is>
          <t>Consorzio Pecorino Romano</t>
        </is>
      </c>
      <c r="F142" t="inlineStr">
        <is>
          <t>https://www.facebook.com/ConsorzioPecorinoRomanoDOP</t>
        </is>
      </c>
      <c r="G142" t="inlineStr">
        <is>
          <t>https://www.facebook.com/ConsorzioPecorinoRomanoDOP</t>
        </is>
      </c>
      <c r="H142" t="inlineStr">
        <is>
          <t>https://www.facebook.com/login/?next=https%3A%2F%2Fwww.facebook.com%2FConsorzioPecorinoRomanoDOP</t>
        </is>
      </c>
      <c r="I142" t="n">
        <v>200</v>
      </c>
      <c r="J142" t="inlineStr">
        <is>
          <t>text/html</t>
        </is>
      </c>
      <c r="K142" t="n">
        <v>1</v>
      </c>
      <c r="L142" t="b">
        <v>1</v>
      </c>
      <c r="M142" t="b">
        <v>1</v>
      </c>
      <c r="N142" t="inlineStr">
        <is>
          <t>PROVED_BY_OWNER_SITE</t>
        </is>
      </c>
      <c r="O142" t="inlineStr">
        <is>
          <t>SIM</t>
        </is>
      </c>
      <c r="P142" t="inlineStr">
        <is>
          <t>SIM — declarado por dono italiano no proprio site</t>
        </is>
      </c>
      <c r="Q142" t="inlineStr">
        <is>
          <t>https://www.pecorinoromano.com/</t>
        </is>
      </c>
      <c r="R142" t="inlineStr">
        <is>
          <t>sonda HTTP read-only (GET limitado, payload nao preservado) + declaracao do perfil no site oficial do dono (rota publica, secao 10)</t>
        </is>
      </c>
      <c r="S142" t="inlineStr">
        <is>
          <t>2026-09-14T11:25:44Z</t>
        </is>
      </c>
      <c r="T142" t="inlineStr">
        <is>
          <t>PASS</t>
        </is>
      </c>
      <c r="U142" t="inlineStr"/>
      <c r="V142" t="inlineStr">
        <is>
          <t>T10</t>
        </is>
      </c>
      <c r="W142" t="inlineStr">
        <is>
          <t>SARDEGNA</t>
        </is>
      </c>
      <c r="X142" t="inlineStr">
        <is>
          <t>vino</t>
        </is>
      </c>
      <c r="Y142" t="inlineStr">
        <is>
          <t>DOP;ovino</t>
        </is>
      </c>
      <c r="Z142" t="inlineStr">
        <is>
          <t>titulo da pagina: Facebook</t>
        </is>
      </c>
      <c r="AA142" t="inlineStr">
        <is>
          <t>site oficial do dono: https://www.pecorinoromano.com/</t>
        </is>
      </c>
      <c r="AB142" t="inlineStr">
        <is>
          <t>nao sorteada</t>
        </is>
      </c>
      <c r="AC142" t="inlineStr">
        <is>
          <t>nao sorteada</t>
        </is>
      </c>
      <c r="AE142" t="inlineStr">
        <is>
          <t>PLATFORM_GENERIC_TITLE</t>
        </is>
      </c>
      <c r="AF142" t="inlineStr"/>
    </row>
    <row r="143">
      <c r="A143" t="inlineStr">
        <is>
          <t>IT-DISC-2026-09-14-0142</t>
        </is>
      </c>
      <c r="B143" t="inlineStr">
        <is>
          <t>CIA Toscana — Facebook ufficiale</t>
        </is>
      </c>
      <c r="C143" t="inlineStr">
        <is>
          <t>FACEBOOK</t>
        </is>
      </c>
      <c r="D143" t="inlineStr">
        <is>
          <t>ORG</t>
        </is>
      </c>
      <c r="E143" t="inlineStr">
        <is>
          <t>CIA Agricoltori Italiani</t>
        </is>
      </c>
      <c r="F143" t="inlineStr">
        <is>
          <t>https://www.facebook.com/ciatoscana</t>
        </is>
      </c>
      <c r="G143" t="inlineStr">
        <is>
          <t>https://www.facebook.com/ciatoscana</t>
        </is>
      </c>
      <c r="H143" t="inlineStr">
        <is>
          <t>https://www.facebook.com/login/?next=https%3A%2F%2Fwww.facebook.com%2Fciatoscana</t>
        </is>
      </c>
      <c r="I143" t="n">
        <v>200</v>
      </c>
      <c r="J143" t="inlineStr">
        <is>
          <t>text/html</t>
        </is>
      </c>
      <c r="K143" t="n">
        <v>1</v>
      </c>
      <c r="L143" t="b">
        <v>1</v>
      </c>
      <c r="M143" t="b">
        <v>1</v>
      </c>
      <c r="N143" t="inlineStr">
        <is>
          <t>PROVED_BY_OWNER_SITE</t>
        </is>
      </c>
      <c r="O143" t="inlineStr">
        <is>
          <t>SIM</t>
        </is>
      </c>
      <c r="P143" t="inlineStr">
        <is>
          <t>SIM — declarado por dono italiano no proprio site</t>
        </is>
      </c>
      <c r="Q143" t="inlineStr">
        <is>
          <t>https://www.ciatoscana.eu/</t>
        </is>
      </c>
      <c r="R143" t="inlineStr">
        <is>
          <t>sonda HTTP read-only (GET limitado, payload nao preservado) + declaracao do perfil no site oficial do dono (rota publica, secao 10)</t>
        </is>
      </c>
      <c r="S143" t="inlineStr">
        <is>
          <t>2026-09-14T11:25:47Z</t>
        </is>
      </c>
      <c r="T143" t="inlineStr">
        <is>
          <t>PASS</t>
        </is>
      </c>
      <c r="U143" t="inlineStr"/>
      <c r="V143" t="inlineStr">
        <is>
          <t>T12;T7</t>
        </is>
      </c>
      <c r="W143" t="inlineStr">
        <is>
          <t>TOSCANA</t>
        </is>
      </c>
      <c r="X143" t="inlineStr"/>
      <c r="Y143" t="inlineStr">
        <is>
          <t>organizzazione agricola regionale</t>
        </is>
      </c>
      <c r="Z143" t="inlineStr">
        <is>
          <t>titulo da pagina: Facebook</t>
        </is>
      </c>
      <c r="AA143" t="inlineStr">
        <is>
          <t>site oficial do dono: https://www.ciatoscana.eu/</t>
        </is>
      </c>
      <c r="AB143" t="inlineStr">
        <is>
          <t>nao sorteada</t>
        </is>
      </c>
      <c r="AC143" t="inlineStr">
        <is>
          <t>nao sorteada</t>
        </is>
      </c>
      <c r="AE143" t="inlineStr">
        <is>
          <t>PLATFORM_GENERIC_TITLE</t>
        </is>
      </c>
      <c r="AF143" t="inlineStr"/>
    </row>
    <row r="144">
      <c r="A144" t="inlineStr">
        <is>
          <t>IT-DISC-2026-09-14-0143</t>
        </is>
      </c>
      <c r="B144" t="inlineStr">
        <is>
          <t>Consorzio Vino Chianti Classico — Facebook ufficiale</t>
        </is>
      </c>
      <c r="C144" t="inlineStr">
        <is>
          <t>FACEBOOK</t>
        </is>
      </c>
      <c r="D144" t="inlineStr">
        <is>
          <t>ORG</t>
        </is>
      </c>
      <c r="E144" t="inlineStr">
        <is>
          <t>Consorzio Vino Chianti Classico</t>
        </is>
      </c>
      <c r="F144" t="inlineStr">
        <is>
          <t>https://www.facebook.com/chianticlassico.it</t>
        </is>
      </c>
      <c r="G144" t="inlineStr">
        <is>
          <t>https://www.facebook.com/chianticlassico.it</t>
        </is>
      </c>
      <c r="H144" t="inlineStr">
        <is>
          <t>https://www.facebook.com/login/?next=https%3A%2F%2Fwww.facebook.com%2Fchianticlassico.it</t>
        </is>
      </c>
      <c r="I144" t="n">
        <v>200</v>
      </c>
      <c r="J144" t="inlineStr">
        <is>
          <t>text/html</t>
        </is>
      </c>
      <c r="K144" t="n">
        <v>1</v>
      </c>
      <c r="L144" t="b">
        <v>1</v>
      </c>
      <c r="M144" t="b">
        <v>1</v>
      </c>
      <c r="N144" t="inlineStr">
        <is>
          <t>PROVED_BY_OWNER_SITE</t>
        </is>
      </c>
      <c r="O144" t="inlineStr">
        <is>
          <t>SIM</t>
        </is>
      </c>
      <c r="P144" t="inlineStr">
        <is>
          <t>SIM — declarado por dono italiano no proprio site</t>
        </is>
      </c>
      <c r="Q144" t="inlineStr">
        <is>
          <t>https://www.chianticlassico.com/</t>
        </is>
      </c>
      <c r="R144" t="inlineStr">
        <is>
          <t>sonda HTTP read-only (GET limitado, payload nao preservado) + declaracao do perfil no site oficial do dono (rota publica, secao 10)</t>
        </is>
      </c>
      <c r="S144" t="inlineStr">
        <is>
          <t>2026-09-14T11:25:43Z</t>
        </is>
      </c>
      <c r="T144" t="inlineStr">
        <is>
          <t>PASS</t>
        </is>
      </c>
      <c r="U144" t="inlineStr"/>
      <c r="V144" t="inlineStr">
        <is>
          <t>T10;T1</t>
        </is>
      </c>
      <c r="W144" t="inlineStr">
        <is>
          <t>TOSCANA</t>
        </is>
      </c>
      <c r="X144" t="inlineStr">
        <is>
          <t>vino</t>
        </is>
      </c>
      <c r="Y144" t="inlineStr">
        <is>
          <t>vino;DOCG;viticoltura</t>
        </is>
      </c>
      <c r="Z144" t="inlineStr">
        <is>
          <t>titulo da pagina: Facebook</t>
        </is>
      </c>
      <c r="AA144" t="inlineStr">
        <is>
          <t>site oficial do dono: https://www.chianticlassico.com/</t>
        </is>
      </c>
      <c r="AB144" t="inlineStr">
        <is>
          <t>nao sorteada</t>
        </is>
      </c>
      <c r="AC144" t="inlineStr">
        <is>
          <t>nao sorteada</t>
        </is>
      </c>
      <c r="AE144" t="inlineStr">
        <is>
          <t>PLATFORM_GENERIC_TITLE</t>
        </is>
      </c>
      <c r="AF144" t="inlineStr"/>
    </row>
    <row r="145">
      <c r="A145" t="inlineStr">
        <is>
          <t>IT-DISC-2026-09-14-0144</t>
        </is>
      </c>
      <c r="B145" t="inlineStr">
        <is>
          <t>APPA Trento — Agenzia provinciale protezione ambiente — Facebook ufficiale</t>
        </is>
      </c>
      <c r="C145" t="inlineStr">
        <is>
          <t>FACEBOOK</t>
        </is>
      </c>
      <c r="D145" t="inlineStr">
        <is>
          <t>ORG</t>
        </is>
      </c>
      <c r="E145" t="inlineStr">
        <is>
          <t>Provincia autonoma di Trento</t>
        </is>
      </c>
      <c r="F145" t="inlineStr">
        <is>
          <t>https://www.facebook.com/provincia.autonoma.trento</t>
        </is>
      </c>
      <c r="G145" t="inlineStr">
        <is>
          <t>https://www.facebook.com/provincia.autonoma.trento</t>
        </is>
      </c>
      <c r="H145" t="inlineStr">
        <is>
          <t>https://www.facebook.com/login/?next=https%3A%2F%2Fwww.facebook.com%2Fprovincia.autonoma.trento</t>
        </is>
      </c>
      <c r="I145" t="n">
        <v>200</v>
      </c>
      <c r="J145" t="inlineStr">
        <is>
          <t>text/html</t>
        </is>
      </c>
      <c r="K145" t="n">
        <v>1</v>
      </c>
      <c r="L145" t="b">
        <v>1</v>
      </c>
      <c r="M145" t="b">
        <v>1</v>
      </c>
      <c r="N145" t="inlineStr">
        <is>
          <t>PROVED_BY_OWNER_SITE</t>
        </is>
      </c>
      <c r="O145" t="inlineStr">
        <is>
          <t>SIM</t>
        </is>
      </c>
      <c r="P145" t="inlineStr">
        <is>
          <t>SIM — declarado por dono italiano no proprio site</t>
        </is>
      </c>
      <c r="Q145" t="inlineStr">
        <is>
          <t>https://appa.provincia.tn.it/</t>
        </is>
      </c>
      <c r="R145" t="inlineStr">
        <is>
          <t>sonda HTTP read-only (GET limitado, payload nao preservado) + declaracao do perfil no site oficial do dono (rota publica, secao 10)</t>
        </is>
      </c>
      <c r="S145" t="inlineStr">
        <is>
          <t>2026-09-14T11:25:32Z</t>
        </is>
      </c>
      <c r="T145" t="inlineStr">
        <is>
          <t>PASS</t>
        </is>
      </c>
      <c r="U145" t="inlineStr"/>
      <c r="V145" t="inlineStr">
        <is>
          <t>T2;T12</t>
        </is>
      </c>
      <c r="W145" t="inlineStr">
        <is>
          <t>TRENTINO-ALTO ADIGE</t>
        </is>
      </c>
      <c r="X145" t="inlineStr"/>
      <c r="Y145" t="inlineStr">
        <is>
          <t>ambiente;acque</t>
        </is>
      </c>
      <c r="Z145" t="inlineStr">
        <is>
          <t>titulo da pagina: Facebook</t>
        </is>
      </c>
      <c r="AA145" t="inlineStr">
        <is>
          <t>site oficial do dono: https://appa.provincia.tn.it/</t>
        </is>
      </c>
      <c r="AB145" t="inlineStr">
        <is>
          <t>nao sorteada</t>
        </is>
      </c>
      <c r="AC145" t="inlineStr">
        <is>
          <t>nao sorteada</t>
        </is>
      </c>
      <c r="AE145" t="inlineStr">
        <is>
          <t>PLATFORM_GENERIC_TITLE</t>
        </is>
      </c>
      <c r="AF145" t="inlineStr"/>
    </row>
    <row r="146">
      <c r="A146" t="inlineStr">
        <is>
          <t>IT-DISC-2026-09-14-0145</t>
        </is>
      </c>
      <c r="B146" t="inlineStr">
        <is>
          <t>Agriumbria — Facebook ufficiale</t>
        </is>
      </c>
      <c r="C146" t="inlineStr">
        <is>
          <t>FACEBOOK</t>
        </is>
      </c>
      <c r="D146" t="inlineStr">
        <is>
          <t>ORG</t>
        </is>
      </c>
      <c r="E146" t="inlineStr">
        <is>
          <t>Umbriafiere</t>
        </is>
      </c>
      <c r="F146" t="inlineStr">
        <is>
          <t>https://www.facebook.com/agriumbria</t>
        </is>
      </c>
      <c r="G146" t="inlineStr">
        <is>
          <t>https://www.facebook.com/agriumbria</t>
        </is>
      </c>
      <c r="H146" t="inlineStr">
        <is>
          <t>https://www.facebook.com/login/?next=https%3A%2F%2Fwww.facebook.com%2Fagriumbria</t>
        </is>
      </c>
      <c r="I146" t="n">
        <v>200</v>
      </c>
      <c r="J146" t="inlineStr">
        <is>
          <t>text/html</t>
        </is>
      </c>
      <c r="K146" t="n">
        <v>1</v>
      </c>
      <c r="L146" t="b">
        <v>1</v>
      </c>
      <c r="M146" t="b">
        <v>1</v>
      </c>
      <c r="N146" t="inlineStr">
        <is>
          <t>PROVED_BY_OWNER_SITE</t>
        </is>
      </c>
      <c r="O146" t="inlineStr">
        <is>
          <t>SIM</t>
        </is>
      </c>
      <c r="P146" t="inlineStr">
        <is>
          <t>SIM — declarado por dono italiano no proprio site</t>
        </is>
      </c>
      <c r="Q146" t="inlineStr">
        <is>
          <t>https://www.agriumbria.eu/</t>
        </is>
      </c>
      <c r="R146" t="inlineStr">
        <is>
          <t>sonda HTTP read-only (GET limitado, payload nao preservado) + declaracao do perfil no site oficial do dono (rota publica, secao 10)</t>
        </is>
      </c>
      <c r="S146" t="inlineStr">
        <is>
          <t>2026-09-14T11:25:40Z</t>
        </is>
      </c>
      <c r="T146" t="inlineStr">
        <is>
          <t>PASS</t>
        </is>
      </c>
      <c r="U146" t="inlineStr"/>
      <c r="V146" t="inlineStr">
        <is>
          <t>T11;T1</t>
        </is>
      </c>
      <c r="W146" t="inlineStr">
        <is>
          <t>UMBRIA</t>
        </is>
      </c>
      <c r="X146" t="inlineStr"/>
      <c r="Y146" t="inlineStr">
        <is>
          <t>fiera agricoltura;zootecnia</t>
        </is>
      </c>
      <c r="Z146" t="inlineStr">
        <is>
          <t>titulo da pagina: Facebook</t>
        </is>
      </c>
      <c r="AA146" t="inlineStr">
        <is>
          <t>site oficial do dono: https://www.agriumbria.eu/</t>
        </is>
      </c>
      <c r="AB146" t="inlineStr">
        <is>
          <t>nao sorteada</t>
        </is>
      </c>
      <c r="AC146" t="inlineStr">
        <is>
          <t>SIM</t>
        </is>
      </c>
      <c r="AE146" t="inlineStr">
        <is>
          <t>PLATFORM_GENERIC_TITLE</t>
        </is>
      </c>
      <c r="AF146" t="inlineStr"/>
    </row>
    <row r="147">
      <c r="A147" t="inlineStr">
        <is>
          <t>IT-DISC-2026-09-14-0146</t>
        </is>
      </c>
      <c r="B147" t="inlineStr">
        <is>
          <t>Consorzio Tutela Prosecco DOC — Facebook ufficiale</t>
        </is>
      </c>
      <c r="C147" t="inlineStr">
        <is>
          <t>FACEBOOK</t>
        </is>
      </c>
      <c r="D147" t="inlineStr">
        <is>
          <t>ORG</t>
        </is>
      </c>
      <c r="E147" t="inlineStr">
        <is>
          <t>Consorzio Tutela Prosecco DOC</t>
        </is>
      </c>
      <c r="F147" t="inlineStr">
        <is>
          <t>https://www.facebook.com/ConeglianoValdobbiadeneProseccoDOCG</t>
        </is>
      </c>
      <c r="G147" t="inlineStr">
        <is>
          <t>https://www.facebook.com/ConeglianoValdobbiadeneProseccoDOCG</t>
        </is>
      </c>
      <c r="H147" t="inlineStr">
        <is>
          <t>https://www.facebook.com/login/?next=https%3A%2F%2Fwww.facebook.com%2FConeglianoValdobbiadeneProseccoDOCG</t>
        </is>
      </c>
      <c r="I147" t="n">
        <v>200</v>
      </c>
      <c r="J147" t="inlineStr">
        <is>
          <t>text/html</t>
        </is>
      </c>
      <c r="K147" t="n">
        <v>1</v>
      </c>
      <c r="L147" t="b">
        <v>1</v>
      </c>
      <c r="M147" t="b">
        <v>1</v>
      </c>
      <c r="N147" t="inlineStr">
        <is>
          <t>PROVED_BY_OWNER_SITE</t>
        </is>
      </c>
      <c r="O147" t="inlineStr">
        <is>
          <t>SIM</t>
        </is>
      </c>
      <c r="P147" t="inlineStr">
        <is>
          <t>SIM — declarado por dono italiano no proprio site</t>
        </is>
      </c>
      <c r="Q147" t="inlineStr">
        <is>
          <t>https://www.prosecco.it/</t>
        </is>
      </c>
      <c r="R147" t="inlineStr">
        <is>
          <t>sonda HTTP read-only (GET limitado, payload nao preservado) + declaracao do perfil no site oficial do dono (rota publica, secao 10)</t>
        </is>
      </c>
      <c r="S147" t="inlineStr">
        <is>
          <t>2026-09-14T11:25:43Z</t>
        </is>
      </c>
      <c r="T147" t="inlineStr">
        <is>
          <t>PASS</t>
        </is>
      </c>
      <c r="U147" t="inlineStr"/>
      <c r="V147" t="inlineStr">
        <is>
          <t>T10;T1</t>
        </is>
      </c>
      <c r="W147" t="inlineStr">
        <is>
          <t>VENETO</t>
        </is>
      </c>
      <c r="X147" t="inlineStr">
        <is>
          <t>vino</t>
        </is>
      </c>
      <c r="Y147" t="inlineStr">
        <is>
          <t>vino;DOC;viticoltura</t>
        </is>
      </c>
      <c r="Z147" t="inlineStr">
        <is>
          <t>titulo da pagina: Facebook</t>
        </is>
      </c>
      <c r="AA147" t="inlineStr">
        <is>
          <t>site oficial do dono: https://www.prosecco.it/</t>
        </is>
      </c>
      <c r="AB147" t="inlineStr">
        <is>
          <t>nao sorteada</t>
        </is>
      </c>
      <c r="AC147" t="inlineStr">
        <is>
          <t>SIM</t>
        </is>
      </c>
      <c r="AE147" t="inlineStr">
        <is>
          <t>PLATFORM_GENERIC_TITLE</t>
        </is>
      </c>
      <c r="AF147" t="inlineStr"/>
    </row>
    <row r="148">
      <c r="A148" t="inlineStr">
        <is>
          <t>IT-DISC-2026-09-14-0147</t>
        </is>
      </c>
      <c r="B148" t="inlineStr">
        <is>
          <t>Consorzio Tutela Vini Valpolicella — Facebook ufficiale</t>
        </is>
      </c>
      <c r="C148" t="inlineStr">
        <is>
          <t>FACEBOOK</t>
        </is>
      </c>
      <c r="D148" t="inlineStr">
        <is>
          <t>ORG</t>
        </is>
      </c>
      <c r="E148" t="inlineStr">
        <is>
          <t>Consorzio Tutela Vini Valpolicella</t>
        </is>
      </c>
      <c r="F148" t="inlineStr">
        <is>
          <t>https://www.facebook.com/valpolicella.wines</t>
        </is>
      </c>
      <c r="G148" t="inlineStr">
        <is>
          <t>https://www.facebook.com/valpolicella.wines</t>
        </is>
      </c>
      <c r="H148" t="inlineStr">
        <is>
          <t>https://www.facebook.com/login/?next=https%3A%2F%2Fwww.facebook.com%2Fvalpolicella.wines</t>
        </is>
      </c>
      <c r="I148" t="n">
        <v>200</v>
      </c>
      <c r="J148" t="inlineStr">
        <is>
          <t>text/html</t>
        </is>
      </c>
      <c r="K148" t="n">
        <v>1</v>
      </c>
      <c r="L148" t="b">
        <v>1</v>
      </c>
      <c r="M148" t="b">
        <v>1</v>
      </c>
      <c r="N148" t="inlineStr">
        <is>
          <t>PROVED_BY_OWNER_SITE</t>
        </is>
      </c>
      <c r="O148" t="inlineStr">
        <is>
          <t>SIM</t>
        </is>
      </c>
      <c r="P148" t="inlineStr">
        <is>
          <t>SIM — declarado por dono italiano no proprio site</t>
        </is>
      </c>
      <c r="Q148" t="inlineStr">
        <is>
          <t>https://www.consorziovalpolicella.it/</t>
        </is>
      </c>
      <c r="R148" t="inlineStr">
        <is>
          <t>sonda HTTP read-only (GET limitado, payload nao preservado) + declaracao do perfil no site oficial do dono (rota publica, secao 10)</t>
        </is>
      </c>
      <c r="S148" t="inlineStr">
        <is>
          <t>2026-09-14T11:25:42Z</t>
        </is>
      </c>
      <c r="T148" t="inlineStr">
        <is>
          <t>PASS</t>
        </is>
      </c>
      <c r="U148" t="inlineStr"/>
      <c r="V148" t="inlineStr">
        <is>
          <t>T10;T1</t>
        </is>
      </c>
      <c r="W148" t="inlineStr">
        <is>
          <t>VENETO</t>
        </is>
      </c>
      <c r="X148" t="inlineStr">
        <is>
          <t>vino</t>
        </is>
      </c>
      <c r="Y148" t="inlineStr">
        <is>
          <t>vino;DOC;viticoltura</t>
        </is>
      </c>
      <c r="Z148" t="inlineStr">
        <is>
          <t>titulo da pagina: Facebook</t>
        </is>
      </c>
      <c r="AA148" t="inlineStr">
        <is>
          <t>site oficial do dono: https://www.consorziovalpolicella.it/</t>
        </is>
      </c>
      <c r="AB148" t="inlineStr">
        <is>
          <t>nao sorteada</t>
        </is>
      </c>
      <c r="AC148" t="inlineStr">
        <is>
          <t>nao sorteada</t>
        </is>
      </c>
      <c r="AE148" t="inlineStr">
        <is>
          <t>PLATFORM_GENERIC_TITLE</t>
        </is>
      </c>
      <c r="AF148" t="inlineStr"/>
    </row>
    <row r="149">
      <c r="A149" t="inlineStr">
        <is>
          <t>IT-DISC-2026-09-14-0148</t>
        </is>
      </c>
      <c r="B149" t="inlineStr">
        <is>
          <t>AgroNotizie — Image Line</t>
        </is>
      </c>
      <c r="C149" t="inlineStr">
        <is>
          <t>IMPRENSA</t>
        </is>
      </c>
      <c r="D149" t="inlineStr">
        <is>
          <t>ORG</t>
        </is>
      </c>
      <c r="E149" t="inlineStr">
        <is>
          <t>Image Line</t>
        </is>
      </c>
      <c r="F149" t="inlineStr">
        <is>
          <t>https://agronotizie.imagelinenetwork.com/</t>
        </is>
      </c>
      <c r="G149" t="inlineStr">
        <is>
          <t>https://agronotizie.imagelinenetwork.com/</t>
        </is>
      </c>
      <c r="H149" t="inlineStr">
        <is>
          <t>https://agronotizie.imagelinenetwork.com/</t>
        </is>
      </c>
      <c r="I149" t="n">
        <v>200</v>
      </c>
      <c r="J149" t="inlineStr">
        <is>
          <t>text/html</t>
        </is>
      </c>
      <c r="K149" t="n">
        <v>0</v>
      </c>
      <c r="L149" t="b">
        <v>1</v>
      </c>
      <c r="M149" t="b">
        <v>1</v>
      </c>
      <c r="N149" t="inlineStr">
        <is>
          <t>PROVED_DIRECT</t>
        </is>
      </c>
      <c r="O149" t="inlineStr">
        <is>
          <t>SIM</t>
        </is>
      </c>
      <c r="P149" t="inlineStr">
        <is>
          <t>SIM — dono italiano identificado na pagina</t>
        </is>
      </c>
      <c r="Q149" t="inlineStr">
        <is>
          <t>AgroNotizie - Notizie agricoltura - tecnica, economia e innovazione</t>
        </is>
      </c>
      <c r="R149" t="inlineStr">
        <is>
          <t>sonda HTTP read-only (GET limitado, payload nao preservado)</t>
        </is>
      </c>
      <c r="S149" t="inlineStr">
        <is>
          <t>2026-09-14T11:24:58Z</t>
        </is>
      </c>
      <c r="T149" t="inlineStr">
        <is>
          <t>PASS</t>
        </is>
      </c>
      <c r="U149" t="inlineStr"/>
      <c r="V149" t="inlineStr">
        <is>
          <t>T1;T3;T4;T10</t>
        </is>
      </c>
      <c r="W149" t="inlineStr">
        <is>
          <t>EMILIA-ROMAGNA</t>
        </is>
      </c>
      <c r="X149" t="inlineStr"/>
      <c r="Y149" t="inlineStr">
        <is>
          <t>notizie agricole;difesa;fitofarmaci</t>
        </is>
      </c>
      <c r="Z149" t="inlineStr">
        <is>
          <t>titulo da pagina: AgroNotizie - Notizie agricoltura - tecnica, economia e innovazione</t>
        </is>
      </c>
      <c r="AA149" t="inlineStr">
        <is>
          <t>meta description: Agronotizie &amp;egrave; la rivista online per l</t>
        </is>
      </c>
      <c r="AB149" t="inlineStr">
        <is>
          <t>CONFIRMA</t>
        </is>
      </c>
      <c r="AC149" t="inlineStr">
        <is>
          <t>nao sorteada</t>
        </is>
      </c>
      <c r="AE149" t="inlineStr"/>
      <c r="AF149" t="inlineStr"/>
    </row>
    <row r="150">
      <c r="A150" t="inlineStr">
        <is>
          <t>IT-DISC-2026-09-14-0149</t>
        </is>
      </c>
      <c r="B150" t="inlineStr">
        <is>
          <t>Italiafruit News</t>
        </is>
      </c>
      <c r="C150" t="inlineStr">
        <is>
          <t>IMPRENSA</t>
        </is>
      </c>
      <c r="D150" t="inlineStr">
        <is>
          <t>ORG</t>
        </is>
      </c>
      <c r="E150" t="inlineStr">
        <is>
          <t>Italiafruit News</t>
        </is>
      </c>
      <c r="F150" t="inlineStr">
        <is>
          <t>https://www.italiafruit.net/</t>
        </is>
      </c>
      <c r="G150" t="inlineStr">
        <is>
          <t>https://www.italiafruit.net/</t>
        </is>
      </c>
      <c r="H150" t="inlineStr">
        <is>
          <t>https://www.italiafruit.net/</t>
        </is>
      </c>
      <c r="I150" t="n">
        <v>200</v>
      </c>
      <c r="J150" t="inlineStr">
        <is>
          <t>text/html</t>
        </is>
      </c>
      <c r="K150" t="n">
        <v>0</v>
      </c>
      <c r="L150" t="b">
        <v>1</v>
      </c>
      <c r="M150" t="b">
        <v>1</v>
      </c>
      <c r="N150" t="inlineStr">
        <is>
          <t>PROVED_DIRECT</t>
        </is>
      </c>
      <c r="O150" t="inlineStr">
        <is>
          <t>SIM</t>
        </is>
      </c>
      <c r="P150" t="inlineStr">
        <is>
          <t>SIM — dono italiano identificado na pagina</t>
        </is>
      </c>
      <c r="Q150" t="inlineStr">
        <is>
          <t>Italiafruit News</t>
        </is>
      </c>
      <c r="R150" t="inlineStr">
        <is>
          <t>sonda HTTP read-only (GET limitado, payload nao preservado)</t>
        </is>
      </c>
      <c r="S150" t="inlineStr">
        <is>
          <t>2026-09-14T11:24:59Z</t>
        </is>
      </c>
      <c r="T150" t="inlineStr">
        <is>
          <t>PASS</t>
        </is>
      </c>
      <c r="U150" t="inlineStr"/>
      <c r="V150" t="inlineStr">
        <is>
          <t>T10;T1</t>
        </is>
      </c>
      <c r="W150" t="inlineStr">
        <is>
          <t>EMILIA-ROMAGNA</t>
        </is>
      </c>
      <c r="X150" t="inlineStr">
        <is>
          <t>ortofrutta</t>
        </is>
      </c>
      <c r="Y150" t="inlineStr">
        <is>
          <t>ortofrutta;mercato;filiera</t>
        </is>
      </c>
      <c r="Z150" t="inlineStr">
        <is>
          <t>titulo da pagina: Italiafruit News</t>
        </is>
      </c>
      <c r="AA150" t="inlineStr">
        <is>
          <t>dominio institucional do dono</t>
        </is>
      </c>
      <c r="AB150" t="inlineStr">
        <is>
          <t>nao sorteada</t>
        </is>
      </c>
      <c r="AC150" t="inlineStr">
        <is>
          <t>nao sorteada</t>
        </is>
      </c>
      <c r="AE150" t="inlineStr"/>
      <c r="AF150" t="inlineStr"/>
    </row>
    <row r="151">
      <c r="A151" t="inlineStr">
        <is>
          <t>IT-DISC-2026-09-14-0150</t>
        </is>
      </c>
      <c r="B151" t="inlineStr">
        <is>
          <t>Rivista di Frutticoltura e di Ortofloricoltura</t>
        </is>
      </c>
      <c r="C151" t="inlineStr">
        <is>
          <t>IMPRENSA</t>
        </is>
      </c>
      <c r="D151" t="inlineStr">
        <is>
          <t>ORG</t>
        </is>
      </c>
      <c r="E151" t="inlineStr">
        <is>
          <t>Edagricole</t>
        </is>
      </c>
      <c r="F151" t="inlineStr">
        <is>
          <t>https://www.rivistafrutticoltura.it/</t>
        </is>
      </c>
      <c r="G151" t="inlineStr">
        <is>
          <t>https://www.rivistafrutticoltura.it/</t>
        </is>
      </c>
      <c r="H151" t="inlineStr">
        <is>
          <t>https://rivistafrutticoltura.edagricole.it/</t>
        </is>
      </c>
      <c r="I151" t="n">
        <v>200</v>
      </c>
      <c r="J151" t="inlineStr">
        <is>
          <t>text/html</t>
        </is>
      </c>
      <c r="K151" t="n">
        <v>1</v>
      </c>
      <c r="L151" t="b">
        <v>1</v>
      </c>
      <c r="M151" t="b">
        <v>1</v>
      </c>
      <c r="N151" t="inlineStr">
        <is>
          <t>PROVED_DIRECT</t>
        </is>
      </c>
      <c r="O151" t="inlineStr">
        <is>
          <t>SIM</t>
        </is>
      </c>
      <c r="P151" t="inlineStr">
        <is>
          <t>SIM — dominio .it e conteudo em italiano</t>
        </is>
      </c>
      <c r="Q151" t="inlineStr">
        <is>
          <t>Rivista di Frutticoltura e Ortofloricoltura</t>
        </is>
      </c>
      <c r="R151" t="inlineStr">
        <is>
          <t>sonda HTTP read-only (GET limitado, payload nao preservado)</t>
        </is>
      </c>
      <c r="S151" t="inlineStr">
        <is>
          <t>2026-09-14T11:24:59Z</t>
        </is>
      </c>
      <c r="T151" t="inlineStr">
        <is>
          <t>PASS</t>
        </is>
      </c>
      <c r="U151" t="inlineStr"/>
      <c r="V151" t="inlineStr">
        <is>
          <t>T1;T5</t>
        </is>
      </c>
      <c r="W151" t="inlineStr">
        <is>
          <t>EMILIA-ROMAGNA</t>
        </is>
      </c>
      <c r="X151" t="inlineStr"/>
      <c r="Y151" t="inlineStr">
        <is>
          <t>frutticoltura;ortofloricoltura</t>
        </is>
      </c>
      <c r="Z151" t="inlineStr">
        <is>
          <t>titulo da pagina: Rivista di Frutticoltura e Ortofloricoltura</t>
        </is>
      </c>
      <c r="AA151" t="inlineStr">
        <is>
          <t>meta description: Attualità e approfondimenti tecnico-scientifici sui temi della fruttic</t>
        </is>
      </c>
      <c r="AB151" t="inlineStr">
        <is>
          <t>nao sorteada</t>
        </is>
      </c>
      <c r="AC151" t="inlineStr">
        <is>
          <t>nao sorteada</t>
        </is>
      </c>
      <c r="AE151" t="inlineStr"/>
      <c r="AF151" t="inlineStr"/>
    </row>
    <row r="152">
      <c r="A152" t="inlineStr">
        <is>
          <t>IT-DISC-2026-09-14-0151</t>
        </is>
      </c>
      <c r="B152" t="inlineStr">
        <is>
          <t>Terra e Vita — Edagricole</t>
        </is>
      </c>
      <c r="C152" t="inlineStr">
        <is>
          <t>IMPRENSA</t>
        </is>
      </c>
      <c r="D152" t="inlineStr">
        <is>
          <t>ORG</t>
        </is>
      </c>
      <c r="E152" t="inlineStr">
        <is>
          <t>Edagricole — New Business Media</t>
        </is>
      </c>
      <c r="F152" t="inlineStr">
        <is>
          <t>https://terraevita.edagricole.it/</t>
        </is>
      </c>
      <c r="G152" t="inlineStr">
        <is>
          <t>https://terraevita.edagricole.it/</t>
        </is>
      </c>
      <c r="H152" t="inlineStr">
        <is>
          <t>https://terraevita.edagricole.it/</t>
        </is>
      </c>
      <c r="I152" t="n">
        <v>200</v>
      </c>
      <c r="J152" t="inlineStr">
        <is>
          <t>text/html</t>
        </is>
      </c>
      <c r="K152" t="n">
        <v>0</v>
      </c>
      <c r="L152" t="b">
        <v>1</v>
      </c>
      <c r="M152" t="b">
        <v>1</v>
      </c>
      <c r="N152" t="inlineStr">
        <is>
          <t>PROVED_DIRECT</t>
        </is>
      </c>
      <c r="O152" t="inlineStr">
        <is>
          <t>SIM</t>
        </is>
      </c>
      <c r="P152" t="inlineStr">
        <is>
          <t>SIM — dominio .it e conteudo em italiano</t>
        </is>
      </c>
      <c r="Q152" t="inlineStr">
        <is>
          <t>Terra e Vita</t>
        </is>
      </c>
      <c r="R152" t="inlineStr">
        <is>
          <t>sonda HTTP read-only (GET limitado, payload nao preservado)</t>
        </is>
      </c>
      <c r="S152" t="inlineStr">
        <is>
          <t>2026-09-14T11:24:58Z</t>
        </is>
      </c>
      <c r="T152" t="inlineStr">
        <is>
          <t>PASS</t>
        </is>
      </c>
      <c r="U152" t="inlineStr"/>
      <c r="V152" t="inlineStr">
        <is>
          <t>T1;T3;T10</t>
        </is>
      </c>
      <c r="W152" t="inlineStr">
        <is>
          <t>EMILIA-ROMAGNA</t>
        </is>
      </c>
      <c r="X152" t="inlineStr"/>
      <c r="Y152" t="inlineStr">
        <is>
          <t>rivista tecnica;seminativi;difesa</t>
        </is>
      </c>
      <c r="Z152" t="inlineStr">
        <is>
          <t>titulo da pagina: Terra e Vita</t>
        </is>
      </c>
      <c r="AA152" t="inlineStr">
        <is>
          <t>meta description: I consigli degli esperti per fare dell’agricoltura la propria professi</t>
        </is>
      </c>
      <c r="AB152" t="inlineStr">
        <is>
          <t>nao sorteada</t>
        </is>
      </c>
      <c r="AC152" t="inlineStr">
        <is>
          <t>nao sorteada</t>
        </is>
      </c>
      <c r="AE152" t="inlineStr"/>
      <c r="AF152" t="inlineStr"/>
    </row>
    <row r="153">
      <c r="A153" t="inlineStr">
        <is>
          <t>IT-DISC-2026-09-14-0152</t>
        </is>
      </c>
      <c r="B153" t="inlineStr">
        <is>
          <t>Agricoltura Moderna</t>
        </is>
      </c>
      <c r="C153" t="inlineStr">
        <is>
          <t>IMPRENSA</t>
        </is>
      </c>
      <c r="D153" t="inlineStr">
        <is>
          <t>ORG</t>
        </is>
      </c>
      <c r="E153" t="inlineStr">
        <is>
          <t>Agricoltura Moderna</t>
        </is>
      </c>
      <c r="F153" t="inlineStr">
        <is>
          <t>https://agricolturamoderna.it/</t>
        </is>
      </c>
      <c r="G153" t="inlineStr">
        <is>
          <t>https://agricolturamoderna.it/</t>
        </is>
      </c>
      <c r="H153" t="inlineStr">
        <is>
          <t>https://agricolturamoderna.it/</t>
        </is>
      </c>
      <c r="I153" t="n">
        <v>200</v>
      </c>
      <c r="J153" t="inlineStr">
        <is>
          <t>text/html</t>
        </is>
      </c>
      <c r="K153" t="n">
        <v>0</v>
      </c>
      <c r="L153" t="b">
        <v>1</v>
      </c>
      <c r="M153" t="b">
        <v>1</v>
      </c>
      <c r="N153" t="inlineStr">
        <is>
          <t>PROVED_DIRECT</t>
        </is>
      </c>
      <c r="O153" t="inlineStr">
        <is>
          <t>SIM</t>
        </is>
      </c>
      <c r="P153" t="inlineStr">
        <is>
          <t>SIM — dominio .it e conteudo em italiano</t>
        </is>
      </c>
      <c r="Q153" t="inlineStr">
        <is>
          <t>Agricoltura Moderna</t>
        </is>
      </c>
      <c r="R153" t="inlineStr">
        <is>
          <t>sonda HTTP read-only (GET limitado, payload nao preservado)</t>
        </is>
      </c>
      <c r="S153" t="inlineStr">
        <is>
          <t>2026-09-14T11:39:31Z</t>
        </is>
      </c>
      <c r="T153" t="inlineStr">
        <is>
          <t>PASS</t>
        </is>
      </c>
      <c r="U153" t="inlineStr"/>
      <c r="V153" t="inlineStr">
        <is>
          <t>T1;T10</t>
        </is>
      </c>
      <c r="W153" t="inlineStr">
        <is>
          <t>NAZIONALE</t>
        </is>
      </c>
      <c r="X153" t="inlineStr"/>
      <c r="Y153" t="inlineStr">
        <is>
          <t>notizie agricole;tecnica</t>
        </is>
      </c>
      <c r="Z153" t="inlineStr">
        <is>
          <t>titulo da pagina: Agricoltura Moderna</t>
        </is>
      </c>
      <c r="AA153" t="inlineStr">
        <is>
          <t>dominio institucional do dono</t>
        </is>
      </c>
      <c r="AB153" t="inlineStr">
        <is>
          <t>nao sorteada</t>
        </is>
      </c>
      <c r="AC153" t="inlineStr">
        <is>
          <t>nao sorteada</t>
        </is>
      </c>
      <c r="AE153" t="inlineStr"/>
      <c r="AF153" t="inlineStr"/>
    </row>
    <row r="154">
      <c r="A154" t="inlineStr">
        <is>
          <t>IT-DISC-2026-09-14-0153</t>
        </is>
      </c>
      <c r="B154" t="inlineStr">
        <is>
          <t>Agrifoodtoday</t>
        </is>
      </c>
      <c r="C154" t="inlineStr">
        <is>
          <t>IMPRENSA</t>
        </is>
      </c>
      <c r="D154" t="inlineStr">
        <is>
          <t>ORG</t>
        </is>
      </c>
      <c r="E154" t="inlineStr">
        <is>
          <t>Citynews</t>
        </is>
      </c>
      <c r="F154" t="inlineStr">
        <is>
          <t>https://www.agrifoodtoday.it/</t>
        </is>
      </c>
      <c r="G154" t="inlineStr">
        <is>
          <t>https://www.agrifoodtoday.it/</t>
        </is>
      </c>
      <c r="H154" t="inlineStr">
        <is>
          <t>https://www.agrifoodtoday.it/</t>
        </is>
      </c>
      <c r="I154" t="n">
        <v>200</v>
      </c>
      <c r="J154" t="inlineStr">
        <is>
          <t>text/html</t>
        </is>
      </c>
      <c r="K154" t="n">
        <v>0</v>
      </c>
      <c r="L154" t="b">
        <v>1</v>
      </c>
      <c r="M154" t="b">
        <v>1</v>
      </c>
      <c r="N154" t="inlineStr">
        <is>
          <t>PROVED_DIRECT</t>
        </is>
      </c>
      <c r="O154" t="inlineStr">
        <is>
          <t>SIM</t>
        </is>
      </c>
      <c r="P154" t="inlineStr">
        <is>
          <t>SIM — dominio .it e conteudo em italiano</t>
        </is>
      </c>
      <c r="Q154" t="inlineStr">
        <is>
          <t>AgriFoodToday - Ultime notizie agro-alimentari dall&amp;#039;Europa</t>
        </is>
      </c>
      <c r="R154" t="inlineStr">
        <is>
          <t>sonda HTTP read-only (GET limitado, payload nao preservado)</t>
        </is>
      </c>
      <c r="S154" t="inlineStr">
        <is>
          <t>2026-09-14T11:25:00Z</t>
        </is>
      </c>
      <c r="T154" t="inlineStr">
        <is>
          <t>PASS</t>
        </is>
      </c>
      <c r="U154" t="inlineStr"/>
      <c r="V154" t="inlineStr">
        <is>
          <t>T10;T12</t>
        </is>
      </c>
      <c r="W154" t="inlineStr">
        <is>
          <t>NAZIONALE</t>
        </is>
      </c>
      <c r="X154" t="inlineStr"/>
      <c r="Y154" t="inlineStr">
        <is>
          <t>agroalimentare;mercato</t>
        </is>
      </c>
      <c r="Z154" t="inlineStr">
        <is>
          <t>titulo da pagina: AgriFoodToday - Ultime notizie agro-alimentari dall&amp;#039;Europa</t>
        </is>
      </c>
      <c r="AA154" t="inlineStr">
        <is>
          <t xml:space="preserve">meta description: AgriFoodToday - il giornale on line: cronaca e notizie dai principali </t>
        </is>
      </c>
      <c r="AB154" t="inlineStr">
        <is>
          <t>nao sorteada</t>
        </is>
      </c>
      <c r="AC154" t="inlineStr">
        <is>
          <t>nao sorteada</t>
        </is>
      </c>
      <c r="AE154" t="inlineStr"/>
      <c r="AF154" t="inlineStr"/>
    </row>
    <row r="155">
      <c r="A155" t="inlineStr">
        <is>
          <t>IT-DISC-2026-09-14-0154</t>
        </is>
      </c>
      <c r="B155" t="inlineStr">
        <is>
          <t>Agrisole — Il Sole 24 Ore</t>
        </is>
      </c>
      <c r="C155" t="inlineStr">
        <is>
          <t>IMPRENSA</t>
        </is>
      </c>
      <c r="D155" t="inlineStr">
        <is>
          <t>ORG</t>
        </is>
      </c>
      <c r="E155" t="inlineStr">
        <is>
          <t>Il Sole 24 Ore</t>
        </is>
      </c>
      <c r="F155" t="inlineStr">
        <is>
          <t>https://www.ilsole24ore.com/sez/agrisole</t>
        </is>
      </c>
      <c r="G155" t="inlineStr">
        <is>
          <t>https://www.ilsole24ore.com/</t>
        </is>
      </c>
      <c r="H155" t="inlineStr">
        <is>
          <t>https://www.ilsole24ore.com/</t>
        </is>
      </c>
      <c r="I155" t="n">
        <v>200</v>
      </c>
      <c r="J155" t="inlineStr">
        <is>
          <t>text/html</t>
        </is>
      </c>
      <c r="K155" t="n">
        <v>0</v>
      </c>
      <c r="L155" t="b">
        <v>1</v>
      </c>
      <c r="M155" t="b">
        <v>1</v>
      </c>
      <c r="N155" t="inlineStr">
        <is>
          <t>PROVED_DIRECT</t>
        </is>
      </c>
      <c r="O155" t="inlineStr">
        <is>
          <t>SIM</t>
        </is>
      </c>
      <c r="P155" t="inlineStr">
        <is>
          <t>SIM — dono italiano identificado na pagina</t>
        </is>
      </c>
      <c r="Q155" t="inlineStr">
        <is>
          <t xml:space="preserve">Il Sole 24 Ore: notizie di economia, finanza, borsa, fisco, cronaca italiana ed </t>
        </is>
      </c>
      <c r="R155" t="inlineStr">
        <is>
          <t>sonda HTTP read-only (GET limitado, payload nao preservado)</t>
        </is>
      </c>
      <c r="S155" t="inlineStr">
        <is>
          <t>2026-09-14T11:24:23Z</t>
        </is>
      </c>
      <c r="T155" t="inlineStr">
        <is>
          <t>PASS</t>
        </is>
      </c>
      <c r="U155" t="inlineStr"/>
      <c r="V155" t="inlineStr">
        <is>
          <t>T10;T12</t>
        </is>
      </c>
      <c r="W155" t="inlineStr">
        <is>
          <t>NAZIONALE</t>
        </is>
      </c>
      <c r="X155" t="inlineStr"/>
      <c r="Y155" t="inlineStr">
        <is>
          <t>economia agricola;mercati</t>
        </is>
      </c>
      <c r="Z155" t="inlineStr">
        <is>
          <t>titulo da pagina: Il Sole 24 Ore: notizie di economia, finanza, borsa, fisco, cronaca it</t>
        </is>
      </c>
      <c r="AA155" t="inlineStr">
        <is>
          <t>meta description: Notizie di economia, cronaca italiana ed estera, quotazioni borsa in t</t>
        </is>
      </c>
      <c r="AB155" t="inlineStr">
        <is>
          <t>nao sorteada</t>
        </is>
      </c>
      <c r="AC155" t="inlineStr">
        <is>
          <t>nao sorteada</t>
        </is>
      </c>
      <c r="AE155" t="inlineStr"/>
      <c r="AF155" t="inlineStr">
        <is>
          <t>caminho devolve 404; raiz responde</t>
        </is>
      </c>
    </row>
    <row r="156">
      <c r="A156" t="inlineStr">
        <is>
          <t>IT-DISC-2026-09-14-0155</t>
        </is>
      </c>
      <c r="B156" t="inlineStr">
        <is>
          <t>Agrisole — quotidiano agricolo del Sole 24 Ore</t>
        </is>
      </c>
      <c r="C156" t="inlineStr">
        <is>
          <t>IMPRENSA</t>
        </is>
      </c>
      <c r="D156" t="inlineStr">
        <is>
          <t>ORG</t>
        </is>
      </c>
      <c r="E156" t="inlineStr">
        <is>
          <t>Il Sole 24 Ore</t>
        </is>
      </c>
      <c r="F156" t="inlineStr">
        <is>
          <t>https://www.agrisole.ilsole24ore.com/</t>
        </is>
      </c>
      <c r="G156" t="inlineStr">
        <is>
          <t>https://www.agrisole.ilsole24ore.com/</t>
        </is>
      </c>
      <c r="H156" t="inlineStr">
        <is>
          <t>https://www.agrisole.ilsole24ore.com/</t>
        </is>
      </c>
      <c r="I156" t="n">
        <v>200</v>
      </c>
      <c r="J156" t="inlineStr">
        <is>
          <t>text/html</t>
        </is>
      </c>
      <c r="K156" t="n">
        <v>0</v>
      </c>
      <c r="L156" t="b">
        <v>1</v>
      </c>
      <c r="M156" t="b">
        <v>1</v>
      </c>
      <c r="N156" t="inlineStr">
        <is>
          <t>PROVED_DIRECT</t>
        </is>
      </c>
      <c r="O156" t="inlineStr">
        <is>
          <t>SIM</t>
        </is>
      </c>
      <c r="P156" t="inlineStr">
        <is>
          <t>SIM — dono italiano identificado na pagina</t>
        </is>
      </c>
      <c r="Q156" t="inlineStr">
        <is>
          <t>Quotidiano Agrisole - Il Sole 24 ORE</t>
        </is>
      </c>
      <c r="R156" t="inlineStr">
        <is>
          <t>sonda HTTP read-only (GET limitado, payload nao preservado)</t>
        </is>
      </c>
      <c r="S156" t="inlineStr">
        <is>
          <t>2026-09-14T11:39:31Z</t>
        </is>
      </c>
      <c r="T156" t="inlineStr">
        <is>
          <t>PASS</t>
        </is>
      </c>
      <c r="U156" t="inlineStr"/>
      <c r="V156" t="inlineStr">
        <is>
          <t>T10;T12</t>
        </is>
      </c>
      <c r="W156" t="inlineStr">
        <is>
          <t>NAZIONALE</t>
        </is>
      </c>
      <c r="X156" t="inlineStr"/>
      <c r="Y156" t="inlineStr">
        <is>
          <t>economia agricola;mercati;policy</t>
        </is>
      </c>
      <c r="Z156" t="inlineStr">
        <is>
          <t>titulo da pagina: Quotidiano Agrisole - Il Sole 24 ORE</t>
        </is>
      </c>
      <c r="AA156" t="inlineStr">
        <is>
          <t>meta description: Archivio: Notizie - Quotidiano Agrisole</t>
        </is>
      </c>
      <c r="AB156" t="inlineStr">
        <is>
          <t>nao sorteada</t>
        </is>
      </c>
      <c r="AC156" t="inlineStr">
        <is>
          <t>nao sorteada</t>
        </is>
      </c>
      <c r="AE156" t="inlineStr"/>
      <c r="AF156" t="inlineStr"/>
    </row>
    <row r="157">
      <c r="A157" t="inlineStr">
        <is>
          <t>IT-DISC-2026-09-14-0156</t>
        </is>
      </c>
      <c r="B157" t="inlineStr">
        <is>
          <t>AgroNews / Terra e Gusto ANSA</t>
        </is>
      </c>
      <c r="C157" t="inlineStr">
        <is>
          <t>IMPRENSA</t>
        </is>
      </c>
      <c r="D157" t="inlineStr">
        <is>
          <t>ORG</t>
        </is>
      </c>
      <c r="E157" t="inlineStr">
        <is>
          <t>ANSA</t>
        </is>
      </c>
      <c r="F157" t="inlineStr">
        <is>
          <t>https://www.ansa.it/canale_terraegusto/</t>
        </is>
      </c>
      <c r="G157" t="inlineStr">
        <is>
          <t>https://www.ansa.it/canale_terraegusto/</t>
        </is>
      </c>
      <c r="H157" t="inlineStr">
        <is>
          <t>https://www.ansa.it/canale_terraegusto/</t>
        </is>
      </c>
      <c r="I157" t="n">
        <v>200</v>
      </c>
      <c r="J157" t="inlineStr">
        <is>
          <t>text/html</t>
        </is>
      </c>
      <c r="K157" t="n">
        <v>0</v>
      </c>
      <c r="L157" t="b">
        <v>1</v>
      </c>
      <c r="M157" t="b">
        <v>1</v>
      </c>
      <c r="N157" t="inlineStr">
        <is>
          <t>PROVED_DIRECT</t>
        </is>
      </c>
      <c r="O157" t="inlineStr">
        <is>
          <t>SIM</t>
        </is>
      </c>
      <c r="P157" t="inlineStr">
        <is>
          <t>SIM — dominio .it e conteudo em italiano</t>
        </is>
      </c>
      <c r="Q157" t="inlineStr">
        <is>
          <t>Terra &amp; Gusto: approfondimenti e speciali</t>
        </is>
      </c>
      <c r="R157" t="inlineStr">
        <is>
          <t>sonda HTTP read-only (GET limitado, payload nao preservado)</t>
        </is>
      </c>
      <c r="S157" t="inlineStr">
        <is>
          <t>2026-09-14T11:24:23Z</t>
        </is>
      </c>
      <c r="T157" t="inlineStr">
        <is>
          <t>PASS</t>
        </is>
      </c>
      <c r="U157" t="inlineStr"/>
      <c r="V157" t="inlineStr">
        <is>
          <t>T10;T12</t>
        </is>
      </c>
      <c r="W157" t="inlineStr">
        <is>
          <t>NAZIONALE</t>
        </is>
      </c>
      <c r="X157" t="inlineStr"/>
      <c r="Y157" t="inlineStr">
        <is>
          <t>agroalimentare;notizie</t>
        </is>
      </c>
      <c r="Z157" t="inlineStr">
        <is>
          <t>titulo da pagina: Terra &amp; Gusto: approfondimenti e speciali</t>
        </is>
      </c>
      <c r="AA157" t="inlineStr">
        <is>
          <t>meta description: Scopri tutte le novità e gli approfondimenti sul tema Terra e Gusto gr</t>
        </is>
      </c>
      <c r="AB157" t="inlineStr">
        <is>
          <t>nao sorteada</t>
        </is>
      </c>
      <c r="AC157" t="inlineStr">
        <is>
          <t>nao sorteada</t>
        </is>
      </c>
      <c r="AE157" t="inlineStr"/>
      <c r="AF157" t="inlineStr"/>
    </row>
    <row r="158">
      <c r="A158" t="inlineStr">
        <is>
          <t>IT-DISC-2026-09-14-0157</t>
        </is>
      </c>
      <c r="B158" t="inlineStr">
        <is>
          <t>Agroalimentare News</t>
        </is>
      </c>
      <c r="C158" t="inlineStr">
        <is>
          <t>IMPRENSA</t>
        </is>
      </c>
      <c r="D158" t="inlineStr">
        <is>
          <t>ORG</t>
        </is>
      </c>
      <c r="E158" t="inlineStr">
        <is>
          <t>Agroalimentare News</t>
        </is>
      </c>
      <c r="F158" t="inlineStr">
        <is>
          <t>https://www.agroalimentarenews.com/</t>
        </is>
      </c>
      <c r="G158" t="inlineStr">
        <is>
          <t>https://www.agroalimentarenews.com/</t>
        </is>
      </c>
      <c r="H158" t="inlineStr">
        <is>
          <t>https://www.agroalimentarenews.com/</t>
        </is>
      </c>
      <c r="I158" t="n">
        <v>200</v>
      </c>
      <c r="J158" t="inlineStr">
        <is>
          <t>text/html</t>
        </is>
      </c>
      <c r="K158" t="n">
        <v>0</v>
      </c>
      <c r="L158" t="b">
        <v>1</v>
      </c>
      <c r="M158" t="b">
        <v>1</v>
      </c>
      <c r="N158" t="inlineStr">
        <is>
          <t>PROVED_DIRECT</t>
        </is>
      </c>
      <c r="O158" t="inlineStr">
        <is>
          <t>SIM</t>
        </is>
      </c>
      <c r="P158" t="inlineStr">
        <is>
          <t>SIM — dono italiano identificado na pagina</t>
        </is>
      </c>
      <c r="Q158" t="inlineStr">
        <is>
          <t>Quotidiano online d&amp;#039;informazione agricola ed agroalimentare. - AgroAlimenta</t>
        </is>
      </c>
      <c r="R158" t="inlineStr">
        <is>
          <t>sonda HTTP read-only (GET limitado, payload nao preservado)</t>
        </is>
      </c>
      <c r="S158" t="inlineStr">
        <is>
          <t>2026-09-14T11:39:31Z</t>
        </is>
      </c>
      <c r="T158" t="inlineStr">
        <is>
          <t>PASS</t>
        </is>
      </c>
      <c r="U158" t="inlineStr"/>
      <c r="V158" t="inlineStr">
        <is>
          <t>T10;T1</t>
        </is>
      </c>
      <c r="W158" t="inlineStr">
        <is>
          <t>NAZIONALE</t>
        </is>
      </c>
      <c r="X158" t="inlineStr"/>
      <c r="Y158" t="inlineStr">
        <is>
          <t>agroalimentare;notizie</t>
        </is>
      </c>
      <c r="Z158" t="inlineStr">
        <is>
          <t>titulo da pagina: Quotidiano online d&amp;#039;informazione agricola ed agroalimentare. - Ag</t>
        </is>
      </c>
      <c r="AA158" t="inlineStr">
        <is>
          <t>meta description: Quotidiano online d&amp;#039;informazione agricola ed agroalimentare. Tutt</t>
        </is>
      </c>
      <c r="AB158" t="inlineStr">
        <is>
          <t>nao sorteada</t>
        </is>
      </c>
      <c r="AC158" t="inlineStr">
        <is>
          <t>nao sorteada</t>
        </is>
      </c>
      <c r="AE158" t="inlineStr"/>
      <c r="AF158" t="inlineStr"/>
    </row>
    <row r="159">
      <c r="A159" t="inlineStr">
        <is>
          <t>IT-DISC-2026-09-14-0158</t>
        </is>
      </c>
      <c r="B159" t="inlineStr">
        <is>
          <t>FreshPlaza Italia</t>
        </is>
      </c>
      <c r="C159" t="inlineStr">
        <is>
          <t>IMPRENSA</t>
        </is>
      </c>
      <c r="D159" t="inlineStr">
        <is>
          <t>ORG</t>
        </is>
      </c>
      <c r="E159" t="inlineStr">
        <is>
          <t>FreshPlaza</t>
        </is>
      </c>
      <c r="F159" t="inlineStr">
        <is>
          <t>https://www.freshplaza.it/</t>
        </is>
      </c>
      <c r="G159" t="inlineStr">
        <is>
          <t>https://www.freshplaza.it/</t>
        </is>
      </c>
      <c r="H159" t="inlineStr">
        <is>
          <t>https://www.freshplaza.it/</t>
        </is>
      </c>
      <c r="I159" t="n">
        <v>200</v>
      </c>
      <c r="J159" t="inlineStr">
        <is>
          <t>text/html</t>
        </is>
      </c>
      <c r="K159" t="n">
        <v>0</v>
      </c>
      <c r="L159" t="b">
        <v>1</v>
      </c>
      <c r="M159" t="b">
        <v>1</v>
      </c>
      <c r="N159" t="inlineStr">
        <is>
          <t>PROVED_DIRECT</t>
        </is>
      </c>
      <c r="O159" t="inlineStr">
        <is>
          <t>SIM</t>
        </is>
      </c>
      <c r="P159" t="inlineStr">
        <is>
          <t>SIM — dominio .it e conteudo em italiano</t>
        </is>
      </c>
      <c r="Q159" t="inlineStr">
        <is>
          <t>FreshPlaza: Notiziario Internazionale Ortofrutta e Banane</t>
        </is>
      </c>
      <c r="R159" t="inlineStr">
        <is>
          <t>sonda HTTP read-only (GET limitado, payload nao preservado)</t>
        </is>
      </c>
      <c r="S159" t="inlineStr">
        <is>
          <t>2026-09-14T11:25:00Z</t>
        </is>
      </c>
      <c r="T159" t="inlineStr">
        <is>
          <t>PASS</t>
        </is>
      </c>
      <c r="U159" t="inlineStr"/>
      <c r="V159" t="inlineStr">
        <is>
          <t>T10;T1</t>
        </is>
      </c>
      <c r="W159" t="inlineStr">
        <is>
          <t>NAZIONALE</t>
        </is>
      </c>
      <c r="X159" t="inlineStr">
        <is>
          <t>ortofrutta</t>
        </is>
      </c>
      <c r="Y159" t="inlineStr">
        <is>
          <t>ortofrutta;mercato internazionale</t>
        </is>
      </c>
      <c r="Z159" t="inlineStr">
        <is>
          <t>titulo da pagina: FreshPlaza: Notiziario Internazionale Ortofrutta e Banane</t>
        </is>
      </c>
      <c r="AA159" t="inlineStr">
        <is>
          <t xml:space="preserve">meta description: FreshPlaza &amp;#xE8; il portale leader per il settore ortofrutticolo con </t>
        </is>
      </c>
      <c r="AB159" t="inlineStr">
        <is>
          <t>nao sorteada</t>
        </is>
      </c>
      <c r="AC159" t="inlineStr">
        <is>
          <t>nao sorteada</t>
        </is>
      </c>
      <c r="AE159" t="inlineStr"/>
      <c r="AF159" t="inlineStr"/>
    </row>
    <row r="160">
      <c r="A160" t="inlineStr">
        <is>
          <t>IT-DISC-2026-09-14-0159</t>
        </is>
      </c>
      <c r="B160" t="inlineStr">
        <is>
          <t>Il Corriere Vinicolo</t>
        </is>
      </c>
      <c r="C160" t="inlineStr">
        <is>
          <t>IMPRENSA</t>
        </is>
      </c>
      <c r="D160" t="inlineStr">
        <is>
          <t>ORG</t>
        </is>
      </c>
      <c r="E160" t="inlineStr">
        <is>
          <t>Unione Italiana Vini</t>
        </is>
      </c>
      <c r="F160" t="inlineStr">
        <is>
          <t>https://www.corrierevinicolo.com/</t>
        </is>
      </c>
      <c r="G160" t="inlineStr">
        <is>
          <t>https://www.corrierevinicolo.com/</t>
        </is>
      </c>
      <c r="H160" t="inlineStr">
        <is>
          <t>https://www.unioneitalianavini.it/il-corriere-vinicolo</t>
        </is>
      </c>
      <c r="I160" t="n">
        <v>200</v>
      </c>
      <c r="J160" t="inlineStr">
        <is>
          <t>text/html</t>
        </is>
      </c>
      <c r="K160" t="n">
        <v>1</v>
      </c>
      <c r="L160" t="b">
        <v>1</v>
      </c>
      <c r="M160" t="b">
        <v>1</v>
      </c>
      <c r="N160" t="inlineStr">
        <is>
          <t>PROVED_DIRECT</t>
        </is>
      </c>
      <c r="O160" t="inlineStr">
        <is>
          <t>SIM</t>
        </is>
      </c>
      <c r="P160" t="inlineStr">
        <is>
          <t>SIM — dono italiano identificado na pagina</t>
        </is>
      </c>
      <c r="Q160" t="inlineStr">
        <is>
          <t>Il corriere vinicolo | Unione Italiana Vini</t>
        </is>
      </c>
      <c r="R160" t="inlineStr">
        <is>
          <t>sonda HTTP read-only (GET limitado, payload nao preservado)</t>
        </is>
      </c>
      <c r="S160" t="inlineStr">
        <is>
          <t>2026-09-14T11:25:01Z</t>
        </is>
      </c>
      <c r="T160" t="inlineStr">
        <is>
          <t>PASS</t>
        </is>
      </c>
      <c r="U160" t="inlineStr"/>
      <c r="V160" t="inlineStr">
        <is>
          <t>T10;T1</t>
        </is>
      </c>
      <c r="W160" t="inlineStr">
        <is>
          <t>NAZIONALE</t>
        </is>
      </c>
      <c r="X160" t="inlineStr">
        <is>
          <t>vino</t>
        </is>
      </c>
      <c r="Y160" t="inlineStr">
        <is>
          <t>vino;mercato;statistiche</t>
        </is>
      </c>
      <c r="Z160" t="inlineStr">
        <is>
          <t>titulo da pagina: Il corriere vinicolo | Unione Italiana Vini</t>
        </is>
      </c>
      <c r="AA160" t="inlineStr">
        <is>
          <t>dominio institucional do dono</t>
        </is>
      </c>
      <c r="AB160" t="inlineStr">
        <is>
          <t>nao sorteada</t>
        </is>
      </c>
      <c r="AC160" t="inlineStr">
        <is>
          <t>nao sorteada</t>
        </is>
      </c>
      <c r="AE160" t="inlineStr"/>
      <c r="AF160" t="inlineStr"/>
    </row>
    <row r="161">
      <c r="A161" t="inlineStr">
        <is>
          <t>IT-DISC-2026-09-14-0160</t>
        </is>
      </c>
      <c r="B161" t="inlineStr">
        <is>
          <t>Il Fatto Alimentare</t>
        </is>
      </c>
      <c r="C161" t="inlineStr">
        <is>
          <t>IMPRENSA</t>
        </is>
      </c>
      <c r="D161" t="inlineStr">
        <is>
          <t>ORG</t>
        </is>
      </c>
      <c r="E161" t="inlineStr">
        <is>
          <t>Il Fatto Alimentare</t>
        </is>
      </c>
      <c r="F161" t="inlineStr">
        <is>
          <t>https://www.ilfattoalimentare.it/</t>
        </is>
      </c>
      <c r="G161" t="inlineStr">
        <is>
          <t>https://www.ilfattoalimentare.it/</t>
        </is>
      </c>
      <c r="H161" t="inlineStr">
        <is>
          <t>https://ilfattoalimentare.it/</t>
        </is>
      </c>
      <c r="I161" t="n">
        <v>200</v>
      </c>
      <c r="J161" t="inlineStr">
        <is>
          <t>text/html</t>
        </is>
      </c>
      <c r="K161" t="n">
        <v>1</v>
      </c>
      <c r="L161" t="b">
        <v>1</v>
      </c>
      <c r="M161" t="b">
        <v>1</v>
      </c>
      <c r="N161" t="inlineStr">
        <is>
          <t>PROVED_DIRECT</t>
        </is>
      </c>
      <c r="O161" t="inlineStr">
        <is>
          <t>SIM</t>
        </is>
      </c>
      <c r="P161" t="inlineStr">
        <is>
          <t>SIM — dominio .it e conteudo em italiano</t>
        </is>
      </c>
      <c r="Q161" t="inlineStr">
        <is>
          <t>Il Fatto Alimentare</t>
        </is>
      </c>
      <c r="R161" t="inlineStr">
        <is>
          <t>sonda HTTP read-only (GET limitado, payload nao preservado)</t>
        </is>
      </c>
      <c r="S161" t="inlineStr">
        <is>
          <t>2026-09-14T11:39:31Z</t>
        </is>
      </c>
      <c r="T161" t="inlineStr">
        <is>
          <t>PASS</t>
        </is>
      </c>
      <c r="U161" t="inlineStr"/>
      <c r="V161" t="inlineStr">
        <is>
          <t>T10;T4</t>
        </is>
      </c>
      <c r="W161" t="inlineStr">
        <is>
          <t>NAZIONALE</t>
        </is>
      </c>
      <c r="X161" t="inlineStr"/>
      <c r="Y161" t="inlineStr">
        <is>
          <t>sicurezza alimentare;consumatori</t>
        </is>
      </c>
      <c r="Z161" t="inlineStr">
        <is>
          <t>titulo da pagina: Il Fatto Alimentare</t>
        </is>
      </c>
      <c r="AA161" t="inlineStr">
        <is>
          <t>dominio institucional do dono</t>
        </is>
      </c>
      <c r="AB161" t="inlineStr">
        <is>
          <t>nao sorteada</t>
        </is>
      </c>
      <c r="AC161" t="inlineStr">
        <is>
          <t>SIM</t>
        </is>
      </c>
      <c r="AE161" t="inlineStr"/>
      <c r="AF161" t="inlineStr"/>
    </row>
    <row r="162">
      <c r="A162" t="inlineStr">
        <is>
          <t>IT-DISC-2026-09-14-0161</t>
        </is>
      </c>
      <c r="B162" t="inlineStr">
        <is>
          <t>Mangimi &amp; Alimenti</t>
        </is>
      </c>
      <c r="C162" t="inlineStr">
        <is>
          <t>IMPRENSA</t>
        </is>
      </c>
      <c r="D162" t="inlineStr">
        <is>
          <t>ORG</t>
        </is>
      </c>
      <c r="E162" t="inlineStr">
        <is>
          <t>Mangimi &amp; Alimenti</t>
        </is>
      </c>
      <c r="F162" t="inlineStr">
        <is>
          <t>https://www.mangimiealimenti.it/</t>
        </is>
      </c>
      <c r="G162" t="inlineStr">
        <is>
          <t>https://www.mangimiealimenti.it/</t>
        </is>
      </c>
      <c r="H162" t="inlineStr">
        <is>
          <t>https://www.mangimiealimenti.it/</t>
        </is>
      </c>
      <c r="I162" t="n">
        <v>200</v>
      </c>
      <c r="J162" t="inlineStr">
        <is>
          <t>text/html</t>
        </is>
      </c>
      <c r="K162" t="n">
        <v>0</v>
      </c>
      <c r="L162" t="b">
        <v>1</v>
      </c>
      <c r="M162" t="b">
        <v>1</v>
      </c>
      <c r="N162" t="inlineStr">
        <is>
          <t>PROVED_DIRECT</t>
        </is>
      </c>
      <c r="O162" t="inlineStr">
        <is>
          <t>SIM</t>
        </is>
      </c>
      <c r="P162" t="inlineStr">
        <is>
          <t>SIM — dominio .it e conteudo em italiano</t>
        </is>
      </c>
      <c r="Q162" t="inlineStr">
        <is>
          <t>Home - Mangimi &amp;amp; Alimenti</t>
        </is>
      </c>
      <c r="R162" t="inlineStr">
        <is>
          <t>sonda HTTP read-only (GET limitado, payload nao preservado)</t>
        </is>
      </c>
      <c r="S162" t="inlineStr">
        <is>
          <t>2026-09-14T11:39:31Z</t>
        </is>
      </c>
      <c r="T162" t="inlineStr">
        <is>
          <t>PASS</t>
        </is>
      </c>
      <c r="U162" t="inlineStr"/>
      <c r="V162" t="inlineStr">
        <is>
          <t>T10;T1</t>
        </is>
      </c>
      <c r="W162" t="inlineStr">
        <is>
          <t>NAZIONALE</t>
        </is>
      </c>
      <c r="X162" t="inlineStr"/>
      <c r="Y162" t="inlineStr">
        <is>
          <t>mangimi;zootecnia;filiera</t>
        </is>
      </c>
      <c r="Z162" t="inlineStr">
        <is>
          <t>titulo da pagina: Home - Mangimi &amp;amp; Alimenti</t>
        </is>
      </c>
      <c r="AA162" t="inlineStr">
        <is>
          <t>dominio institucional do dono</t>
        </is>
      </c>
      <c r="AB162" t="inlineStr">
        <is>
          <t>nao sorteada</t>
        </is>
      </c>
      <c r="AC162" t="inlineStr">
        <is>
          <t>nao sorteada</t>
        </is>
      </c>
      <c r="AE162" t="inlineStr"/>
      <c r="AF162" t="inlineStr"/>
    </row>
    <row r="163">
      <c r="A163" t="inlineStr">
        <is>
          <t>IT-DISC-2026-09-14-0162</t>
        </is>
      </c>
      <c r="B163" t="inlineStr">
        <is>
          <t>Myfruit.it</t>
        </is>
      </c>
      <c r="C163" t="inlineStr">
        <is>
          <t>IMPRENSA</t>
        </is>
      </c>
      <c r="D163" t="inlineStr">
        <is>
          <t>ORG</t>
        </is>
      </c>
      <c r="E163" t="inlineStr">
        <is>
          <t>Myfruit</t>
        </is>
      </c>
      <c r="F163" t="inlineStr">
        <is>
          <t>https://www.myfruit.it/</t>
        </is>
      </c>
      <c r="G163" t="inlineStr">
        <is>
          <t>https://www.myfruit.it/</t>
        </is>
      </c>
      <c r="H163" t="inlineStr">
        <is>
          <t>https://www.myfruit.it/</t>
        </is>
      </c>
      <c r="I163" t="n">
        <v>200</v>
      </c>
      <c r="J163" t="inlineStr">
        <is>
          <t>text/html</t>
        </is>
      </c>
      <c r="K163" t="n">
        <v>0</v>
      </c>
      <c r="L163" t="b">
        <v>1</v>
      </c>
      <c r="M163" t="b">
        <v>1</v>
      </c>
      <c r="N163" t="inlineStr">
        <is>
          <t>PROVED_DIRECT</t>
        </is>
      </c>
      <c r="O163" t="inlineStr">
        <is>
          <t>SIM</t>
        </is>
      </c>
      <c r="P163" t="inlineStr">
        <is>
          <t>SIM — dominio .it e conteudo em italiano</t>
        </is>
      </c>
      <c r="Q163" t="inlineStr">
        <is>
          <t>Il web magazine dell&amp;#039;ortofrutta | Myfruit</t>
        </is>
      </c>
      <c r="R163" t="inlineStr">
        <is>
          <t>sonda HTTP read-only (GET limitado, payload nao preservado)</t>
        </is>
      </c>
      <c r="S163" t="inlineStr">
        <is>
          <t>2026-09-14T11:24:59Z</t>
        </is>
      </c>
      <c r="T163" t="inlineStr">
        <is>
          <t>PASS</t>
        </is>
      </c>
      <c r="U163" t="inlineStr"/>
      <c r="V163" t="inlineStr">
        <is>
          <t>T10;T1</t>
        </is>
      </c>
      <c r="W163" t="inlineStr">
        <is>
          <t>NAZIONALE</t>
        </is>
      </c>
      <c r="X163" t="inlineStr">
        <is>
          <t>ortofrutta</t>
        </is>
      </c>
      <c r="Y163" t="inlineStr">
        <is>
          <t>ortofrutta;mercato</t>
        </is>
      </c>
      <c r="Z163" t="inlineStr">
        <is>
          <t>titulo da pagina: Il web magazine dell&amp;#039;ortofrutta | Myfruit</t>
        </is>
      </c>
      <c r="AA163" t="inlineStr">
        <is>
          <t xml:space="preserve">meta description: Notizie sul mercato dell&amp;#039;ortofrutta. Focus sui prezzi di vendita </t>
        </is>
      </c>
      <c r="AB163" t="inlineStr">
        <is>
          <t>nao sorteada</t>
        </is>
      </c>
      <c r="AC163" t="inlineStr">
        <is>
          <t>nao sorteada</t>
        </is>
      </c>
      <c r="AE163" t="inlineStr"/>
      <c r="AF163" t="inlineStr"/>
    </row>
    <row r="164">
      <c r="A164" t="inlineStr">
        <is>
          <t>IT-DISC-2026-09-14-0163</t>
        </is>
      </c>
      <c r="B164" t="inlineStr">
        <is>
          <t>Noi Siamo Agricoltura — sito</t>
        </is>
      </c>
      <c r="C164" t="inlineStr">
        <is>
          <t>IMPRENSA</t>
        </is>
      </c>
      <c r="D164" t="inlineStr">
        <is>
          <t>ORG</t>
        </is>
      </c>
      <c r="E164" t="inlineStr">
        <is>
          <t>Noi Siamo Agricoltura</t>
        </is>
      </c>
      <c r="F164" t="inlineStr">
        <is>
          <t>https://www.noisiamoagricoltura.com/</t>
        </is>
      </c>
      <c r="G164" t="inlineStr">
        <is>
          <t>https://www.noisiamoagricoltura.com/</t>
        </is>
      </c>
      <c r="H164" t="inlineStr">
        <is>
          <t>https://www.noisiamoagricoltura.com/</t>
        </is>
      </c>
      <c r="I164" t="n">
        <v>200</v>
      </c>
      <c r="J164" t="inlineStr">
        <is>
          <t>text/html</t>
        </is>
      </c>
      <c r="K164" t="n">
        <v>0</v>
      </c>
      <c r="L164" t="b">
        <v>1</v>
      </c>
      <c r="M164" t="b">
        <v>1</v>
      </c>
      <c r="N164" t="inlineStr">
        <is>
          <t>PROVED_DIRECT</t>
        </is>
      </c>
      <c r="O164" t="inlineStr">
        <is>
          <t>SIM</t>
        </is>
      </c>
      <c r="P164" t="inlineStr">
        <is>
          <t>SIM — dono italiano identificado na pagina</t>
        </is>
      </c>
      <c r="Q164" t="inlineStr">
        <is>
          <t>Noi Siamo Agricoltura - La Più Grande Social Community di Agricoltori Italiani -</t>
        </is>
      </c>
      <c r="R164" t="inlineStr">
        <is>
          <t>sonda HTTP read-only (GET limitado, payload nao preservado)</t>
        </is>
      </c>
      <c r="S164" t="inlineStr">
        <is>
          <t>2026-09-14T11:22:27Z</t>
        </is>
      </c>
      <c r="T164" t="inlineStr">
        <is>
          <t>PASS</t>
        </is>
      </c>
      <c r="U164" t="inlineStr"/>
      <c r="V164" t="inlineStr">
        <is>
          <t>T8;T1</t>
        </is>
      </c>
      <c r="W164" t="inlineStr">
        <is>
          <t>NAZIONALE</t>
        </is>
      </c>
      <c r="X164" t="inlineStr"/>
      <c r="Y164" t="inlineStr">
        <is>
          <t>community agricoltori;notizie</t>
        </is>
      </c>
      <c r="Z164" t="inlineStr">
        <is>
          <t xml:space="preserve">titulo da pagina: Noi Siamo Agricoltura - La Più Grande Social Community di Agricoltori </t>
        </is>
      </c>
      <c r="AA164" t="inlineStr">
        <is>
          <t>meta description: Noi Siamo Agricoltura è la più grande social community agricola Italia</t>
        </is>
      </c>
      <c r="AB164" t="inlineStr">
        <is>
          <t>CONFIRMA</t>
        </is>
      </c>
      <c r="AC164" t="inlineStr">
        <is>
          <t>SIM</t>
        </is>
      </c>
      <c r="AE164" t="inlineStr"/>
      <c r="AF164" t="inlineStr"/>
    </row>
    <row r="165">
      <c r="A165" t="inlineStr">
        <is>
          <t>IT-DISC-2026-09-14-0164</t>
        </is>
      </c>
      <c r="B165" t="inlineStr">
        <is>
          <t>Olio Officina</t>
        </is>
      </c>
      <c r="C165" t="inlineStr">
        <is>
          <t>IMPRENSA</t>
        </is>
      </c>
      <c r="D165" t="inlineStr">
        <is>
          <t>ORG</t>
        </is>
      </c>
      <c r="E165" t="inlineStr">
        <is>
          <t>Olio Officina</t>
        </is>
      </c>
      <c r="F165" t="inlineStr">
        <is>
          <t>https://www.olioofficina.it/</t>
        </is>
      </c>
      <c r="G165" t="inlineStr">
        <is>
          <t>https://www.olioofficina.it/</t>
        </is>
      </c>
      <c r="H165" t="inlineStr">
        <is>
          <t>https://www.olioofficina.it/</t>
        </is>
      </c>
      <c r="I165" t="n">
        <v>200</v>
      </c>
      <c r="J165" t="inlineStr">
        <is>
          <t>text/html</t>
        </is>
      </c>
      <c r="K165" t="n">
        <v>0</v>
      </c>
      <c r="L165" t="b">
        <v>1</v>
      </c>
      <c r="M165" t="b">
        <v>1</v>
      </c>
      <c r="N165" t="inlineStr">
        <is>
          <t>PROVED_DIRECT</t>
        </is>
      </c>
      <c r="O165" t="inlineStr">
        <is>
          <t>SIM</t>
        </is>
      </c>
      <c r="P165" t="inlineStr">
        <is>
          <t>SIM — dominio .it e conteudo em italiano</t>
        </is>
      </c>
      <c r="Q165" t="inlineStr">
        <is>
          <t>Olio Officina Magazine - Condimenti per il palato &amp; la mente</t>
        </is>
      </c>
      <c r="R165" t="inlineStr">
        <is>
          <t>sonda HTTP read-only (GET limitado, payload nao preservado)</t>
        </is>
      </c>
      <c r="S165" t="inlineStr">
        <is>
          <t>2026-09-14T11:25:01Z</t>
        </is>
      </c>
      <c r="T165" t="inlineStr">
        <is>
          <t>PASS</t>
        </is>
      </c>
      <c r="U165" t="inlineStr"/>
      <c r="V165" t="inlineStr">
        <is>
          <t>T1;T10</t>
        </is>
      </c>
      <c r="W165" t="inlineStr">
        <is>
          <t>NAZIONALE</t>
        </is>
      </c>
      <c r="X165" t="inlineStr">
        <is>
          <t>olio</t>
        </is>
      </c>
      <c r="Y165" t="inlineStr">
        <is>
          <t>olio;cultura olivicola</t>
        </is>
      </c>
      <c r="Z165" t="inlineStr">
        <is>
          <t>titulo da pagina: Olio Officina Magazine - Condimenti per il palato &amp; la mente</t>
        </is>
      </c>
      <c r="AA165" t="inlineStr">
        <is>
          <t xml:space="preserve">meta description: Olio Officina Magazine racconta con autorevolezza il mondo dell’olio, </t>
        </is>
      </c>
      <c r="AB165" t="inlineStr">
        <is>
          <t>nao sorteada</t>
        </is>
      </c>
      <c r="AC165" t="inlineStr">
        <is>
          <t>nao sorteada</t>
        </is>
      </c>
      <c r="AE165" t="inlineStr"/>
      <c r="AF165" t="inlineStr"/>
    </row>
    <row r="166">
      <c r="A166" t="inlineStr">
        <is>
          <t>IT-DISC-2026-09-14-0165</t>
        </is>
      </c>
      <c r="B166" t="inlineStr">
        <is>
          <t>Olivo e Olio — Edagricole</t>
        </is>
      </c>
      <c r="C166" t="inlineStr">
        <is>
          <t>IMPRENSA</t>
        </is>
      </c>
      <c r="D166" t="inlineStr">
        <is>
          <t>ORG</t>
        </is>
      </c>
      <c r="E166" t="inlineStr">
        <is>
          <t>Edagricole — New Business Media</t>
        </is>
      </c>
      <c r="F166" t="inlineStr">
        <is>
          <t>https://olivoeolio.edagricole.it/</t>
        </is>
      </c>
      <c r="G166" t="inlineStr">
        <is>
          <t>https://olivoeolio.edagricole.it/</t>
        </is>
      </c>
      <c r="H166" t="inlineStr">
        <is>
          <t>https://olivoeolio.edagricole.it/</t>
        </is>
      </c>
      <c r="I166" t="n">
        <v>200</v>
      </c>
      <c r="J166" t="inlineStr">
        <is>
          <t>text/html</t>
        </is>
      </c>
      <c r="K166" t="n">
        <v>0</v>
      </c>
      <c r="L166" t="b">
        <v>1</v>
      </c>
      <c r="M166" t="b">
        <v>1</v>
      </c>
      <c r="N166" t="inlineStr">
        <is>
          <t>PROVED_DIRECT</t>
        </is>
      </c>
      <c r="O166" t="inlineStr">
        <is>
          <t>SIM</t>
        </is>
      </c>
      <c r="P166" t="inlineStr">
        <is>
          <t>SIM — dominio .it e conteudo em italiano</t>
        </is>
      </c>
      <c r="Q166" t="inlineStr">
        <is>
          <t>Homepage - Olivo e Olio</t>
        </is>
      </c>
      <c r="R166" t="inlineStr">
        <is>
          <t>sonda HTTP read-only (GET limitado, payload nao preservado)</t>
        </is>
      </c>
      <c r="S166" t="inlineStr">
        <is>
          <t>2026-09-14T11:24:59Z</t>
        </is>
      </c>
      <c r="T166" t="inlineStr">
        <is>
          <t>PASS</t>
        </is>
      </c>
      <c r="U166" t="inlineStr"/>
      <c r="V166" t="inlineStr">
        <is>
          <t>T1;T3</t>
        </is>
      </c>
      <c r="W166" t="inlineStr">
        <is>
          <t>NAZIONALE</t>
        </is>
      </c>
      <c r="X166" t="inlineStr">
        <is>
          <t>olio;olivo</t>
        </is>
      </c>
      <c r="Y166" t="inlineStr">
        <is>
          <t>olivo;olio;difesa</t>
        </is>
      </c>
      <c r="Z166" t="inlineStr">
        <is>
          <t>titulo da pagina: Homepage - Olivo e Olio</t>
        </is>
      </c>
      <c r="AA166" t="inlineStr">
        <is>
          <t>meta description: Le forme di allevamento dell’olivo, la potatura e la produzione di oli</t>
        </is>
      </c>
      <c r="AB166" t="inlineStr">
        <is>
          <t>nao sorteada</t>
        </is>
      </c>
      <c r="AC166" t="inlineStr">
        <is>
          <t>nao sorteada</t>
        </is>
      </c>
      <c r="AE166" t="inlineStr"/>
      <c r="AF166" t="inlineStr"/>
    </row>
    <row r="167">
      <c r="A167" t="inlineStr">
        <is>
          <t>IT-DISC-2026-09-14-0166</t>
        </is>
      </c>
      <c r="B167" t="inlineStr">
        <is>
          <t>OlivoNews — giornale di olivicoltura</t>
        </is>
      </c>
      <c r="C167" t="inlineStr">
        <is>
          <t>IMPRENSA</t>
        </is>
      </c>
      <c r="D167" t="inlineStr">
        <is>
          <t>ORG</t>
        </is>
      </c>
      <c r="E167" t="inlineStr">
        <is>
          <t>OlivoNews</t>
        </is>
      </c>
      <c r="F167" t="inlineStr">
        <is>
          <t>https://www.olivonews.it/</t>
        </is>
      </c>
      <c r="G167" t="inlineStr">
        <is>
          <t>https://www.olivonews.it/</t>
        </is>
      </c>
      <c r="H167" t="inlineStr">
        <is>
          <t>https://olivonews.it/</t>
        </is>
      </c>
      <c r="I167" t="n">
        <v>200</v>
      </c>
      <c r="J167" t="inlineStr">
        <is>
          <t>text/html</t>
        </is>
      </c>
      <c r="K167" t="n">
        <v>1</v>
      </c>
      <c r="L167" t="b">
        <v>1</v>
      </c>
      <c r="M167" t="b">
        <v>1</v>
      </c>
      <c r="N167" t="inlineStr">
        <is>
          <t>PROVED_DIRECT</t>
        </is>
      </c>
      <c r="O167" t="inlineStr">
        <is>
          <t>SIM</t>
        </is>
      </c>
      <c r="P167" t="inlineStr">
        <is>
          <t>SIM — dominio .it e conteudo em italiano</t>
        </is>
      </c>
      <c r="Q167" t="inlineStr">
        <is>
          <t>OlivoNews - Giornale di Olivicoltura e Pensiero Circolare</t>
        </is>
      </c>
      <c r="R167" t="inlineStr">
        <is>
          <t>sonda HTTP read-only (GET limitado, payload nao preservado)</t>
        </is>
      </c>
      <c r="S167" t="inlineStr">
        <is>
          <t>2026-09-14T11:39:31Z</t>
        </is>
      </c>
      <c r="T167" t="inlineStr">
        <is>
          <t>PASS</t>
        </is>
      </c>
      <c r="U167" t="inlineStr"/>
      <c r="V167" t="inlineStr">
        <is>
          <t>T1;T3;T10</t>
        </is>
      </c>
      <c r="W167" t="inlineStr">
        <is>
          <t>NAZIONALE</t>
        </is>
      </c>
      <c r="X167" t="inlineStr">
        <is>
          <t>olio;olivo</t>
        </is>
      </c>
      <c r="Y167" t="inlineStr">
        <is>
          <t>olivo;olio;tecnica</t>
        </is>
      </c>
      <c r="Z167" t="inlineStr">
        <is>
          <t>titulo da pagina: OlivoNews - Giornale di Olivicoltura e Pensiero Circolare</t>
        </is>
      </c>
      <c r="AA167" t="inlineStr">
        <is>
          <t>meta description: OlivoNews fornisce notizie e aggiornamenti sui mercati e sui trend del</t>
        </is>
      </c>
      <c r="AB167" t="inlineStr">
        <is>
          <t>nao sorteada</t>
        </is>
      </c>
      <c r="AC167" t="inlineStr">
        <is>
          <t>nao sorteada</t>
        </is>
      </c>
      <c r="AE167" t="inlineStr"/>
      <c r="AF167" t="inlineStr"/>
    </row>
    <row r="168">
      <c r="A168" t="inlineStr">
        <is>
          <t>IT-DISC-2026-09-14-0167</t>
        </is>
      </c>
      <c r="B168" t="inlineStr">
        <is>
          <t>Pianeta PSR</t>
        </is>
      </c>
      <c r="C168" t="inlineStr">
        <is>
          <t>IMPRENSA</t>
        </is>
      </c>
      <c r="D168" t="inlineStr">
        <is>
          <t>ORG</t>
        </is>
      </c>
      <c r="E168" t="inlineStr">
        <is>
          <t>Rete Rurale Nazionale / MASAF</t>
        </is>
      </c>
      <c r="F168" t="inlineStr">
        <is>
          <t>https://www.pianetapsr.it/</t>
        </is>
      </c>
      <c r="G168" t="inlineStr">
        <is>
          <t>https://www.pianetapsr.it/</t>
        </is>
      </c>
      <c r="H168" t="inlineStr">
        <is>
          <t>https://www.pianetapsr.it/flex/cm/pages/ServeBLOB.php/L/IT/IDPagina/1</t>
        </is>
      </c>
      <c r="I168" t="n">
        <v>200</v>
      </c>
      <c r="J168" t="inlineStr">
        <is>
          <t>text/html</t>
        </is>
      </c>
      <c r="K168" t="n">
        <v>1</v>
      </c>
      <c r="L168" t="b">
        <v>1</v>
      </c>
      <c r="M168" t="b">
        <v>1</v>
      </c>
      <c r="N168" t="inlineStr">
        <is>
          <t>PROVED_DIRECT</t>
        </is>
      </c>
      <c r="O168" t="inlineStr">
        <is>
          <t>SIM</t>
        </is>
      </c>
      <c r="P168" t="inlineStr">
        <is>
          <t>SIM — dominio .it e conteudo em italiano</t>
        </is>
      </c>
      <c r="Q168" t="inlineStr">
        <is>
          <t>Pianeta PSR - PianetaPSR.it | Il giornale dello Sviluppo Rurale</t>
        </is>
      </c>
      <c r="R168" t="inlineStr">
        <is>
          <t>sonda HTTP read-only (GET limitado, payload nao preservado)</t>
        </is>
      </c>
      <c r="S168" t="inlineStr">
        <is>
          <t>2026-09-14T11:38:11Z</t>
        </is>
      </c>
      <c r="T168" t="inlineStr">
        <is>
          <t>PASS</t>
        </is>
      </c>
      <c r="U168" t="inlineStr"/>
      <c r="V168" t="inlineStr">
        <is>
          <t>T12;T10</t>
        </is>
      </c>
      <c r="W168" t="inlineStr">
        <is>
          <t>NAZIONALE</t>
        </is>
      </c>
      <c r="X168" t="inlineStr"/>
      <c r="Y168" t="inlineStr">
        <is>
          <t>PSR;politica agricola;CAP</t>
        </is>
      </c>
      <c r="Z168" t="inlineStr">
        <is>
          <t>titulo da pagina: Pianeta PSR - PianetaPSR.it | Il giornale dello Sviluppo Rurale</t>
        </is>
      </c>
      <c r="AA168" t="inlineStr">
        <is>
          <t>meta description: In primo piano.</t>
        </is>
      </c>
      <c r="AB168" t="inlineStr">
        <is>
          <t>nao sorteada</t>
        </is>
      </c>
      <c r="AC168" t="inlineStr">
        <is>
          <t>SIM</t>
        </is>
      </c>
      <c r="AE168" t="inlineStr"/>
      <c r="AF168" t="inlineStr"/>
    </row>
    <row r="169">
      <c r="A169" t="inlineStr">
        <is>
          <t>IT-DISC-2026-09-14-0168</t>
        </is>
      </c>
      <c r="B169" t="inlineStr">
        <is>
          <t>Rivista di Agraria</t>
        </is>
      </c>
      <c r="C169" t="inlineStr">
        <is>
          <t>IMPRENSA</t>
        </is>
      </c>
      <c r="D169" t="inlineStr">
        <is>
          <t>ORG</t>
        </is>
      </c>
      <c r="E169" t="inlineStr">
        <is>
          <t>Rivista di Agraria</t>
        </is>
      </c>
      <c r="F169" t="inlineStr">
        <is>
          <t>https://www.rivistadiagraria.org/</t>
        </is>
      </c>
      <c r="G169" t="inlineStr">
        <is>
          <t>https://www.rivistadiagraria.org/</t>
        </is>
      </c>
      <c r="H169" t="inlineStr">
        <is>
          <t>https://www.rivistadiagraria.org/</t>
        </is>
      </c>
      <c r="I169" t="n">
        <v>200</v>
      </c>
      <c r="J169" t="inlineStr">
        <is>
          <t>text/html</t>
        </is>
      </c>
      <c r="K169" t="n">
        <v>0</v>
      </c>
      <c r="L169" t="b">
        <v>1</v>
      </c>
      <c r="M169" t="b">
        <v>1</v>
      </c>
      <c r="N169" t="inlineStr">
        <is>
          <t>PROVED_DIRECT</t>
        </is>
      </c>
      <c r="O169" t="inlineStr">
        <is>
          <t>SIM</t>
        </is>
      </c>
      <c r="P169" t="inlineStr">
        <is>
          <t>SIM — dono italiano identificado na pagina</t>
        </is>
      </c>
      <c r="Q169" t="inlineStr">
        <is>
          <t>Rivista online di agricoltura, zootecnia, ambiente - Rivista di Agraria.org</t>
        </is>
      </c>
      <c r="R169" t="inlineStr">
        <is>
          <t>sonda HTTP read-only (GET limitado, payload nao preservado)</t>
        </is>
      </c>
      <c r="S169" t="inlineStr">
        <is>
          <t>2026-09-14T11:22:28Z</t>
        </is>
      </c>
      <c r="T169" t="inlineStr">
        <is>
          <t>PASS</t>
        </is>
      </c>
      <c r="U169" t="inlineStr"/>
      <c r="V169" t="inlineStr">
        <is>
          <t>T1;T5;T12</t>
        </is>
      </c>
      <c r="W169" t="inlineStr">
        <is>
          <t>NAZIONALE</t>
        </is>
      </c>
      <c r="X169" t="inlineStr"/>
      <c r="Y169" t="inlineStr">
        <is>
          <t>divulgazione agraria</t>
        </is>
      </c>
      <c r="Z169" t="inlineStr">
        <is>
          <t>titulo da pagina: Rivista online di agricoltura, zootecnia, ambiente - Rivista di Agrari</t>
        </is>
      </c>
      <c r="AA169" t="inlineStr">
        <is>
          <t xml:space="preserve">meta description: Rivista quindicinale online di agricoltura, zootecnia ed ambiente con </t>
        </is>
      </c>
      <c r="AB169" t="inlineStr">
        <is>
          <t>nao sorteada</t>
        </is>
      </c>
      <c r="AC169" t="inlineStr">
        <is>
          <t>nao sorteada</t>
        </is>
      </c>
      <c r="AE169" t="inlineStr"/>
      <c r="AF169" t="inlineStr"/>
    </row>
    <row r="170">
      <c r="A170" t="inlineStr">
        <is>
          <t>IT-DISC-2026-09-14-0169</t>
        </is>
      </c>
      <c r="B170" t="inlineStr">
        <is>
          <t>Ruminantia — web magazine dei ruminanti</t>
        </is>
      </c>
      <c r="C170" t="inlineStr">
        <is>
          <t>IMPRENSA</t>
        </is>
      </c>
      <c r="D170" t="inlineStr">
        <is>
          <t>ORG</t>
        </is>
      </c>
      <c r="E170" t="inlineStr">
        <is>
          <t>Ruminantia</t>
        </is>
      </c>
      <c r="F170" t="inlineStr">
        <is>
          <t>https://www.ruminantia.it/</t>
        </is>
      </c>
      <c r="G170" t="inlineStr">
        <is>
          <t>https://www.ruminantia.it/</t>
        </is>
      </c>
      <c r="H170" t="inlineStr">
        <is>
          <t>https://www.ruminantia.it/</t>
        </is>
      </c>
      <c r="I170" t="n">
        <v>200</v>
      </c>
      <c r="J170" t="inlineStr">
        <is>
          <t>text/html</t>
        </is>
      </c>
      <c r="K170" t="n">
        <v>0</v>
      </c>
      <c r="L170" t="b">
        <v>1</v>
      </c>
      <c r="M170" t="b">
        <v>1</v>
      </c>
      <c r="N170" t="inlineStr">
        <is>
          <t>PROVED_DIRECT</t>
        </is>
      </c>
      <c r="O170" t="inlineStr">
        <is>
          <t>SIM</t>
        </is>
      </c>
      <c r="P170" t="inlineStr">
        <is>
          <t>SIM — dominio .it e conteudo em italiano</t>
        </is>
      </c>
      <c r="Q170" t="inlineStr">
        <is>
          <t>Ruminantia &amp;#8211; Web Magazine del mondo dei Ruminanti &amp;#8211; Sanità, Nutrizio</t>
        </is>
      </c>
      <c r="R170" t="inlineStr">
        <is>
          <t>sonda HTTP read-only (GET limitado, payload nao preservado)</t>
        </is>
      </c>
      <c r="S170" t="inlineStr">
        <is>
          <t>2026-09-14T11:39:31Z</t>
        </is>
      </c>
      <c r="T170" t="inlineStr">
        <is>
          <t>PASS</t>
        </is>
      </c>
      <c r="U170" t="inlineStr"/>
      <c r="V170" t="inlineStr">
        <is>
          <t>T10;T1;T7</t>
        </is>
      </c>
      <c r="W170" t="inlineStr">
        <is>
          <t>NAZIONALE</t>
        </is>
      </c>
      <c r="X170" t="inlineStr">
        <is>
          <t>latte</t>
        </is>
      </c>
      <c r="Y170" t="inlineStr">
        <is>
          <t>bovini;latte;zootecnia</t>
        </is>
      </c>
      <c r="Z170" t="inlineStr">
        <is>
          <t>titulo da pagina: Ruminantia &amp;#8211; Web Magazine del mondo dei Ruminanti &amp;#8211; Sanità</t>
        </is>
      </c>
      <c r="AA170" t="inlineStr">
        <is>
          <t>meta description: I nostri Partner | Vai alle notizie                      
Nessun ar</t>
        </is>
      </c>
      <c r="AB170" t="inlineStr">
        <is>
          <t>nao sorteada</t>
        </is>
      </c>
      <c r="AC170" t="inlineStr">
        <is>
          <t>SIM</t>
        </is>
      </c>
      <c r="AE170" t="inlineStr"/>
      <c r="AF170" t="inlineStr"/>
    </row>
    <row r="171">
      <c r="A171" t="inlineStr">
        <is>
          <t>IT-DISC-2026-09-14-0170</t>
        </is>
      </c>
      <c r="B171" t="inlineStr">
        <is>
          <t>Teatro Naturale</t>
        </is>
      </c>
      <c r="C171" t="inlineStr">
        <is>
          <t>IMPRENSA</t>
        </is>
      </c>
      <c r="D171" t="inlineStr">
        <is>
          <t>ORG</t>
        </is>
      </c>
      <c r="E171" t="inlineStr">
        <is>
          <t>Teatro Naturale</t>
        </is>
      </c>
      <c r="F171" t="inlineStr">
        <is>
          <t>https://www.teatronaturale.it/</t>
        </is>
      </c>
      <c r="G171" t="inlineStr">
        <is>
          <t>https://www.teatronaturale.it/</t>
        </is>
      </c>
      <c r="H171" t="inlineStr">
        <is>
          <t>https://www.teatronaturale.it/</t>
        </is>
      </c>
      <c r="I171" t="n">
        <v>200</v>
      </c>
      <c r="J171" t="inlineStr">
        <is>
          <t>text/html</t>
        </is>
      </c>
      <c r="K171" t="n">
        <v>0</v>
      </c>
      <c r="L171" t="b">
        <v>1</v>
      </c>
      <c r="M171" t="b">
        <v>1</v>
      </c>
      <c r="N171" t="inlineStr">
        <is>
          <t>PROVED_BY_DOMAIN</t>
        </is>
      </c>
      <c r="O171" t="inlineStr">
        <is>
          <t>SIM</t>
        </is>
      </c>
      <c r="P171" t="inlineStr">
        <is>
          <t>SIM — dominio .it e conteudo em italiano</t>
        </is>
      </c>
      <c r="Q171" t="inlineStr">
        <is>
          <t>Agricoltura Biologica, Prodotti Naturali, Mangiare sano - TeatroNaturale.it</t>
        </is>
      </c>
      <c r="R171" t="inlineStr">
        <is>
          <t>sonda HTTP read-only (GET limitado, payload nao preservado)</t>
        </is>
      </c>
      <c r="S171" t="inlineStr">
        <is>
          <t>2026-09-14T11:25:00Z</t>
        </is>
      </c>
      <c r="T171" t="inlineStr">
        <is>
          <t>PASS</t>
        </is>
      </c>
      <c r="U171" t="inlineStr"/>
      <c r="V171" t="inlineStr">
        <is>
          <t>T1;T3;T10</t>
        </is>
      </c>
      <c r="W171" t="inlineStr">
        <is>
          <t>NAZIONALE</t>
        </is>
      </c>
      <c r="X171" t="inlineStr">
        <is>
          <t>olio;olivo</t>
        </is>
      </c>
      <c r="Y171" t="inlineStr">
        <is>
          <t>olivo;olio;tecnica</t>
        </is>
      </c>
      <c r="Z171" t="inlineStr">
        <is>
          <t>titulo da pagina: Agricoltura Biologica, Prodotti Naturali, Mangiare sano - TeatroNatura</t>
        </is>
      </c>
      <c r="AA171" t="inlineStr">
        <is>
          <t>meta description: Magazine su agricoltura biologica, prodotti naturali e mangiare sano s</t>
        </is>
      </c>
      <c r="AB171" t="inlineStr">
        <is>
          <t>nao sorteada</t>
        </is>
      </c>
      <c r="AC171" t="inlineStr">
        <is>
          <t>nao sorteada</t>
        </is>
      </c>
      <c r="AE171" t="inlineStr"/>
      <c r="AF171" t="inlineStr"/>
    </row>
    <row r="172">
      <c r="A172" t="inlineStr">
        <is>
          <t>IT-DISC-2026-09-14-0171</t>
        </is>
      </c>
      <c r="B172" t="inlineStr">
        <is>
          <t>Agrisicilia</t>
        </is>
      </c>
      <c r="C172" t="inlineStr">
        <is>
          <t>IMPRENSA</t>
        </is>
      </c>
      <c r="D172" t="inlineStr">
        <is>
          <t>ORG</t>
        </is>
      </c>
      <c r="E172" t="inlineStr">
        <is>
          <t>Agrisicilia</t>
        </is>
      </c>
      <c r="F172" t="inlineStr">
        <is>
          <t>https://www.agrisicilia.it/</t>
        </is>
      </c>
      <c r="G172" t="inlineStr">
        <is>
          <t>https://www.agrisicilia.it/</t>
        </is>
      </c>
      <c r="H172" t="inlineStr">
        <is>
          <t>https://www.agrisicilia.it/</t>
        </is>
      </c>
      <c r="I172" t="n">
        <v>200</v>
      </c>
      <c r="J172" t="inlineStr">
        <is>
          <t>text/html</t>
        </is>
      </c>
      <c r="K172" t="n">
        <v>0</v>
      </c>
      <c r="L172" t="b">
        <v>1</v>
      </c>
      <c r="M172" t="b">
        <v>1</v>
      </c>
      <c r="N172" t="inlineStr">
        <is>
          <t>PROVED_DIRECT</t>
        </is>
      </c>
      <c r="O172" t="inlineStr">
        <is>
          <t>SIM</t>
        </is>
      </c>
      <c r="P172" t="inlineStr">
        <is>
          <t>SIM — dominio .it e conteudo em italiano</t>
        </is>
      </c>
      <c r="Q172" t="inlineStr">
        <is>
          <t>Agrisicilia</t>
        </is>
      </c>
      <c r="R172" t="inlineStr">
        <is>
          <t>sonda HTTP read-only (GET limitado, payload nao preservado)</t>
        </is>
      </c>
      <c r="S172" t="inlineStr">
        <is>
          <t>2026-09-14T11:39:31Z</t>
        </is>
      </c>
      <c r="T172" t="inlineStr">
        <is>
          <t>PASS</t>
        </is>
      </c>
      <c r="U172" t="inlineStr"/>
      <c r="V172" t="inlineStr">
        <is>
          <t>T1;T10;T12</t>
        </is>
      </c>
      <c r="W172" t="inlineStr">
        <is>
          <t>SICILIA</t>
        </is>
      </c>
      <c r="X172" t="inlineStr">
        <is>
          <t>agrumi</t>
        </is>
      </c>
      <c r="Y172" t="inlineStr">
        <is>
          <t>agricoltura siciliana;agrumi</t>
        </is>
      </c>
      <c r="Z172" t="inlineStr">
        <is>
          <t>titulo da pagina: Agrisicilia</t>
        </is>
      </c>
      <c r="AA172" t="inlineStr">
        <is>
          <t>meta description: Agrisicilia</t>
        </is>
      </c>
      <c r="AB172" t="inlineStr">
        <is>
          <t>nao sorteada</t>
        </is>
      </c>
      <c r="AC172" t="inlineStr">
        <is>
          <t>nao sorteada</t>
        </is>
      </c>
      <c r="AE172" t="inlineStr"/>
      <c r="AF172" t="inlineStr"/>
    </row>
    <row r="173">
      <c r="A173" t="inlineStr">
        <is>
          <t>IT-DISC-2026-09-14-0172</t>
        </is>
      </c>
      <c r="B173" t="inlineStr">
        <is>
          <t>Georgofili INFO — notiziario</t>
        </is>
      </c>
      <c r="C173" t="inlineStr">
        <is>
          <t>IMPRENSA</t>
        </is>
      </c>
      <c r="D173" t="inlineStr">
        <is>
          <t>ORG</t>
        </is>
      </c>
      <c r="E173" t="inlineStr">
        <is>
          <t>Accademia dei Georgofili</t>
        </is>
      </c>
      <c r="F173" t="inlineStr">
        <is>
          <t>https://www.georgofili.info/</t>
        </is>
      </c>
      <c r="G173" t="inlineStr">
        <is>
          <t>https://www.georgofili.info/</t>
        </is>
      </c>
      <c r="H173" t="inlineStr">
        <is>
          <t>https://www.georgofili.info/</t>
        </is>
      </c>
      <c r="I173" t="n">
        <v>200</v>
      </c>
      <c r="J173" t="inlineStr">
        <is>
          <t>text/html</t>
        </is>
      </c>
      <c r="K173" t="n">
        <v>0</v>
      </c>
      <c r="L173" t="b">
        <v>1</v>
      </c>
      <c r="M173" t="b">
        <v>1</v>
      </c>
      <c r="N173" t="inlineStr">
        <is>
          <t>PROVED_DIRECT</t>
        </is>
      </c>
      <c r="O173" t="inlineStr">
        <is>
          <t>SIM</t>
        </is>
      </c>
      <c r="P173" t="inlineStr">
        <is>
          <t>SIM — dono italiano identificado na pagina</t>
        </is>
      </c>
      <c r="Q173" t="inlineStr">
        <is>
          <t>Agricoltura Ambiente Alimenti - Notiziario di informazione su agronomia, socio-e</t>
        </is>
      </c>
      <c r="R173" t="inlineStr">
        <is>
          <t>sonda HTTP read-only (GET limitado, payload nao preservado)</t>
        </is>
      </c>
      <c r="S173" t="inlineStr">
        <is>
          <t>2026-09-14T11:04:33Z</t>
        </is>
      </c>
      <c r="T173" t="inlineStr">
        <is>
          <t>PASS</t>
        </is>
      </c>
      <c r="U173" t="inlineStr"/>
      <c r="V173" t="inlineStr">
        <is>
          <t>T5;T12;T11</t>
        </is>
      </c>
      <c r="W173" t="inlineStr">
        <is>
          <t>TOSCANA</t>
        </is>
      </c>
      <c r="X173" t="inlineStr"/>
      <c r="Y173" t="inlineStr">
        <is>
          <t>notiziario tecnico;divulgazione</t>
        </is>
      </c>
      <c r="Z173" t="inlineStr">
        <is>
          <t>titulo da pagina: Agricoltura Ambiente Alimenti - Notiziario di informazione su agronomi</t>
        </is>
      </c>
      <c r="AA173" t="inlineStr">
        <is>
          <t>meta description: Agricoltura Ambiente Alimenti. Notiziario di informazione su agricoltu</t>
        </is>
      </c>
      <c r="AB173" t="inlineStr">
        <is>
          <t>nao sorteada</t>
        </is>
      </c>
      <c r="AC173" t="inlineStr">
        <is>
          <t>nao sorteada</t>
        </is>
      </c>
      <c r="AE173" t="inlineStr"/>
      <c r="AF173" t="inlineStr"/>
    </row>
    <row r="174">
      <c r="A174" t="inlineStr">
        <is>
          <t>IT-DISC-2026-09-14-0173</t>
        </is>
      </c>
      <c r="B174" t="inlineStr">
        <is>
          <t>WineNews</t>
        </is>
      </c>
      <c r="C174" t="inlineStr">
        <is>
          <t>IMPRENSA</t>
        </is>
      </c>
      <c r="D174" t="inlineStr">
        <is>
          <t>ORG</t>
        </is>
      </c>
      <c r="E174" t="inlineStr">
        <is>
          <t>WineNews</t>
        </is>
      </c>
      <c r="F174" t="inlineStr">
        <is>
          <t>https://winenews.it/</t>
        </is>
      </c>
      <c r="G174" t="inlineStr">
        <is>
          <t>https://winenews.it/</t>
        </is>
      </c>
      <c r="H174" t="inlineStr">
        <is>
          <t>https://winenews.it/it/</t>
        </is>
      </c>
      <c r="I174" t="n">
        <v>200</v>
      </c>
      <c r="J174" t="inlineStr">
        <is>
          <t>text/html</t>
        </is>
      </c>
      <c r="K174" t="n">
        <v>1</v>
      </c>
      <c r="L174" t="b">
        <v>1</v>
      </c>
      <c r="M174" t="b">
        <v>1</v>
      </c>
      <c r="N174" t="inlineStr">
        <is>
          <t>PROVED_DIRECT</t>
        </is>
      </c>
      <c r="O174" t="inlineStr">
        <is>
          <t>SIM</t>
        </is>
      </c>
      <c r="P174" t="inlineStr">
        <is>
          <t>SIM — dominio .it e conteudo em italiano</t>
        </is>
      </c>
      <c r="Q174" t="inlineStr">
        <is>
          <t>WineNews: The Pocket Wine Web Site in Italy</t>
        </is>
      </c>
      <c r="R174" t="inlineStr">
        <is>
          <t>sonda HTTP read-only (GET limitado, payload nao preservado)</t>
        </is>
      </c>
      <c r="S174" t="inlineStr">
        <is>
          <t>2026-09-14T11:25:01Z</t>
        </is>
      </c>
      <c r="T174" t="inlineStr">
        <is>
          <t>PASS</t>
        </is>
      </c>
      <c r="U174" t="inlineStr"/>
      <c r="V174" t="inlineStr">
        <is>
          <t>T10;T1</t>
        </is>
      </c>
      <c r="W174" t="inlineStr">
        <is>
          <t>TOSCANA</t>
        </is>
      </c>
      <c r="X174" t="inlineStr">
        <is>
          <t>vino</t>
        </is>
      </c>
      <c r="Y174" t="inlineStr">
        <is>
          <t>vino;mercato</t>
        </is>
      </c>
      <c r="Z174" t="inlineStr">
        <is>
          <t>titulo da pagina: WineNews: The Pocket Wine Web Site in Italy</t>
        </is>
      </c>
      <c r="AA174" t="inlineStr">
        <is>
          <t>meta description: Il punto di riferimento dell</t>
        </is>
      </c>
      <c r="AB174" t="inlineStr">
        <is>
          <t>CONFIRMA</t>
        </is>
      </c>
      <c r="AC174" t="inlineStr">
        <is>
          <t>nao sorteada</t>
        </is>
      </c>
      <c r="AE174" t="inlineStr"/>
      <c r="AF174" t="inlineStr"/>
    </row>
    <row r="175">
      <c r="A175" t="inlineStr">
        <is>
          <t>IT-DISC-2026-09-14-0174</t>
        </is>
      </c>
      <c r="B175" t="inlineStr">
        <is>
          <t>Zootecnica International</t>
        </is>
      </c>
      <c r="C175" t="inlineStr">
        <is>
          <t>IMPRENSA</t>
        </is>
      </c>
      <c r="D175" t="inlineStr">
        <is>
          <t>ORG</t>
        </is>
      </c>
      <c r="E175" t="inlineStr">
        <is>
          <t>Zootecnica International</t>
        </is>
      </c>
      <c r="F175" t="inlineStr">
        <is>
          <t>https://www.zootecnicainternational.com/</t>
        </is>
      </c>
      <c r="G175" t="inlineStr">
        <is>
          <t>https://www.zootecnicainternational.com/</t>
        </is>
      </c>
      <c r="H175" t="inlineStr">
        <is>
          <t>https://zootecnicainternational.com/</t>
        </is>
      </c>
      <c r="I175" t="n">
        <v>200</v>
      </c>
      <c r="J175" t="inlineStr">
        <is>
          <t>text/html</t>
        </is>
      </c>
      <c r="K175" t="n">
        <v>1</v>
      </c>
      <c r="L175" t="b">
        <v>1</v>
      </c>
      <c r="M175" t="b">
        <v>1</v>
      </c>
      <c r="N175" t="inlineStr">
        <is>
          <t>PROVED_DIRECT</t>
        </is>
      </c>
      <c r="O175" t="inlineStr">
        <is>
          <t>SIM</t>
        </is>
      </c>
      <c r="P175" t="inlineStr">
        <is>
          <t>SIM — dono italiano identificado na pagina</t>
        </is>
      </c>
      <c r="Q175" t="inlineStr">
        <is>
          <t>Homepage - Zootecnica | Poultry Magazine</t>
        </is>
      </c>
      <c r="R175" t="inlineStr">
        <is>
          <t>sonda HTTP read-only (GET limitado, payload nao preservado)</t>
        </is>
      </c>
      <c r="S175" t="inlineStr">
        <is>
          <t>2026-09-14T11:39:31Z</t>
        </is>
      </c>
      <c r="T175" t="inlineStr">
        <is>
          <t>PASS</t>
        </is>
      </c>
      <c r="U175" t="inlineStr"/>
      <c r="V175" t="inlineStr">
        <is>
          <t>T10;T1</t>
        </is>
      </c>
      <c r="W175" t="inlineStr">
        <is>
          <t>TOSCANA</t>
        </is>
      </c>
      <c r="X175" t="inlineStr"/>
      <c r="Y175" t="inlineStr">
        <is>
          <t>avicoltura;zootecnia</t>
        </is>
      </c>
      <c r="Z175" t="inlineStr">
        <is>
          <t>titulo da pagina: Homepage - Zootecnica | Poultry Magazine</t>
        </is>
      </c>
      <c r="AA175" t="inlineStr">
        <is>
          <t>meta description: Zootecnica is the magazine designed for every professional in the poul</t>
        </is>
      </c>
      <c r="AB175" t="inlineStr">
        <is>
          <t>nao sorteada</t>
        </is>
      </c>
      <c r="AC175" t="inlineStr">
        <is>
          <t>SIM</t>
        </is>
      </c>
      <c r="AE175" t="inlineStr"/>
      <c r="AF175" t="inlineStr"/>
    </row>
    <row r="176">
      <c r="A176" t="inlineStr">
        <is>
          <t>IT-DISC-2026-09-14-0175</t>
        </is>
      </c>
      <c r="B176" t="inlineStr">
        <is>
          <t>Consorzio Tutela Vini d'Abruzzo — Instagram ufficiale</t>
        </is>
      </c>
      <c r="C176" t="inlineStr">
        <is>
          <t>INSTAGRAM</t>
        </is>
      </c>
      <c r="D176" t="inlineStr">
        <is>
          <t>ORG</t>
        </is>
      </c>
      <c r="E176" t="inlineStr">
        <is>
          <t>Consorzio Tutela Vini d'Abruzzo</t>
        </is>
      </c>
      <c r="F176" t="inlineStr">
        <is>
          <t>https://www.instagram.com/vinidabruzzo</t>
        </is>
      </c>
      <c r="G176" t="inlineStr">
        <is>
          <t>https://www.instagram.com/vinidabruzzo</t>
        </is>
      </c>
      <c r="H176" t="inlineStr">
        <is>
          <t>https://www.instagram.com/accounts/login/?next=https%3A%2F%2Fwww.instagram.com%2Fvinidabruzzo&amp;is_from_rle</t>
        </is>
      </c>
      <c r="I176" t="n">
        <v>429</v>
      </c>
      <c r="J176" t="inlineStr">
        <is>
          <t>text/html</t>
        </is>
      </c>
      <c r="K176" t="n">
        <v>1</v>
      </c>
      <c r="L176" t="b">
        <v>1</v>
      </c>
      <c r="M176" t="b">
        <v>1</v>
      </c>
      <c r="N176" t="inlineStr">
        <is>
          <t>PROVED_BY_OWNER_SITE</t>
        </is>
      </c>
      <c r="O176" t="inlineStr">
        <is>
          <t>SIM</t>
        </is>
      </c>
      <c r="P176" t="inlineStr">
        <is>
          <t>SIM — declarado por dono italiano no proprio site</t>
        </is>
      </c>
      <c r="Q176" t="inlineStr">
        <is>
          <t>https://www.vinidabruzzo.it/</t>
        </is>
      </c>
      <c r="R176" t="inlineStr">
        <is>
          <t>sonda HTTP read-only (GET limitado, payload nao preservado) + declaracao do perfil no site oficial do dono (rota publica, secao 10)</t>
        </is>
      </c>
      <c r="S176" t="inlineStr">
        <is>
          <t>2026-09-14T11:25:45Z</t>
        </is>
      </c>
      <c r="T176" t="inlineStr">
        <is>
          <t>PASS</t>
        </is>
      </c>
      <c r="U176" t="inlineStr"/>
      <c r="V176" t="inlineStr">
        <is>
          <t>T10;T1</t>
        </is>
      </c>
      <c r="W176" t="inlineStr">
        <is>
          <t>ABRUZZO</t>
        </is>
      </c>
      <c r="X176" t="inlineStr">
        <is>
          <t>vino</t>
        </is>
      </c>
      <c r="Y176" t="inlineStr">
        <is>
          <t>vino;DOC</t>
        </is>
      </c>
      <c r="Z176" t="inlineStr">
        <is>
          <t xml:space="preserve">titulo da pagina: </t>
        </is>
      </c>
      <c r="AA176" t="inlineStr">
        <is>
          <t>site oficial do dono: https://www.vinidabruzzo.it/</t>
        </is>
      </c>
      <c r="AB176" t="inlineStr">
        <is>
          <t>nao sorteada</t>
        </is>
      </c>
      <c r="AC176" t="inlineStr">
        <is>
          <t>nao sorteada</t>
        </is>
      </c>
      <c r="AE176" t="inlineStr">
        <is>
          <t>HTTP_429,THIN_BODY</t>
        </is>
      </c>
      <c r="AF176" t="inlineStr"/>
    </row>
    <row r="177">
      <c r="A177" t="inlineStr">
        <is>
          <t>IT-DISC-2026-09-14-0176</t>
        </is>
      </c>
      <c r="B177" t="inlineStr">
        <is>
          <t>CRPV — Centro Ricerche Produzioni Vegetali — Instagram ufficiale</t>
        </is>
      </c>
      <c r="C177" t="inlineStr">
        <is>
          <t>INSTAGRAM</t>
        </is>
      </c>
      <c r="D177" t="inlineStr">
        <is>
          <t>ORG</t>
        </is>
      </c>
      <c r="E177" t="inlineStr">
        <is>
          <t>CRPV</t>
        </is>
      </c>
      <c r="F177" t="inlineStr">
        <is>
          <t>https://www.instagram.com/ri.nova.soc.coop</t>
        </is>
      </c>
      <c r="G177" t="inlineStr">
        <is>
          <t>https://www.instagram.com/ri.nova.soc.coop</t>
        </is>
      </c>
      <c r="H177" t="inlineStr">
        <is>
          <t>https://www.instagram.com/accounts/login/?next=https%3A%2F%2Fwww.instagram.com%2Fri.nova.soc.coop&amp;is_from_rle</t>
        </is>
      </c>
      <c r="I177" t="n">
        <v>429</v>
      </c>
      <c r="J177" t="inlineStr">
        <is>
          <t>text/html</t>
        </is>
      </c>
      <c r="K177" t="n">
        <v>1</v>
      </c>
      <c r="L177" t="b">
        <v>1</v>
      </c>
      <c r="M177" t="b">
        <v>1</v>
      </c>
      <c r="N177" t="inlineStr">
        <is>
          <t>PROVED_BY_OWNER_SITE</t>
        </is>
      </c>
      <c r="O177" t="inlineStr">
        <is>
          <t>SIM</t>
        </is>
      </c>
      <c r="P177" t="inlineStr">
        <is>
          <t>SIM — declarado por dono italiano no proprio site</t>
        </is>
      </c>
      <c r="Q177" t="inlineStr">
        <is>
          <t>https://www.crpv.it/</t>
        </is>
      </c>
      <c r="R177" t="inlineStr">
        <is>
          <t>sonda HTTP read-only (GET limitado, payload nao preservado) + declaracao do perfil no site oficial do dono (rota publica, secao 10)</t>
        </is>
      </c>
      <c r="S177" t="inlineStr">
        <is>
          <t>2026-09-14T11:25:36Z</t>
        </is>
      </c>
      <c r="T177" t="inlineStr">
        <is>
          <t>PASS</t>
        </is>
      </c>
      <c r="U177" t="inlineStr"/>
      <c r="V177" t="inlineStr">
        <is>
          <t>T5;T3;T1</t>
        </is>
      </c>
      <c r="W177" t="inlineStr">
        <is>
          <t>EMILIA-ROMAGNA</t>
        </is>
      </c>
      <c r="X177" t="inlineStr">
        <is>
          <t>ortofrutta</t>
        </is>
      </c>
      <c r="Y177" t="inlineStr">
        <is>
          <t>sperimentazione;ortofrutta;difesa</t>
        </is>
      </c>
      <c r="Z177" t="inlineStr">
        <is>
          <t xml:space="preserve">titulo da pagina: </t>
        </is>
      </c>
      <c r="AA177" t="inlineStr">
        <is>
          <t>site oficial do dono: https://www.crpv.it/</t>
        </is>
      </c>
      <c r="AB177" t="inlineStr">
        <is>
          <t>nao sorteada</t>
        </is>
      </c>
      <c r="AC177" t="inlineStr">
        <is>
          <t>nao sorteada</t>
        </is>
      </c>
      <c r="AE177" t="inlineStr">
        <is>
          <t>HTTP_429,THIN_BODY</t>
        </is>
      </c>
      <c r="AF177" t="inlineStr"/>
    </row>
    <row r="178">
      <c r="A178" t="inlineStr">
        <is>
          <t>IT-DISC-2026-09-14-0177</t>
        </is>
      </c>
      <c r="B178" t="inlineStr">
        <is>
          <t>Caviro — Instagram ufficiale</t>
        </is>
      </c>
      <c r="C178" t="inlineStr">
        <is>
          <t>INSTAGRAM</t>
        </is>
      </c>
      <c r="D178" t="inlineStr">
        <is>
          <t>ORG</t>
        </is>
      </c>
      <c r="E178" t="inlineStr">
        <is>
          <t>Caviro</t>
        </is>
      </c>
      <c r="F178" t="inlineStr">
        <is>
          <t>https://www.instagram.com/gruppocaviro</t>
        </is>
      </c>
      <c r="G178" t="inlineStr">
        <is>
          <t>https://www.instagram.com/gruppocaviro</t>
        </is>
      </c>
      <c r="H178" t="inlineStr">
        <is>
          <t>https://www.instagram.com/accounts/login/?next=https%3A%2F%2Fwww.instagram.com%2Fgruppocaviro&amp;is_from_rle</t>
        </is>
      </c>
      <c r="I178" t="n">
        <v>200</v>
      </c>
      <c r="J178" t="inlineStr">
        <is>
          <t>text/html</t>
        </is>
      </c>
      <c r="K178" t="n">
        <v>1</v>
      </c>
      <c r="L178" t="b">
        <v>1</v>
      </c>
      <c r="M178" t="b">
        <v>1</v>
      </c>
      <c r="N178" t="inlineStr">
        <is>
          <t>PROVED_BY_OWNER_SITE</t>
        </is>
      </c>
      <c r="O178" t="inlineStr">
        <is>
          <t>SIM</t>
        </is>
      </c>
      <c r="P178" t="inlineStr">
        <is>
          <t>SIM — declarado por dono italiano no proprio site</t>
        </is>
      </c>
      <c r="Q178" t="inlineStr">
        <is>
          <t>https://www.caviro.com/</t>
        </is>
      </c>
      <c r="R178" t="inlineStr">
        <is>
          <t>sonda HTTP read-only (GET limitado, payload nao preservado) + declaracao do perfil no site oficial do dono (rota publica, secao 10)</t>
        </is>
      </c>
      <c r="S178" t="inlineStr">
        <is>
          <t>2026-09-14T11:25:44Z</t>
        </is>
      </c>
      <c r="T178" t="inlineStr">
        <is>
          <t>PASS</t>
        </is>
      </c>
      <c r="U178" t="inlineStr"/>
      <c r="V178" t="inlineStr">
        <is>
          <t>T10;T1</t>
        </is>
      </c>
      <c r="W178" t="inlineStr">
        <is>
          <t>EMILIA-ROMAGNA</t>
        </is>
      </c>
      <c r="X178" t="inlineStr"/>
      <c r="Y178" t="inlineStr">
        <is>
          <t>cooperativa vitivinicola;economia circolare</t>
        </is>
      </c>
      <c r="Z178" t="inlineStr">
        <is>
          <t>titulo da pagina: Instagram</t>
        </is>
      </c>
      <c r="AA178" t="inlineStr">
        <is>
          <t>site oficial do dono: https://www.caviro.com/</t>
        </is>
      </c>
      <c r="AB178" t="inlineStr">
        <is>
          <t>CONFIRMA</t>
        </is>
      </c>
      <c r="AC178" t="inlineStr">
        <is>
          <t>SIM</t>
        </is>
      </c>
      <c r="AE178" t="inlineStr">
        <is>
          <t>PLATFORM_GENERIC_TITLE</t>
        </is>
      </c>
      <c r="AF178" t="inlineStr"/>
    </row>
    <row r="179">
      <c r="A179" t="inlineStr">
        <is>
          <t>IT-DISC-2026-09-14-0178</t>
        </is>
      </c>
      <c r="B179" t="inlineStr">
        <is>
          <t>Cifo — Instagram ufficiale</t>
        </is>
      </c>
      <c r="C179" t="inlineStr">
        <is>
          <t>INSTAGRAM</t>
        </is>
      </c>
      <c r="D179" t="inlineStr">
        <is>
          <t>ORG</t>
        </is>
      </c>
      <c r="E179" t="inlineStr">
        <is>
          <t>Cifo</t>
        </is>
      </c>
      <c r="F179" t="inlineStr">
        <is>
          <t>https://www.instagram.com/cifo_giardinaggio</t>
        </is>
      </c>
      <c r="G179" t="inlineStr">
        <is>
          <t>https://www.instagram.com/cifo_giardinaggio</t>
        </is>
      </c>
      <c r="H179" t="inlineStr">
        <is>
          <t>https://www.instagram.com/accounts/login/?next=https%3A%2F%2Fwww.instagram.com%2Fcifo_giardinaggio&amp;is_from_rle</t>
        </is>
      </c>
      <c r="I179" t="n">
        <v>429</v>
      </c>
      <c r="J179" t="inlineStr">
        <is>
          <t>text/html</t>
        </is>
      </c>
      <c r="K179" t="n">
        <v>1</v>
      </c>
      <c r="L179" t="b">
        <v>1</v>
      </c>
      <c r="M179" t="b">
        <v>1</v>
      </c>
      <c r="N179" t="inlineStr">
        <is>
          <t>PROVED_BY_OWNER_SITE</t>
        </is>
      </c>
      <c r="O179" t="inlineStr">
        <is>
          <t>SIM</t>
        </is>
      </c>
      <c r="P179" t="inlineStr">
        <is>
          <t>SIM — declarado por dono italiano no proprio site</t>
        </is>
      </c>
      <c r="Q179" t="inlineStr">
        <is>
          <t>https://www.cifo.it/</t>
        </is>
      </c>
      <c r="R179" t="inlineStr">
        <is>
          <t>sonda HTTP read-only (GET limitado, payload nao preservado) + declaracao do perfil no site oficial do dono (rota publica, secao 10)</t>
        </is>
      </c>
      <c r="S179" t="inlineStr">
        <is>
          <t>2026-09-14T11:25:42Z</t>
        </is>
      </c>
      <c r="T179" t="inlineStr">
        <is>
          <t>PASS</t>
        </is>
      </c>
      <c r="U179" t="inlineStr"/>
      <c r="V179" t="inlineStr">
        <is>
          <t>T9;T10</t>
        </is>
      </c>
      <c r="W179" t="inlineStr">
        <is>
          <t>EMILIA-ROMAGNA</t>
        </is>
      </c>
      <c r="X179" t="inlineStr"/>
      <c r="Y179" t="inlineStr">
        <is>
          <t>nutrizione vegetale</t>
        </is>
      </c>
      <c r="Z179" t="inlineStr">
        <is>
          <t xml:space="preserve">titulo da pagina: </t>
        </is>
      </c>
      <c r="AA179" t="inlineStr">
        <is>
          <t>site oficial do dono: https://www.cifo.it/</t>
        </is>
      </c>
      <c r="AB179" t="inlineStr">
        <is>
          <t>CONFIRMA</t>
        </is>
      </c>
      <c r="AC179" t="inlineStr">
        <is>
          <t>nao sorteada</t>
        </is>
      </c>
      <c r="AE179" t="inlineStr">
        <is>
          <t>HTTP_429,THIN_BODY</t>
        </is>
      </c>
      <c r="AF179" t="inlineStr"/>
    </row>
    <row r="180">
      <c r="A180" t="inlineStr">
        <is>
          <t>IT-DISC-2026-09-14-0179</t>
        </is>
      </c>
      <c r="B180" t="inlineStr">
        <is>
          <t>Consorzio di Tutela dell'Aceto Balsamico di Modena — Instagram ufficiale</t>
        </is>
      </c>
      <c r="C180" t="inlineStr">
        <is>
          <t>INSTAGRAM</t>
        </is>
      </c>
      <c r="D180" t="inlineStr">
        <is>
          <t>ORG</t>
        </is>
      </c>
      <c r="E180" t="inlineStr">
        <is>
          <t>Consorzio Aceto Balsamico di Modena</t>
        </is>
      </c>
      <c r="F180" t="inlineStr">
        <is>
          <t>https://www.instagram.com/acetobalsamicomodena</t>
        </is>
      </c>
      <c r="G180" t="inlineStr">
        <is>
          <t>https://www.instagram.com/acetobalsamicomodena</t>
        </is>
      </c>
      <c r="H180" t="inlineStr">
        <is>
          <t>https://www.instagram.com/accounts/login/?next=https%3A%2F%2Fwww.instagram.com%2Facetobalsamicomodena&amp;is_from_rle</t>
        </is>
      </c>
      <c r="I180" t="n">
        <v>429</v>
      </c>
      <c r="J180" t="inlineStr">
        <is>
          <t>text/html</t>
        </is>
      </c>
      <c r="K180" t="n">
        <v>1</v>
      </c>
      <c r="L180" t="b">
        <v>1</v>
      </c>
      <c r="M180" t="b">
        <v>1</v>
      </c>
      <c r="N180" t="inlineStr">
        <is>
          <t>PROVED_BY_OWNER_SITE</t>
        </is>
      </c>
      <c r="O180" t="inlineStr">
        <is>
          <t>SIM</t>
        </is>
      </c>
      <c r="P180" t="inlineStr">
        <is>
          <t>SIM — declarado por dono italiano no proprio site</t>
        </is>
      </c>
      <c r="Q180" t="inlineStr">
        <is>
          <t>https://www.consorziobalsamico.it/</t>
        </is>
      </c>
      <c r="R180" t="inlineStr">
        <is>
          <t>sonda HTTP read-only (GET limitado, payload nao preservado) + declaracao do perfil no site oficial do dono (rota publica, secao 10)</t>
        </is>
      </c>
      <c r="S180" t="inlineStr">
        <is>
          <t>2026-09-14T11:25:44Z</t>
        </is>
      </c>
      <c r="T180" t="inlineStr">
        <is>
          <t>PASS</t>
        </is>
      </c>
      <c r="U180" t="inlineStr"/>
      <c r="V180" t="inlineStr">
        <is>
          <t>T10</t>
        </is>
      </c>
      <c r="W180" t="inlineStr">
        <is>
          <t>EMILIA-ROMAGNA</t>
        </is>
      </c>
      <c r="X180" t="inlineStr"/>
      <c r="Y180" t="inlineStr">
        <is>
          <t>IGP;trasformazione</t>
        </is>
      </c>
      <c r="Z180" t="inlineStr">
        <is>
          <t xml:space="preserve">titulo da pagina: </t>
        </is>
      </c>
      <c r="AA180" t="inlineStr">
        <is>
          <t>site oficial do dono: https://www.consorziobalsamico.it/</t>
        </is>
      </c>
      <c r="AB180" t="inlineStr">
        <is>
          <t>nao sorteada</t>
        </is>
      </c>
      <c r="AC180" t="inlineStr">
        <is>
          <t>nao sorteada</t>
        </is>
      </c>
      <c r="AE180" t="inlineStr">
        <is>
          <t>HTTP_429,THIN_BODY</t>
        </is>
      </c>
      <c r="AF180" t="inlineStr"/>
    </row>
    <row r="181">
      <c r="A181" t="inlineStr">
        <is>
          <t>IT-DISC-2026-09-14-0180</t>
        </is>
      </c>
      <c r="B181" t="inlineStr">
        <is>
          <t>ERSA FVG — Agenzia regionale per lo sviluppo rurale — Instagram ufficiale</t>
        </is>
      </c>
      <c r="C181" t="inlineStr">
        <is>
          <t>INSTAGRAM</t>
        </is>
      </c>
      <c r="D181" t="inlineStr">
        <is>
          <t>ORG</t>
        </is>
      </c>
      <c r="E181" t="inlineStr">
        <is>
          <t>Regione Friuli-Venezia Giulia</t>
        </is>
      </c>
      <c r="F181" t="inlineStr">
        <is>
          <t>https://www.instagram.com/ersa_fvg_informa</t>
        </is>
      </c>
      <c r="G181" t="inlineStr">
        <is>
          <t>https://www.instagram.com/ersa_fvg_informa</t>
        </is>
      </c>
      <c r="H181" t="inlineStr">
        <is>
          <t>https://www.instagram.com/accounts/login/?next=https%3A%2F%2Fwww.instagram.com%2Fersa_fvg_informa&amp;is_from_rle</t>
        </is>
      </c>
      <c r="I181" t="n">
        <v>429</v>
      </c>
      <c r="J181" t="inlineStr">
        <is>
          <t>text/html</t>
        </is>
      </c>
      <c r="K181" t="n">
        <v>1</v>
      </c>
      <c r="L181" t="b">
        <v>1</v>
      </c>
      <c r="M181" t="b">
        <v>1</v>
      </c>
      <c r="N181" t="inlineStr">
        <is>
          <t>PROVED_BY_OWNER_SITE</t>
        </is>
      </c>
      <c r="O181" t="inlineStr">
        <is>
          <t>SIM</t>
        </is>
      </c>
      <c r="P181" t="inlineStr">
        <is>
          <t>SIM — declarado por dono italiano no proprio site</t>
        </is>
      </c>
      <c r="Q181" t="inlineStr">
        <is>
          <t>https://www.ersa.fvg.it/</t>
        </is>
      </c>
      <c r="R181" t="inlineStr">
        <is>
          <t>sonda HTTP read-only (GET limitado, payload nao preservado) + declaracao do perfil no site oficial do dono (rota publica, secao 10)</t>
        </is>
      </c>
      <c r="S181" t="inlineStr">
        <is>
          <t>2026-09-14T11:25:27Z</t>
        </is>
      </c>
      <c r="T181" t="inlineStr">
        <is>
          <t>PASS</t>
        </is>
      </c>
      <c r="U181" t="inlineStr"/>
      <c r="V181" t="inlineStr">
        <is>
          <t>T3;T1;T7</t>
        </is>
      </c>
      <c r="W181" t="inlineStr">
        <is>
          <t>FRIULI-VENEZIA GIULIA</t>
        </is>
      </c>
      <c r="X181" t="inlineStr">
        <is>
          <t>vite</t>
        </is>
      </c>
      <c r="Y181" t="inlineStr">
        <is>
          <t>servizio fitosanitario;vite;divulgazione</t>
        </is>
      </c>
      <c r="Z181" t="inlineStr">
        <is>
          <t xml:space="preserve">titulo da pagina: </t>
        </is>
      </c>
      <c r="AA181" t="inlineStr">
        <is>
          <t>site oficial do dono: https://www.ersa.fvg.it/</t>
        </is>
      </c>
      <c r="AB181" t="inlineStr">
        <is>
          <t>nao sorteada</t>
        </is>
      </c>
      <c r="AC181" t="inlineStr">
        <is>
          <t>nao sorteada</t>
        </is>
      </c>
      <c r="AE181" t="inlineStr">
        <is>
          <t>HTTP_429,THIN_BODY</t>
        </is>
      </c>
      <c r="AF181" t="inlineStr"/>
    </row>
    <row r="182">
      <c r="A182" t="inlineStr">
        <is>
          <t>IT-DISC-2026-09-14-0181</t>
        </is>
      </c>
      <c r="B182" t="inlineStr">
        <is>
          <t>ARSIAL — Agenzia Regionale Sviluppo Innovazione Agricoltura Lazio — Instagram ufficiale</t>
        </is>
      </c>
      <c r="C182" t="inlineStr">
        <is>
          <t>INSTAGRAM</t>
        </is>
      </c>
      <c r="D182" t="inlineStr">
        <is>
          <t>ORG</t>
        </is>
      </c>
      <c r="E182" t="inlineStr">
        <is>
          <t>Regione Lazio</t>
        </is>
      </c>
      <c r="F182" t="inlineStr">
        <is>
          <t>https://www.instagram.com/arsial.lazio</t>
        </is>
      </c>
      <c r="G182" t="inlineStr">
        <is>
          <t>https://www.instagram.com/arsial.lazio</t>
        </is>
      </c>
      <c r="H182" t="inlineStr">
        <is>
          <t>https://www.instagram.com/accounts/login/?next=https%3A%2F%2Fwww.instagram.com%2Farsial.lazio&amp;is_from_rle</t>
        </is>
      </c>
      <c r="I182" t="n">
        <v>429</v>
      </c>
      <c r="J182" t="inlineStr">
        <is>
          <t>text/html</t>
        </is>
      </c>
      <c r="K182" t="n">
        <v>1</v>
      </c>
      <c r="L182" t="b">
        <v>1</v>
      </c>
      <c r="M182" t="b">
        <v>1</v>
      </c>
      <c r="N182" t="inlineStr">
        <is>
          <t>PROVED_BY_OWNER_SITE</t>
        </is>
      </c>
      <c r="O182" t="inlineStr">
        <is>
          <t>SIM</t>
        </is>
      </c>
      <c r="P182" t="inlineStr">
        <is>
          <t>SIM — declarado por dono italiano no proprio site</t>
        </is>
      </c>
      <c r="Q182" t="inlineStr">
        <is>
          <t>https://www.arsial.it/</t>
        </is>
      </c>
      <c r="R182" t="inlineStr">
        <is>
          <t>sonda HTTP read-only (GET limitado, payload nao preservado) + declaracao do perfil no site oficial do dono (rota publica, secao 10)</t>
        </is>
      </c>
      <c r="S182" t="inlineStr">
        <is>
          <t>2026-09-14T11:25:28Z</t>
        </is>
      </c>
      <c r="T182" t="inlineStr">
        <is>
          <t>PASS</t>
        </is>
      </c>
      <c r="U182" t="inlineStr"/>
      <c r="V182" t="inlineStr">
        <is>
          <t>T1;T7;T3</t>
        </is>
      </c>
      <c r="W182" t="inlineStr">
        <is>
          <t>LAZIO</t>
        </is>
      </c>
      <c r="X182" t="inlineStr"/>
      <c r="Y182" t="inlineStr">
        <is>
          <t>sviluppo agricolo;biodiversita;assistenza</t>
        </is>
      </c>
      <c r="Z182" t="inlineStr">
        <is>
          <t xml:space="preserve">titulo da pagina: </t>
        </is>
      </c>
      <c r="AA182" t="inlineStr">
        <is>
          <t>site oficial do dono: https://www.arsial.it/</t>
        </is>
      </c>
      <c r="AB182" t="inlineStr">
        <is>
          <t>nao sorteada</t>
        </is>
      </c>
      <c r="AC182" t="inlineStr">
        <is>
          <t>nao sorteada</t>
        </is>
      </c>
      <c r="AE182" t="inlineStr">
        <is>
          <t>HTTP_429,THIN_BODY</t>
        </is>
      </c>
      <c r="AF182" t="inlineStr"/>
    </row>
    <row r="183">
      <c r="A183" t="inlineStr">
        <is>
          <t>IT-DISC-2026-09-14-0182</t>
        </is>
      </c>
      <c r="B183" t="inlineStr">
        <is>
          <t>ARPA Liguria — Instagram ufficiale</t>
        </is>
      </c>
      <c r="C183" t="inlineStr">
        <is>
          <t>INSTAGRAM</t>
        </is>
      </c>
      <c r="D183" t="inlineStr">
        <is>
          <t>ORG</t>
        </is>
      </c>
      <c r="E183" t="inlineStr">
        <is>
          <t>ARPAL</t>
        </is>
      </c>
      <c r="F183" t="inlineStr">
        <is>
          <t>https://www.instagram.com/arpalagenzia</t>
        </is>
      </c>
      <c r="G183" t="inlineStr">
        <is>
          <t>https://www.instagram.com/arpalagenzia</t>
        </is>
      </c>
      <c r="H183" t="inlineStr">
        <is>
          <t>https://www.instagram.com/accounts/login/?next=https%3A%2F%2Fwww.instagram.com%2Farpalagenzia&amp;is_from_rle</t>
        </is>
      </c>
      <c r="I183" t="n">
        <v>429</v>
      </c>
      <c r="J183" t="inlineStr">
        <is>
          <t>text/html</t>
        </is>
      </c>
      <c r="K183" t="n">
        <v>1</v>
      </c>
      <c r="L183" t="b">
        <v>1</v>
      </c>
      <c r="M183" t="b">
        <v>1</v>
      </c>
      <c r="N183" t="inlineStr">
        <is>
          <t>PROVED_BY_OWNER_SITE</t>
        </is>
      </c>
      <c r="O183" t="inlineStr">
        <is>
          <t>SIM</t>
        </is>
      </c>
      <c r="P183" t="inlineStr">
        <is>
          <t>SIM — declarado por dono italiano no proprio site</t>
        </is>
      </c>
      <c r="Q183" t="inlineStr">
        <is>
          <t>https://www.arpal.liguria.it/</t>
        </is>
      </c>
      <c r="R183" t="inlineStr">
        <is>
          <t>sonda HTTP read-only (GET limitado, payload nao preservado) + declaracao do perfil no site oficial do dono (rota publica, secao 10)</t>
        </is>
      </c>
      <c r="S183" t="inlineStr">
        <is>
          <t>2026-09-14T11:25:31Z</t>
        </is>
      </c>
      <c r="T183" t="inlineStr">
        <is>
          <t>PASS</t>
        </is>
      </c>
      <c r="U183" t="inlineStr"/>
      <c r="V183" t="inlineStr">
        <is>
          <t>T2;T12</t>
        </is>
      </c>
      <c r="W183" t="inlineStr">
        <is>
          <t>LIGURIA</t>
        </is>
      </c>
      <c r="X183" t="inlineStr"/>
      <c r="Y183" t="inlineStr">
        <is>
          <t>meteo;ambiente;allerta</t>
        </is>
      </c>
      <c r="Z183" t="inlineStr">
        <is>
          <t xml:space="preserve">titulo da pagina: </t>
        </is>
      </c>
      <c r="AA183" t="inlineStr">
        <is>
          <t>site oficial do dono: https://www.arpal.liguria.it/</t>
        </is>
      </c>
      <c r="AB183" t="inlineStr">
        <is>
          <t>nao sorteada</t>
        </is>
      </c>
      <c r="AC183" t="inlineStr">
        <is>
          <t>nao sorteada</t>
        </is>
      </c>
      <c r="AE183" t="inlineStr">
        <is>
          <t>HTTP_429,THIN_BODY</t>
        </is>
      </c>
      <c r="AF183" t="inlineStr"/>
    </row>
    <row r="184">
      <c r="A184" t="inlineStr">
        <is>
          <t>IT-DISC-2026-09-14-0183</t>
        </is>
      </c>
      <c r="B184" t="inlineStr">
        <is>
          <t>ARPA Lombardia — Instagram ufficiale</t>
        </is>
      </c>
      <c r="C184" t="inlineStr">
        <is>
          <t>INSTAGRAM</t>
        </is>
      </c>
      <c r="D184" t="inlineStr">
        <is>
          <t>ORG</t>
        </is>
      </c>
      <c r="E184" t="inlineStr">
        <is>
          <t>ARPA Lombardia</t>
        </is>
      </c>
      <c r="F184" t="inlineStr">
        <is>
          <t>https://www.instagram.com/arpa.lombardia</t>
        </is>
      </c>
      <c r="G184" t="inlineStr">
        <is>
          <t>https://www.instagram.com/arpa.lombardia</t>
        </is>
      </c>
      <c r="H184" t="inlineStr">
        <is>
          <t>https://www.instagram.com/accounts/login/?next=https%3A%2F%2Fwww.instagram.com%2Farpa.lombardia&amp;is_from_rle</t>
        </is>
      </c>
      <c r="I184" t="n">
        <v>429</v>
      </c>
      <c r="J184" t="inlineStr">
        <is>
          <t>text/html</t>
        </is>
      </c>
      <c r="K184" t="n">
        <v>1</v>
      </c>
      <c r="L184" t="b">
        <v>1</v>
      </c>
      <c r="M184" t="b">
        <v>1</v>
      </c>
      <c r="N184" t="inlineStr">
        <is>
          <t>PROVED_BY_OWNER_SITE</t>
        </is>
      </c>
      <c r="O184" t="inlineStr">
        <is>
          <t>SIM</t>
        </is>
      </c>
      <c r="P184" t="inlineStr">
        <is>
          <t>SIM — declarado por dono italiano no proprio site</t>
        </is>
      </c>
      <c r="Q184" t="inlineStr">
        <is>
          <t>https://www.arpalombardia.it/</t>
        </is>
      </c>
      <c r="R184" t="inlineStr">
        <is>
          <t>sonda HTTP read-only (GET limitado, payload nao preservado) + declaracao do perfil no site oficial do dono (rota publica, secao 10)</t>
        </is>
      </c>
      <c r="S184" t="inlineStr">
        <is>
          <t>2026-09-14T11:25:30Z</t>
        </is>
      </c>
      <c r="T184" t="inlineStr">
        <is>
          <t>PASS</t>
        </is>
      </c>
      <c r="U184" t="inlineStr"/>
      <c r="V184" t="inlineStr">
        <is>
          <t>T2;T12</t>
        </is>
      </c>
      <c r="W184" t="inlineStr">
        <is>
          <t>LOMBARDIA</t>
        </is>
      </c>
      <c r="X184" t="inlineStr"/>
      <c r="Y184" t="inlineStr">
        <is>
          <t>meteo;aria;acqua;agrometeo</t>
        </is>
      </c>
      <c r="Z184" t="inlineStr">
        <is>
          <t xml:space="preserve">titulo da pagina: </t>
        </is>
      </c>
      <c r="AA184" t="inlineStr">
        <is>
          <t>site oficial do dono: https://www.arpalombardia.it/</t>
        </is>
      </c>
      <c r="AB184" t="inlineStr">
        <is>
          <t>nao sorteada</t>
        </is>
      </c>
      <c r="AC184" t="inlineStr">
        <is>
          <t>nao sorteada</t>
        </is>
      </c>
      <c r="AE184" t="inlineStr">
        <is>
          <t>HTTP_429,THIN_BODY</t>
        </is>
      </c>
      <c r="AF184" t="inlineStr"/>
    </row>
    <row r="185">
      <c r="A185" t="inlineStr">
        <is>
          <t>IT-DISC-2026-09-14-0184</t>
        </is>
      </c>
      <c r="B185" t="inlineStr">
        <is>
          <t>Confagricoltura Lombardia — Instagram ufficiale</t>
        </is>
      </c>
      <c r="C185" t="inlineStr">
        <is>
          <t>INSTAGRAM</t>
        </is>
      </c>
      <c r="D185" t="inlineStr">
        <is>
          <t>ORG</t>
        </is>
      </c>
      <c r="E185" t="inlineStr">
        <is>
          <t>Confagricoltura</t>
        </is>
      </c>
      <c r="F185" t="inlineStr">
        <is>
          <t>https://www.instagram.com/confagricoltura_lombardia</t>
        </is>
      </c>
      <c r="G185" t="inlineStr">
        <is>
          <t>https://www.instagram.com/confagricoltura_lombardia</t>
        </is>
      </c>
      <c r="H185" t="inlineStr">
        <is>
          <t>https://www.instagram.com/accounts/login/?next=https%3A%2F%2Fwww.instagram.com%2Fconfagricoltura_lombardia&amp;is_from_rle</t>
        </is>
      </c>
      <c r="I185" t="n">
        <v>429</v>
      </c>
      <c r="J185" t="inlineStr">
        <is>
          <t>text/html</t>
        </is>
      </c>
      <c r="K185" t="n">
        <v>1</v>
      </c>
      <c r="L185" t="b">
        <v>1</v>
      </c>
      <c r="M185" t="b">
        <v>1</v>
      </c>
      <c r="N185" t="inlineStr">
        <is>
          <t>PROVED_BY_OWNER_SITE</t>
        </is>
      </c>
      <c r="O185" t="inlineStr">
        <is>
          <t>SIM</t>
        </is>
      </c>
      <c r="P185" t="inlineStr">
        <is>
          <t>SIM — declarado por dono italiano no proprio site</t>
        </is>
      </c>
      <c r="Q185" t="inlineStr">
        <is>
          <t>https://www.confagricolturalombardia.it/</t>
        </is>
      </c>
      <c r="R185" t="inlineStr">
        <is>
          <t>sonda HTTP read-only (GET limitado, payload nao preservado) + declaracao do perfil no site oficial do dono (rota publica, secao 10)</t>
        </is>
      </c>
      <c r="S185" t="inlineStr">
        <is>
          <t>2026-09-14T11:25:46Z</t>
        </is>
      </c>
      <c r="T185" t="inlineStr">
        <is>
          <t>PASS</t>
        </is>
      </c>
      <c r="U185" t="inlineStr"/>
      <c r="V185" t="inlineStr">
        <is>
          <t>T12;T7</t>
        </is>
      </c>
      <c r="W185" t="inlineStr">
        <is>
          <t>LOMBARDIA</t>
        </is>
      </c>
      <c r="X185" t="inlineStr"/>
      <c r="Y185" t="inlineStr">
        <is>
          <t>organizzazione agricola regionale</t>
        </is>
      </c>
      <c r="Z185" t="inlineStr">
        <is>
          <t xml:space="preserve">titulo da pagina: </t>
        </is>
      </c>
      <c r="AA185" t="inlineStr">
        <is>
          <t>site oficial do dono: https://www.confagricolturalombardia.it/</t>
        </is>
      </c>
      <c r="AB185" t="inlineStr">
        <is>
          <t>nao sorteada</t>
        </is>
      </c>
      <c r="AC185" t="inlineStr">
        <is>
          <t>nao sorteada</t>
        </is>
      </c>
      <c r="AE185" t="inlineStr">
        <is>
          <t>HTTP_429,THIN_BODY</t>
        </is>
      </c>
      <c r="AF185" t="inlineStr"/>
    </row>
    <row r="186">
      <c r="A186" t="inlineStr">
        <is>
          <t>IT-DISC-2026-09-14-0185</t>
        </is>
      </c>
      <c r="B186" t="inlineStr">
        <is>
          <t>Consorzio di Bonifica Est Ticino Villoresi — Instagram ufficiale</t>
        </is>
      </c>
      <c r="C186" t="inlineStr">
        <is>
          <t>INSTAGRAM</t>
        </is>
      </c>
      <c r="D186" t="inlineStr">
        <is>
          <t>ORG</t>
        </is>
      </c>
      <c r="E186" t="inlineStr">
        <is>
          <t>Consorzio Est Ticino Villoresi</t>
        </is>
      </c>
      <c r="F186" t="inlineStr">
        <is>
          <t>https://www.instagram.com/etvilloresi</t>
        </is>
      </c>
      <c r="G186" t="inlineStr">
        <is>
          <t>https://www.instagram.com/etvilloresi</t>
        </is>
      </c>
      <c r="H186" t="inlineStr">
        <is>
          <t>https://www.instagram.com/accounts/login/?next=https%3A%2F%2Fwww.instagram.com%2Fetvilloresi&amp;is_from_rle</t>
        </is>
      </c>
      <c r="I186" t="n">
        <v>429</v>
      </c>
      <c r="J186" t="inlineStr">
        <is>
          <t>text/html</t>
        </is>
      </c>
      <c r="K186" t="n">
        <v>1</v>
      </c>
      <c r="L186" t="b">
        <v>1</v>
      </c>
      <c r="M186" t="b">
        <v>1</v>
      </c>
      <c r="N186" t="inlineStr">
        <is>
          <t>PROVED_BY_OWNER_SITE</t>
        </is>
      </c>
      <c r="O186" t="inlineStr">
        <is>
          <t>SIM</t>
        </is>
      </c>
      <c r="P186" t="inlineStr">
        <is>
          <t>SIM — declarado por dono italiano no proprio site</t>
        </is>
      </c>
      <c r="Q186" t="inlineStr">
        <is>
          <t>https://www.etvilloresi.it/</t>
        </is>
      </c>
      <c r="R186" t="inlineStr">
        <is>
          <t>sonda HTTP read-only (GET limitado, payload nao preservado) + declaracao do perfil no site oficial do dono (rota publica, secao 10)</t>
        </is>
      </c>
      <c r="S186" t="inlineStr">
        <is>
          <t>2026-09-14T11:25:45Z</t>
        </is>
      </c>
      <c r="T186" t="inlineStr">
        <is>
          <t>PASS</t>
        </is>
      </c>
      <c r="U186" t="inlineStr"/>
      <c r="V186" t="inlineStr">
        <is>
          <t>T2;T1</t>
        </is>
      </c>
      <c r="W186" t="inlineStr">
        <is>
          <t>LOMBARDIA</t>
        </is>
      </c>
      <c r="X186" t="inlineStr"/>
      <c r="Y186" t="inlineStr">
        <is>
          <t>irrigazione;risaia;acqua</t>
        </is>
      </c>
      <c r="Z186" t="inlineStr">
        <is>
          <t xml:space="preserve">titulo da pagina: </t>
        </is>
      </c>
      <c r="AA186" t="inlineStr">
        <is>
          <t>site oficial do dono: https://www.etvilloresi.it/</t>
        </is>
      </c>
      <c r="AB186" t="inlineStr">
        <is>
          <t>CONFIRMA</t>
        </is>
      </c>
      <c r="AC186" t="inlineStr">
        <is>
          <t>nao sorteada</t>
        </is>
      </c>
      <c r="AE186" t="inlineStr">
        <is>
          <t>HTTP_429,THIN_BODY</t>
        </is>
      </c>
      <c r="AF186" t="inlineStr"/>
    </row>
    <row r="187">
      <c r="A187" t="inlineStr">
        <is>
          <t>IT-DISC-2026-09-14-0186</t>
        </is>
      </c>
      <c r="B187" t="inlineStr">
        <is>
          <t>Consorzio di Tutela del Grana Padano — Instagram ufficiale</t>
        </is>
      </c>
      <c r="C187" t="inlineStr">
        <is>
          <t>INSTAGRAM</t>
        </is>
      </c>
      <c r="D187" t="inlineStr">
        <is>
          <t>ORG</t>
        </is>
      </c>
      <c r="E187" t="inlineStr">
        <is>
          <t>Consorzio Tutela Grana Padano</t>
        </is>
      </c>
      <c r="F187" t="inlineStr">
        <is>
          <t>https://www.instagram.com/granapadano</t>
        </is>
      </c>
      <c r="G187" t="inlineStr">
        <is>
          <t>https://www.instagram.com/granapadano</t>
        </is>
      </c>
      <c r="H187" t="inlineStr">
        <is>
          <t>https://www.instagram.com/accounts/login/?next=https%3A%2F%2Fwww.instagram.com%2Fgranapadano&amp;is_from_rle</t>
        </is>
      </c>
      <c r="I187" t="n">
        <v>429</v>
      </c>
      <c r="J187" t="inlineStr">
        <is>
          <t>text/html</t>
        </is>
      </c>
      <c r="K187" t="n">
        <v>1</v>
      </c>
      <c r="L187" t="b">
        <v>1</v>
      </c>
      <c r="M187" t="b">
        <v>1</v>
      </c>
      <c r="N187" t="inlineStr">
        <is>
          <t>PROVED_BY_OWNER_SITE</t>
        </is>
      </c>
      <c r="O187" t="inlineStr">
        <is>
          <t>SIM</t>
        </is>
      </c>
      <c r="P187" t="inlineStr">
        <is>
          <t>SIM — declarado por dono italiano no proprio site</t>
        </is>
      </c>
      <c r="Q187" t="inlineStr">
        <is>
          <t>https://www.granapadano.it/</t>
        </is>
      </c>
      <c r="R187" t="inlineStr">
        <is>
          <t>sonda HTTP read-only (GET limitado, payload nao preservado) + declaracao do perfil no site oficial do dono (rota publica, secao 10)</t>
        </is>
      </c>
      <c r="S187" t="inlineStr">
        <is>
          <t>2026-09-14T11:25:42Z</t>
        </is>
      </c>
      <c r="T187" t="inlineStr">
        <is>
          <t>PASS</t>
        </is>
      </c>
      <c r="U187" t="inlineStr"/>
      <c r="V187" t="inlineStr">
        <is>
          <t>T10;T1</t>
        </is>
      </c>
      <c r="W187" t="inlineStr">
        <is>
          <t>LOMBARDIA</t>
        </is>
      </c>
      <c r="X187" t="inlineStr">
        <is>
          <t>latte</t>
        </is>
      </c>
      <c r="Y187" t="inlineStr">
        <is>
          <t>DOP;latte;filiera</t>
        </is>
      </c>
      <c r="Z187" t="inlineStr">
        <is>
          <t xml:space="preserve">titulo da pagina: </t>
        </is>
      </c>
      <c r="AA187" t="inlineStr">
        <is>
          <t>site oficial do dono: https://www.granapadano.it/</t>
        </is>
      </c>
      <c r="AB187" t="inlineStr">
        <is>
          <t>nao sorteada</t>
        </is>
      </c>
      <c r="AC187" t="inlineStr">
        <is>
          <t>nao sorteada</t>
        </is>
      </c>
      <c r="AE187" t="inlineStr">
        <is>
          <t>HTTP_429,THIN_BODY</t>
        </is>
      </c>
      <c r="AF187" t="inlineStr"/>
    </row>
    <row r="188">
      <c r="A188" t="inlineStr">
        <is>
          <t>IT-DISC-2026-09-14-0187</t>
        </is>
      </c>
      <c r="B188" t="inlineStr">
        <is>
          <t>Fondazione Minoprio — Instagram ufficiale</t>
        </is>
      </c>
      <c r="C188" t="inlineStr">
        <is>
          <t>INSTAGRAM</t>
        </is>
      </c>
      <c r="D188" t="inlineStr">
        <is>
          <t>ORG</t>
        </is>
      </c>
      <c r="E188" t="inlineStr">
        <is>
          <t>Fondazione Minoprio</t>
        </is>
      </c>
      <c r="F188" t="inlineStr">
        <is>
          <t>https://www.instagram.com/fondminoprio</t>
        </is>
      </c>
      <c r="G188" t="inlineStr">
        <is>
          <t>https://www.instagram.com/fondminoprio</t>
        </is>
      </c>
      <c r="H188" t="inlineStr">
        <is>
          <t>https://www.instagram.com/accounts/login/?next=https%3A%2F%2Fwww.instagram.com%2Ffondminoprio&amp;is_from_rle</t>
        </is>
      </c>
      <c r="I188" t="n">
        <v>429</v>
      </c>
      <c r="J188" t="inlineStr">
        <is>
          <t>text/html</t>
        </is>
      </c>
      <c r="K188" t="n">
        <v>1</v>
      </c>
      <c r="L188" t="b">
        <v>1</v>
      </c>
      <c r="M188" t="b">
        <v>1</v>
      </c>
      <c r="N188" t="inlineStr">
        <is>
          <t>PROVED_BY_OWNER_SITE</t>
        </is>
      </c>
      <c r="O188" t="inlineStr">
        <is>
          <t>SIM</t>
        </is>
      </c>
      <c r="P188" t="inlineStr">
        <is>
          <t>SIM — declarado por dono italiano no proprio site</t>
        </is>
      </c>
      <c r="Q188" t="inlineStr">
        <is>
          <t>https://www.fondazioneminoprio.it/</t>
        </is>
      </c>
      <c r="R188" t="inlineStr">
        <is>
          <t>sonda HTTP read-only (GET limitado, payload nao preservado) + declaracao do perfil no site oficial do dono (rota publica, secao 10)</t>
        </is>
      </c>
      <c r="S188" t="inlineStr">
        <is>
          <t>2026-09-14T11:25:36Z</t>
        </is>
      </c>
      <c r="T188" t="inlineStr">
        <is>
          <t>PASS</t>
        </is>
      </c>
      <c r="U188" t="inlineStr"/>
      <c r="V188" t="inlineStr">
        <is>
          <t>T5;T7;T1</t>
        </is>
      </c>
      <c r="W188" t="inlineStr">
        <is>
          <t>LOMBARDIA</t>
        </is>
      </c>
      <c r="X188" t="inlineStr"/>
      <c r="Y188" t="inlineStr">
        <is>
          <t>formazione;floricoltura;sperimentazione</t>
        </is>
      </c>
      <c r="Z188" t="inlineStr">
        <is>
          <t xml:space="preserve">titulo da pagina: </t>
        </is>
      </c>
      <c r="AA188" t="inlineStr">
        <is>
          <t>site oficial do dono: https://www.fondazioneminoprio.it/</t>
        </is>
      </c>
      <c r="AB188" t="inlineStr">
        <is>
          <t>nao sorteada</t>
        </is>
      </c>
      <c r="AC188" t="inlineStr">
        <is>
          <t>nao sorteada</t>
        </is>
      </c>
      <c r="AE188" t="inlineStr">
        <is>
          <t>HTTP_429,THIN_BODY</t>
        </is>
      </c>
      <c r="AF188" t="inlineStr"/>
    </row>
    <row r="189">
      <c r="A189" t="inlineStr">
        <is>
          <t>IT-DISC-2026-09-14-0188</t>
        </is>
      </c>
      <c r="B189" t="inlineStr">
        <is>
          <t>ASSAM Marche — Agenzia Servizi Settore Agroalimentare delle Marche — Instagram ufficiale</t>
        </is>
      </c>
      <c r="C189" t="inlineStr">
        <is>
          <t>INSTAGRAM</t>
        </is>
      </c>
      <c r="D189" t="inlineStr">
        <is>
          <t>ORG</t>
        </is>
      </c>
      <c r="E189" t="inlineStr">
        <is>
          <t>Regione Marche</t>
        </is>
      </c>
      <c r="F189" t="inlineStr">
        <is>
          <t>https://www.instagram.com/amapmarche</t>
        </is>
      </c>
      <c r="G189" t="inlineStr">
        <is>
          <t>https://www.instagram.com/amapmarche</t>
        </is>
      </c>
      <c r="H189" t="inlineStr">
        <is>
          <t>https://www.instagram.com/accounts/login/?next=https%3A%2F%2Fwww.instagram.com%2Famapmarche&amp;is_from_rle</t>
        </is>
      </c>
      <c r="I189" t="n">
        <v>429</v>
      </c>
      <c r="J189" t="inlineStr">
        <is>
          <t>text/html</t>
        </is>
      </c>
      <c r="K189" t="n">
        <v>1</v>
      </c>
      <c r="L189" t="b">
        <v>1</v>
      </c>
      <c r="M189" t="b">
        <v>1</v>
      </c>
      <c r="N189" t="inlineStr">
        <is>
          <t>PROVED_BY_OWNER_SITE</t>
        </is>
      </c>
      <c r="O189" t="inlineStr">
        <is>
          <t>SIM</t>
        </is>
      </c>
      <c r="P189" t="inlineStr">
        <is>
          <t>SIM — declarado por dono italiano no proprio site</t>
        </is>
      </c>
      <c r="Q189" t="inlineStr">
        <is>
          <t>https://www.assam.marche.it/</t>
        </is>
      </c>
      <c r="R189" t="inlineStr">
        <is>
          <t>sonda HTTP read-only (GET limitado, payload nao preservado) + declaracao do perfil no site oficial do dono (rota publica, secao 10)</t>
        </is>
      </c>
      <c r="S189" t="inlineStr">
        <is>
          <t>2026-09-14T11:25:28Z</t>
        </is>
      </c>
      <c r="T189" t="inlineStr">
        <is>
          <t>PASS</t>
        </is>
      </c>
      <c r="U189" t="inlineStr"/>
      <c r="V189" t="inlineStr">
        <is>
          <t>T3;T2;T7</t>
        </is>
      </c>
      <c r="W189" t="inlineStr">
        <is>
          <t>MARCHE</t>
        </is>
      </c>
      <c r="X189" t="inlineStr"/>
      <c r="Y189" t="inlineStr">
        <is>
          <t>servizio fitosanitario;agrometeo;assistenza tecnica</t>
        </is>
      </c>
      <c r="Z189" t="inlineStr">
        <is>
          <t xml:space="preserve">titulo da pagina: </t>
        </is>
      </c>
      <c r="AA189" t="inlineStr">
        <is>
          <t>site oficial do dono: https://www.assam.marche.it/</t>
        </is>
      </c>
      <c r="AB189" t="inlineStr">
        <is>
          <t>nao sorteada</t>
        </is>
      </c>
      <c r="AC189" t="inlineStr">
        <is>
          <t>nao sorteada</t>
        </is>
      </c>
      <c r="AE189" t="inlineStr">
        <is>
          <t>HTTP_429,THIN_BODY</t>
        </is>
      </c>
      <c r="AF189" t="inlineStr"/>
    </row>
    <row r="190">
      <c r="A190" t="inlineStr">
        <is>
          <t>IT-DISC-2026-09-14-0189</t>
        </is>
      </c>
      <c r="B190" t="inlineStr">
        <is>
          <t>ARPA Piemonte — Instagram ufficiale</t>
        </is>
      </c>
      <c r="C190" t="inlineStr">
        <is>
          <t>INSTAGRAM</t>
        </is>
      </c>
      <c r="D190" t="inlineStr">
        <is>
          <t>ORG</t>
        </is>
      </c>
      <c r="E190" t="inlineStr">
        <is>
          <t>ARPA Piemonte</t>
        </is>
      </c>
      <c r="F190" t="inlineStr">
        <is>
          <t>https://www.instagram.com/arpapiemonte</t>
        </is>
      </c>
      <c r="G190" t="inlineStr">
        <is>
          <t>https://www.instagram.com/arpapiemonte</t>
        </is>
      </c>
      <c r="H190" t="inlineStr">
        <is>
          <t>https://www.instagram.com/accounts/login/?next=https%3A%2F%2Fwww.instagram.com%2Farpapiemonte&amp;is_from_rle</t>
        </is>
      </c>
      <c r="I190" t="n">
        <v>429</v>
      </c>
      <c r="J190" t="inlineStr">
        <is>
          <t>text/html</t>
        </is>
      </c>
      <c r="K190" t="n">
        <v>1</v>
      </c>
      <c r="L190" t="b">
        <v>1</v>
      </c>
      <c r="M190" t="b">
        <v>1</v>
      </c>
      <c r="N190" t="inlineStr">
        <is>
          <t>PROVED_BY_OWNER_SITE</t>
        </is>
      </c>
      <c r="O190" t="inlineStr">
        <is>
          <t>SIM</t>
        </is>
      </c>
      <c r="P190" t="inlineStr">
        <is>
          <t>SIM — declarado por dono italiano no proprio site</t>
        </is>
      </c>
      <c r="Q190" t="inlineStr">
        <is>
          <t>https://www.arpa.piemonte.it/</t>
        </is>
      </c>
      <c r="R190" t="inlineStr">
        <is>
          <t>sonda HTTP read-only (GET limitado, payload nao preservado) + declaracao do perfil no site oficial do dono (rota publica, secao 10)</t>
        </is>
      </c>
      <c r="S190" t="inlineStr">
        <is>
          <t>2026-09-14T11:25:30Z</t>
        </is>
      </c>
      <c r="T190" t="inlineStr">
        <is>
          <t>PASS</t>
        </is>
      </c>
      <c r="U190" t="inlineStr"/>
      <c r="V190" t="inlineStr">
        <is>
          <t>T2;T12</t>
        </is>
      </c>
      <c r="W190" t="inlineStr">
        <is>
          <t>PIEMONTE</t>
        </is>
      </c>
      <c r="X190" t="inlineStr"/>
      <c r="Y190" t="inlineStr">
        <is>
          <t>meteo;clima;agrometeorologia</t>
        </is>
      </c>
      <c r="Z190" t="inlineStr">
        <is>
          <t xml:space="preserve">titulo da pagina: </t>
        </is>
      </c>
      <c r="AA190" t="inlineStr">
        <is>
          <t>site oficial do dono: https://www.arpa.piemonte.it/</t>
        </is>
      </c>
      <c r="AB190" t="inlineStr">
        <is>
          <t>nao sorteada</t>
        </is>
      </c>
      <c r="AC190" t="inlineStr">
        <is>
          <t>nao sorteada</t>
        </is>
      </c>
      <c r="AE190" t="inlineStr">
        <is>
          <t>HTTP_429,THIN_BODY</t>
        </is>
      </c>
      <c r="AF190" t="inlineStr"/>
    </row>
    <row r="191">
      <c r="A191" t="inlineStr">
        <is>
          <t>IT-DISC-2026-09-14-0190</t>
        </is>
      </c>
      <c r="B191" t="inlineStr">
        <is>
          <t>Agrilevante — Instagram ufficiale</t>
        </is>
      </c>
      <c r="C191" t="inlineStr">
        <is>
          <t>INSTAGRAM</t>
        </is>
      </c>
      <c r="D191" t="inlineStr">
        <is>
          <t>ORG</t>
        </is>
      </c>
      <c r="E191" t="inlineStr">
        <is>
          <t>FederUnacoma</t>
        </is>
      </c>
      <c r="F191" t="inlineStr">
        <is>
          <t>https://www.instagram.com/agrilevantebyeima</t>
        </is>
      </c>
      <c r="G191" t="inlineStr">
        <is>
          <t>https://www.instagram.com/agrilevantebyeima</t>
        </is>
      </c>
      <c r="H191" t="inlineStr">
        <is>
          <t>https://www.instagram.com/accounts/login/?next=https%3A%2F%2Fwww.instagram.com%2Fagrilevantebyeima&amp;is_from_rle</t>
        </is>
      </c>
      <c r="I191" t="n">
        <v>429</v>
      </c>
      <c r="J191" t="inlineStr">
        <is>
          <t>text/html</t>
        </is>
      </c>
      <c r="K191" t="n">
        <v>1</v>
      </c>
      <c r="L191" t="b">
        <v>1</v>
      </c>
      <c r="M191" t="b">
        <v>1</v>
      </c>
      <c r="N191" t="inlineStr">
        <is>
          <t>PROVED_BY_OWNER_SITE</t>
        </is>
      </c>
      <c r="O191" t="inlineStr">
        <is>
          <t>SIM</t>
        </is>
      </c>
      <c r="P191" t="inlineStr">
        <is>
          <t>SIM — declarado por dono italiano no proprio site</t>
        </is>
      </c>
      <c r="Q191" t="inlineStr">
        <is>
          <t>https://www.agrilevante.eu/</t>
        </is>
      </c>
      <c r="R191" t="inlineStr">
        <is>
          <t>sonda HTTP read-only (GET limitado, payload nao preservado) + declaracao do perfil no site oficial do dono (rota publica, secao 10)</t>
        </is>
      </c>
      <c r="S191" t="inlineStr">
        <is>
          <t>2026-09-14T11:25:39Z</t>
        </is>
      </c>
      <c r="T191" t="inlineStr">
        <is>
          <t>PASS</t>
        </is>
      </c>
      <c r="U191" t="inlineStr"/>
      <c r="V191" t="inlineStr">
        <is>
          <t>T11;T10</t>
        </is>
      </c>
      <c r="W191" t="inlineStr">
        <is>
          <t>PUGLIA</t>
        </is>
      </c>
      <c r="X191" t="inlineStr"/>
      <c r="Y191" t="inlineStr">
        <is>
          <t>fiera meccanizzazione mediterraneo</t>
        </is>
      </c>
      <c r="Z191" t="inlineStr">
        <is>
          <t xml:space="preserve">titulo da pagina: </t>
        </is>
      </c>
      <c r="AA191" t="inlineStr">
        <is>
          <t>site oficial do dono: https://www.agrilevante.eu/</t>
        </is>
      </c>
      <c r="AB191" t="inlineStr">
        <is>
          <t>nao sorteada</t>
        </is>
      </c>
      <c r="AC191" t="inlineStr">
        <is>
          <t>nao sorteada</t>
        </is>
      </c>
      <c r="AE191" t="inlineStr">
        <is>
          <t>HTTP_429,THIN_BODY</t>
        </is>
      </c>
      <c r="AF191" t="inlineStr"/>
    </row>
    <row r="192">
      <c r="A192" t="inlineStr">
        <is>
          <t>IT-DISC-2026-09-14-0191</t>
        </is>
      </c>
      <c r="B192" t="inlineStr">
        <is>
          <t>Consorzio Tutela Pecorino Romano — Instagram ufficiale</t>
        </is>
      </c>
      <c r="C192" t="inlineStr">
        <is>
          <t>INSTAGRAM</t>
        </is>
      </c>
      <c r="D192" t="inlineStr">
        <is>
          <t>ORG</t>
        </is>
      </c>
      <c r="E192" t="inlineStr">
        <is>
          <t>Consorzio Pecorino Romano</t>
        </is>
      </c>
      <c r="F192" t="inlineStr">
        <is>
          <t>https://www.instagram.com/consorziopecorinoromano</t>
        </is>
      </c>
      <c r="G192" t="inlineStr">
        <is>
          <t>https://www.instagram.com/consorziopecorinoromano</t>
        </is>
      </c>
      <c r="H192" t="inlineStr">
        <is>
          <t>https://www.instagram.com/accounts/login/?next=https%3A%2F%2Fwww.instagram.com%2Fconsorziopecorinoromano&amp;is_from_rle</t>
        </is>
      </c>
      <c r="I192" t="n">
        <v>429</v>
      </c>
      <c r="J192" t="inlineStr">
        <is>
          <t>text/html</t>
        </is>
      </c>
      <c r="K192" t="n">
        <v>1</v>
      </c>
      <c r="L192" t="b">
        <v>1</v>
      </c>
      <c r="M192" t="b">
        <v>1</v>
      </c>
      <c r="N192" t="inlineStr">
        <is>
          <t>PROVED_BY_OWNER_SITE</t>
        </is>
      </c>
      <c r="O192" t="inlineStr">
        <is>
          <t>SIM</t>
        </is>
      </c>
      <c r="P192" t="inlineStr">
        <is>
          <t>SIM — declarado por dono italiano no proprio site</t>
        </is>
      </c>
      <c r="Q192" t="inlineStr">
        <is>
          <t>https://www.pecorinoromano.com/</t>
        </is>
      </c>
      <c r="R192" t="inlineStr">
        <is>
          <t>sonda HTTP read-only (GET limitado, payload nao preservado) + declaracao do perfil no site oficial do dono (rota publica, secao 10)</t>
        </is>
      </c>
      <c r="S192" t="inlineStr">
        <is>
          <t>2026-09-14T11:25:44Z</t>
        </is>
      </c>
      <c r="T192" t="inlineStr">
        <is>
          <t>PASS</t>
        </is>
      </c>
      <c r="U192" t="inlineStr"/>
      <c r="V192" t="inlineStr">
        <is>
          <t>T10</t>
        </is>
      </c>
      <c r="W192" t="inlineStr">
        <is>
          <t>SARDEGNA</t>
        </is>
      </c>
      <c r="X192" t="inlineStr">
        <is>
          <t>vino</t>
        </is>
      </c>
      <c r="Y192" t="inlineStr">
        <is>
          <t>DOP;ovino</t>
        </is>
      </c>
      <c r="Z192" t="inlineStr">
        <is>
          <t xml:space="preserve">titulo da pagina: </t>
        </is>
      </c>
      <c r="AA192" t="inlineStr">
        <is>
          <t>site oficial do dono: https://www.pecorinoromano.com/</t>
        </is>
      </c>
      <c r="AB192" t="inlineStr">
        <is>
          <t>nao sorteada</t>
        </is>
      </c>
      <c r="AC192" t="inlineStr">
        <is>
          <t>nao sorteada</t>
        </is>
      </c>
      <c r="AE192" t="inlineStr">
        <is>
          <t>HTTP_429,THIN_BODY</t>
        </is>
      </c>
      <c r="AF192" t="inlineStr"/>
    </row>
    <row r="193">
      <c r="A193" t="inlineStr">
        <is>
          <t>IT-DISC-2026-09-14-0192</t>
        </is>
      </c>
      <c r="B193" t="inlineStr">
        <is>
          <t>Consorzio di Tutela Arancia Rossa di Sicilia IGP — Instagram ufficiale</t>
        </is>
      </c>
      <c r="C193" t="inlineStr">
        <is>
          <t>INSTAGRAM</t>
        </is>
      </c>
      <c r="D193" t="inlineStr">
        <is>
          <t>ORG</t>
        </is>
      </c>
      <c r="E193" t="inlineStr">
        <is>
          <t>Consorzio Arancia Rossa di Sicilia</t>
        </is>
      </c>
      <c r="F193" t="inlineStr">
        <is>
          <t>https://www.instagram.com/aranciarossaigp</t>
        </is>
      </c>
      <c r="G193" t="inlineStr">
        <is>
          <t>https://www.instagram.com/aranciarossaigp</t>
        </is>
      </c>
      <c r="H193" t="inlineStr">
        <is>
          <t>https://www.instagram.com/accounts/login/?next=https%3A%2F%2Fwww.instagram.com%2Faranciarossaigp&amp;is_from_rle</t>
        </is>
      </c>
      <c r="I193" t="n">
        <v>429</v>
      </c>
      <c r="J193" t="inlineStr">
        <is>
          <t>text/html</t>
        </is>
      </c>
      <c r="K193" t="n">
        <v>1</v>
      </c>
      <c r="L193" t="b">
        <v>1</v>
      </c>
      <c r="M193" t="b">
        <v>1</v>
      </c>
      <c r="N193" t="inlineStr">
        <is>
          <t>PROVED_BY_OWNER_SITE</t>
        </is>
      </c>
      <c r="O193" t="inlineStr">
        <is>
          <t>SIM</t>
        </is>
      </c>
      <c r="P193" t="inlineStr">
        <is>
          <t>SIM — declarado por dono italiano no proprio site</t>
        </is>
      </c>
      <c r="Q193" t="inlineStr">
        <is>
          <t>https://www.tutelaaranciarossa.it/</t>
        </is>
      </c>
      <c r="R193" t="inlineStr">
        <is>
          <t>sonda HTTP read-only (GET limitado, payload nao preservado) + declaracao do perfil no site oficial do dono (rota publica, secao 10)</t>
        </is>
      </c>
      <c r="S193" t="inlineStr">
        <is>
          <t>2026-09-14T11:25:44Z</t>
        </is>
      </c>
      <c r="T193" t="inlineStr">
        <is>
          <t>PASS</t>
        </is>
      </c>
      <c r="U193" t="inlineStr"/>
      <c r="V193" t="inlineStr">
        <is>
          <t>T10;T1</t>
        </is>
      </c>
      <c r="W193" t="inlineStr">
        <is>
          <t>SICILIA</t>
        </is>
      </c>
      <c r="X193" t="inlineStr">
        <is>
          <t>agrumi</t>
        </is>
      </c>
      <c r="Y193" t="inlineStr">
        <is>
          <t>agrumi;IGP</t>
        </is>
      </c>
      <c r="Z193" t="inlineStr">
        <is>
          <t xml:space="preserve">titulo da pagina: </t>
        </is>
      </c>
      <c r="AA193" t="inlineStr">
        <is>
          <t>site oficial do dono: https://www.tutelaaranciarossa.it/</t>
        </is>
      </c>
      <c r="AB193" t="inlineStr">
        <is>
          <t>nao sorteada</t>
        </is>
      </c>
      <c r="AC193" t="inlineStr">
        <is>
          <t>nao sorteada</t>
        </is>
      </c>
      <c r="AE193" t="inlineStr">
        <is>
          <t>HTTP_429,THIN_BODY</t>
        </is>
      </c>
      <c r="AF193" t="inlineStr"/>
    </row>
    <row r="194">
      <c r="A194" t="inlineStr">
        <is>
          <t>IT-DISC-2026-09-14-0193</t>
        </is>
      </c>
      <c r="B194" t="inlineStr">
        <is>
          <t>Consorzio Vino Chianti Classico — Instagram ufficiale</t>
        </is>
      </c>
      <c r="C194" t="inlineStr">
        <is>
          <t>INSTAGRAM</t>
        </is>
      </c>
      <c r="D194" t="inlineStr">
        <is>
          <t>ORG</t>
        </is>
      </c>
      <c r="E194" t="inlineStr">
        <is>
          <t>Consorzio Vino Chianti Classico</t>
        </is>
      </c>
      <c r="F194" t="inlineStr">
        <is>
          <t>https://www.instagram.com/chianticlassico</t>
        </is>
      </c>
      <c r="G194" t="inlineStr">
        <is>
          <t>https://www.instagram.com/chianticlassico</t>
        </is>
      </c>
      <c r="H194" t="inlineStr">
        <is>
          <t>https://www.instagram.com/accounts/login/?next=https%3A%2F%2Fwww.instagram.com%2Fchianticlassico&amp;is_from_rle</t>
        </is>
      </c>
      <c r="I194" t="n">
        <v>429</v>
      </c>
      <c r="J194" t="inlineStr">
        <is>
          <t>text/html</t>
        </is>
      </c>
      <c r="K194" t="n">
        <v>1</v>
      </c>
      <c r="L194" t="b">
        <v>1</v>
      </c>
      <c r="M194" t="b">
        <v>1</v>
      </c>
      <c r="N194" t="inlineStr">
        <is>
          <t>PROVED_BY_OWNER_SITE</t>
        </is>
      </c>
      <c r="O194" t="inlineStr">
        <is>
          <t>SIM</t>
        </is>
      </c>
      <c r="P194" t="inlineStr">
        <is>
          <t>SIM — declarado por dono italiano no proprio site</t>
        </is>
      </c>
      <c r="Q194" t="inlineStr">
        <is>
          <t>https://www.chianticlassico.com/</t>
        </is>
      </c>
      <c r="R194" t="inlineStr">
        <is>
          <t>sonda HTTP read-only (GET limitado, payload nao preservado) + declaracao do perfil no site oficial do dono (rota publica, secao 10)</t>
        </is>
      </c>
      <c r="S194" t="inlineStr">
        <is>
          <t>2026-09-14T11:25:43Z</t>
        </is>
      </c>
      <c r="T194" t="inlineStr">
        <is>
          <t>PASS</t>
        </is>
      </c>
      <c r="U194" t="inlineStr"/>
      <c r="V194" t="inlineStr">
        <is>
          <t>T10;T1</t>
        </is>
      </c>
      <c r="W194" t="inlineStr">
        <is>
          <t>TOSCANA</t>
        </is>
      </c>
      <c r="X194" t="inlineStr">
        <is>
          <t>vino</t>
        </is>
      </c>
      <c r="Y194" t="inlineStr">
        <is>
          <t>vino;DOCG;viticoltura</t>
        </is>
      </c>
      <c r="Z194" t="inlineStr">
        <is>
          <t xml:space="preserve">titulo da pagina: </t>
        </is>
      </c>
      <c r="AA194" t="inlineStr">
        <is>
          <t>site oficial do dono: https://www.chianticlassico.com/</t>
        </is>
      </c>
      <c r="AB194" t="inlineStr">
        <is>
          <t>nao sorteada</t>
        </is>
      </c>
      <c r="AC194" t="inlineStr">
        <is>
          <t>nao sorteada</t>
        </is>
      </c>
      <c r="AE194" t="inlineStr">
        <is>
          <t>HTTP_429,THIN_BODY</t>
        </is>
      </c>
      <c r="AF194" t="inlineStr"/>
    </row>
    <row r="195">
      <c r="A195" t="inlineStr">
        <is>
          <t>IT-DISC-2026-09-14-0194</t>
        </is>
      </c>
      <c r="B195" t="inlineStr">
        <is>
          <t>Consorzio del Vino Brunello di Montalcino — Instagram ufficiale</t>
        </is>
      </c>
      <c r="C195" t="inlineStr">
        <is>
          <t>INSTAGRAM</t>
        </is>
      </c>
      <c r="D195" t="inlineStr">
        <is>
          <t>ORG</t>
        </is>
      </c>
      <c r="E195" t="inlineStr">
        <is>
          <t>Consorzio Brunello di Montalcino</t>
        </is>
      </c>
      <c r="F195" t="inlineStr">
        <is>
          <t>https://www.instagram.com/brunellodimontalcino</t>
        </is>
      </c>
      <c r="G195" t="inlineStr">
        <is>
          <t>https://www.instagram.com/brunellodimontalcino</t>
        </is>
      </c>
      <c r="H195" t="inlineStr">
        <is>
          <t>https://www.instagram.com/accounts/login/?next=https%3A%2F%2Fwww.instagram.com%2Fbrunellodimontalcino&amp;is_from_rle</t>
        </is>
      </c>
      <c r="I195" t="n">
        <v>429</v>
      </c>
      <c r="J195" t="inlineStr">
        <is>
          <t>text/html</t>
        </is>
      </c>
      <c r="K195" t="n">
        <v>1</v>
      </c>
      <c r="L195" t="b">
        <v>1</v>
      </c>
      <c r="M195" t="b">
        <v>1</v>
      </c>
      <c r="N195" t="inlineStr">
        <is>
          <t>PROVED_BY_OWNER_SITE</t>
        </is>
      </c>
      <c r="O195" t="inlineStr">
        <is>
          <t>SIM</t>
        </is>
      </c>
      <c r="P195" t="inlineStr">
        <is>
          <t>SIM — declarado por dono italiano no proprio site</t>
        </is>
      </c>
      <c r="Q195" t="inlineStr">
        <is>
          <t>https://www.consorziobrunellodimontalcino.it/</t>
        </is>
      </c>
      <c r="R195" t="inlineStr">
        <is>
          <t>sonda HTTP read-only (GET limitado, payload nao preservado) + declaracao do perfil no site oficial do dono (rota publica, secao 10)</t>
        </is>
      </c>
      <c r="S195" t="inlineStr">
        <is>
          <t>2026-09-14T11:25:43Z</t>
        </is>
      </c>
      <c r="T195" t="inlineStr">
        <is>
          <t>PASS</t>
        </is>
      </c>
      <c r="U195" t="inlineStr"/>
      <c r="V195" t="inlineStr">
        <is>
          <t>T10;T1</t>
        </is>
      </c>
      <c r="W195" t="inlineStr">
        <is>
          <t>TOSCANA</t>
        </is>
      </c>
      <c r="X195" t="inlineStr">
        <is>
          <t>vino</t>
        </is>
      </c>
      <c r="Y195" t="inlineStr">
        <is>
          <t>vino;DOCG</t>
        </is>
      </c>
      <c r="Z195" t="inlineStr">
        <is>
          <t xml:space="preserve">titulo da pagina: </t>
        </is>
      </c>
      <c r="AA195" t="inlineStr">
        <is>
          <t>site oficial do dono: https://www.consorziobrunellodimontalcino.it/</t>
        </is>
      </c>
      <c r="AB195" t="inlineStr">
        <is>
          <t>nao sorteada</t>
        </is>
      </c>
      <c r="AC195" t="inlineStr">
        <is>
          <t>SIM</t>
        </is>
      </c>
      <c r="AE195" t="inlineStr">
        <is>
          <t>HTTP_429,THIN_BODY</t>
        </is>
      </c>
      <c r="AF195" t="inlineStr"/>
    </row>
    <row r="196">
      <c r="A196" t="inlineStr">
        <is>
          <t>IT-DISC-2026-09-14-0195</t>
        </is>
      </c>
      <c r="B196" t="inlineStr">
        <is>
          <t>APPA Trento — Agenzia provinciale protezione ambiente — Instagram ufficiale</t>
        </is>
      </c>
      <c r="C196" t="inlineStr">
        <is>
          <t>INSTAGRAM</t>
        </is>
      </c>
      <c r="D196" t="inlineStr">
        <is>
          <t>ORG</t>
        </is>
      </c>
      <c r="E196" t="inlineStr">
        <is>
          <t>Provincia autonoma di Trento</t>
        </is>
      </c>
      <c r="F196" t="inlineStr">
        <is>
          <t>https://www.instagram.com/provinciatrento</t>
        </is>
      </c>
      <c r="G196" t="inlineStr">
        <is>
          <t>https://www.instagram.com/provinciatrento</t>
        </is>
      </c>
      <c r="H196" t="inlineStr">
        <is>
          <t>https://www.instagram.com/accounts/login/?next=https%3A%2F%2Fwww.instagram.com%2Fprovinciatrento&amp;is_from_rle</t>
        </is>
      </c>
      <c r="I196" t="n">
        <v>429</v>
      </c>
      <c r="J196" t="inlineStr">
        <is>
          <t>text/html</t>
        </is>
      </c>
      <c r="K196" t="n">
        <v>1</v>
      </c>
      <c r="L196" t="b">
        <v>1</v>
      </c>
      <c r="M196" t="b">
        <v>1</v>
      </c>
      <c r="N196" t="inlineStr">
        <is>
          <t>PROVED_BY_OWNER_SITE</t>
        </is>
      </c>
      <c r="O196" t="inlineStr">
        <is>
          <t>SIM</t>
        </is>
      </c>
      <c r="P196" t="inlineStr">
        <is>
          <t>SIM — declarado por dono italiano no proprio site</t>
        </is>
      </c>
      <c r="Q196" t="inlineStr">
        <is>
          <t>https://appa.provincia.tn.it/</t>
        </is>
      </c>
      <c r="R196" t="inlineStr">
        <is>
          <t>sonda HTTP read-only (GET limitado, payload nao preservado) + declaracao do perfil no site oficial do dono (rota publica, secao 10)</t>
        </is>
      </c>
      <c r="S196" t="inlineStr">
        <is>
          <t>2026-09-14T11:25:32Z</t>
        </is>
      </c>
      <c r="T196" t="inlineStr">
        <is>
          <t>PASS</t>
        </is>
      </c>
      <c r="U196" t="inlineStr"/>
      <c r="V196" t="inlineStr">
        <is>
          <t>T2;T12</t>
        </is>
      </c>
      <c r="W196" t="inlineStr">
        <is>
          <t>TRENTINO-ALTO ADIGE</t>
        </is>
      </c>
      <c r="X196" t="inlineStr"/>
      <c r="Y196" t="inlineStr">
        <is>
          <t>ambiente;acque</t>
        </is>
      </c>
      <c r="Z196" t="inlineStr">
        <is>
          <t xml:space="preserve">titulo da pagina: </t>
        </is>
      </c>
      <c r="AA196" t="inlineStr">
        <is>
          <t>site oficial do dono: https://appa.provincia.tn.it/</t>
        </is>
      </c>
      <c r="AB196" t="inlineStr">
        <is>
          <t>nao sorteada</t>
        </is>
      </c>
      <c r="AC196" t="inlineStr">
        <is>
          <t>nao sorteada</t>
        </is>
      </c>
      <c r="AE196" t="inlineStr">
        <is>
          <t>HTTP_429,THIN_BODY</t>
        </is>
      </c>
      <c r="AF196" t="inlineStr"/>
    </row>
    <row r="197">
      <c r="A197" t="inlineStr">
        <is>
          <t>IT-DISC-2026-09-14-0196</t>
        </is>
      </c>
      <c r="B197" t="inlineStr">
        <is>
          <t>ARPA Valle d'Aosta — Instagram ufficiale</t>
        </is>
      </c>
      <c r="C197" t="inlineStr">
        <is>
          <t>INSTAGRAM</t>
        </is>
      </c>
      <c r="D197" t="inlineStr">
        <is>
          <t>ORG</t>
        </is>
      </c>
      <c r="E197" t="inlineStr">
        <is>
          <t>ARPA Valle d'Aosta</t>
        </is>
      </c>
      <c r="F197" t="inlineStr">
        <is>
          <t>https://www.instagram.com/arpavda</t>
        </is>
      </c>
      <c r="G197" t="inlineStr">
        <is>
          <t>https://www.instagram.com/arpavda</t>
        </is>
      </c>
      <c r="H197" t="inlineStr">
        <is>
          <t>https://www.instagram.com/accounts/login/?next=https%3A%2F%2Fwww.instagram.com%2Farpavda&amp;is_from_rle</t>
        </is>
      </c>
      <c r="I197" t="n">
        <v>429</v>
      </c>
      <c r="J197" t="inlineStr">
        <is>
          <t>text/html</t>
        </is>
      </c>
      <c r="K197" t="n">
        <v>1</v>
      </c>
      <c r="L197" t="b">
        <v>1</v>
      </c>
      <c r="M197" t="b">
        <v>1</v>
      </c>
      <c r="N197" t="inlineStr">
        <is>
          <t>PROVED_BY_OWNER_SITE</t>
        </is>
      </c>
      <c r="O197" t="inlineStr">
        <is>
          <t>SIM</t>
        </is>
      </c>
      <c r="P197" t="inlineStr">
        <is>
          <t>SIM — declarado por dono italiano no proprio site</t>
        </is>
      </c>
      <c r="Q197" t="inlineStr">
        <is>
          <t>https://www.arpa.vda.it/</t>
        </is>
      </c>
      <c r="R197" t="inlineStr">
        <is>
          <t>sonda HTTP read-only (GET limitado, payload nao preservado) + declaracao do perfil no site oficial do dono (rota publica, secao 10)</t>
        </is>
      </c>
      <c r="S197" t="inlineStr">
        <is>
          <t>2026-09-14T11:25:32Z</t>
        </is>
      </c>
      <c r="T197" t="inlineStr">
        <is>
          <t>PASS</t>
        </is>
      </c>
      <c r="U197" t="inlineStr"/>
      <c r="V197" t="inlineStr">
        <is>
          <t>T2;T12</t>
        </is>
      </c>
      <c r="W197" t="inlineStr">
        <is>
          <t>VALLE D'AOSTA</t>
        </is>
      </c>
      <c r="X197" t="inlineStr"/>
      <c r="Y197" t="inlineStr">
        <is>
          <t>ambiente;meteo alpino;neve</t>
        </is>
      </c>
      <c r="Z197" t="inlineStr">
        <is>
          <t xml:space="preserve">titulo da pagina: </t>
        </is>
      </c>
      <c r="AA197" t="inlineStr">
        <is>
          <t>site oficial do dono: https://www.arpa.vda.it/</t>
        </is>
      </c>
      <c r="AB197" t="inlineStr">
        <is>
          <t>nao sorteada</t>
        </is>
      </c>
      <c r="AC197" t="inlineStr">
        <is>
          <t>nao sorteada</t>
        </is>
      </c>
      <c r="AE197" t="inlineStr">
        <is>
          <t>HTTP_429,THIN_BODY</t>
        </is>
      </c>
      <c r="AF197" t="inlineStr"/>
    </row>
    <row r="198">
      <c r="A198" t="inlineStr">
        <is>
          <t>IT-DISC-2026-09-14-0197</t>
        </is>
      </c>
      <c r="B198" t="inlineStr">
        <is>
          <t>Consorzio Tutela Prosecco DOC — Instagram ufficiale</t>
        </is>
      </c>
      <c r="C198" t="inlineStr">
        <is>
          <t>INSTAGRAM</t>
        </is>
      </c>
      <c r="D198" t="inlineStr">
        <is>
          <t>ORG</t>
        </is>
      </c>
      <c r="E198" t="inlineStr">
        <is>
          <t>Consorzio Tutela Prosecco DOC</t>
        </is>
      </c>
      <c r="F198" t="inlineStr">
        <is>
          <t>https://www.instagram.com/coneglianovaldobbiadenedocg</t>
        </is>
      </c>
      <c r="G198" t="inlineStr">
        <is>
          <t>https://www.instagram.com/coneglianovaldobbiadenedocg</t>
        </is>
      </c>
      <c r="H198" t="inlineStr">
        <is>
          <t>https://www.instagram.com/accounts/login/?next=https%3A%2F%2Fwww.instagram.com%2Fconeglianovaldobbiadenedocg&amp;is_from_rle</t>
        </is>
      </c>
      <c r="I198" t="n">
        <v>429</v>
      </c>
      <c r="J198" t="inlineStr">
        <is>
          <t>text/html</t>
        </is>
      </c>
      <c r="K198" t="n">
        <v>1</v>
      </c>
      <c r="L198" t="b">
        <v>1</v>
      </c>
      <c r="M198" t="b">
        <v>1</v>
      </c>
      <c r="N198" t="inlineStr">
        <is>
          <t>PROVED_BY_OWNER_SITE</t>
        </is>
      </c>
      <c r="O198" t="inlineStr">
        <is>
          <t>SIM</t>
        </is>
      </c>
      <c r="P198" t="inlineStr">
        <is>
          <t>SIM — declarado por dono italiano no proprio site</t>
        </is>
      </c>
      <c r="Q198" t="inlineStr">
        <is>
          <t>https://www.prosecco.it/</t>
        </is>
      </c>
      <c r="R198" t="inlineStr">
        <is>
          <t>sonda HTTP read-only (GET limitado, payload nao preservado) + declaracao do perfil no site oficial do dono (rota publica, secao 10)</t>
        </is>
      </c>
      <c r="S198" t="inlineStr">
        <is>
          <t>2026-09-14T11:25:43Z</t>
        </is>
      </c>
      <c r="T198" t="inlineStr">
        <is>
          <t>PASS</t>
        </is>
      </c>
      <c r="U198" t="inlineStr"/>
      <c r="V198" t="inlineStr">
        <is>
          <t>T10;T1</t>
        </is>
      </c>
      <c r="W198" t="inlineStr">
        <is>
          <t>VENETO</t>
        </is>
      </c>
      <c r="X198" t="inlineStr">
        <is>
          <t>vino</t>
        </is>
      </c>
      <c r="Y198" t="inlineStr">
        <is>
          <t>vino;DOC;viticoltura</t>
        </is>
      </c>
      <c r="Z198" t="inlineStr">
        <is>
          <t xml:space="preserve">titulo da pagina: </t>
        </is>
      </c>
      <c r="AA198" t="inlineStr">
        <is>
          <t>site oficial do dono: https://www.prosecco.it/</t>
        </is>
      </c>
      <c r="AB198" t="inlineStr">
        <is>
          <t>CONFIRMA</t>
        </is>
      </c>
      <c r="AC198" t="inlineStr">
        <is>
          <t>nao sorteada</t>
        </is>
      </c>
      <c r="AE198" t="inlineStr">
        <is>
          <t>HTTP_429,THIN_BODY</t>
        </is>
      </c>
      <c r="AF198" t="inlineStr"/>
    </row>
    <row r="199">
      <c r="A199" t="inlineStr">
        <is>
          <t>IT-DISC-2026-09-14-0198</t>
        </is>
      </c>
      <c r="B199" t="inlineStr">
        <is>
          <t>Consorzio Tutela Vini Valpolicella — Instagram ufficiale</t>
        </is>
      </c>
      <c r="C199" t="inlineStr">
        <is>
          <t>INSTAGRAM</t>
        </is>
      </c>
      <c r="D199" t="inlineStr">
        <is>
          <t>ORG</t>
        </is>
      </c>
      <c r="E199" t="inlineStr">
        <is>
          <t>Consorzio Tutela Vini Valpolicella</t>
        </is>
      </c>
      <c r="F199" t="inlineStr">
        <is>
          <t>https://www.instagram.com/valpolicellawines</t>
        </is>
      </c>
      <c r="G199" t="inlineStr">
        <is>
          <t>https://www.instagram.com/valpolicellawines</t>
        </is>
      </c>
      <c r="H199" t="inlineStr">
        <is>
          <t>https://www.instagram.com/accounts/login/?next=https%3A%2F%2Fwww.instagram.com%2Fvalpolicellawines&amp;is_from_rle</t>
        </is>
      </c>
      <c r="I199" t="n">
        <v>429</v>
      </c>
      <c r="J199" t="inlineStr">
        <is>
          <t>text/html</t>
        </is>
      </c>
      <c r="K199" t="n">
        <v>1</v>
      </c>
      <c r="L199" t="b">
        <v>1</v>
      </c>
      <c r="M199" t="b">
        <v>1</v>
      </c>
      <c r="N199" t="inlineStr">
        <is>
          <t>PROVED_BY_OWNER_SITE</t>
        </is>
      </c>
      <c r="O199" t="inlineStr">
        <is>
          <t>SIM</t>
        </is>
      </c>
      <c r="P199" t="inlineStr">
        <is>
          <t>SIM — declarado por dono italiano no proprio site</t>
        </is>
      </c>
      <c r="Q199" t="inlineStr">
        <is>
          <t>https://www.consorziovalpolicella.it/</t>
        </is>
      </c>
      <c r="R199" t="inlineStr">
        <is>
          <t>sonda HTTP read-only (GET limitado, payload nao preservado) + declaracao do perfil no site oficial do dono (rota publica, secao 10)</t>
        </is>
      </c>
      <c r="S199" t="inlineStr">
        <is>
          <t>2026-09-14T11:25:42Z</t>
        </is>
      </c>
      <c r="T199" t="inlineStr">
        <is>
          <t>PASS</t>
        </is>
      </c>
      <c r="U199" t="inlineStr"/>
      <c r="V199" t="inlineStr">
        <is>
          <t>T10;T1</t>
        </is>
      </c>
      <c r="W199" t="inlineStr">
        <is>
          <t>VENETO</t>
        </is>
      </c>
      <c r="X199" t="inlineStr">
        <is>
          <t>vino</t>
        </is>
      </c>
      <c r="Y199" t="inlineStr">
        <is>
          <t>vino;DOC;viticoltura</t>
        </is>
      </c>
      <c r="Z199" t="inlineStr">
        <is>
          <t xml:space="preserve">titulo da pagina: </t>
        </is>
      </c>
      <c r="AA199" t="inlineStr">
        <is>
          <t>site oficial do dono: https://www.consorziovalpolicella.it/</t>
        </is>
      </c>
      <c r="AB199" t="inlineStr">
        <is>
          <t>nao sorteada</t>
        </is>
      </c>
      <c r="AC199" t="inlineStr">
        <is>
          <t>nao sorteada</t>
        </is>
      </c>
      <c r="AE199" t="inlineStr">
        <is>
          <t>HTTP_429,THIN_BODY</t>
        </is>
      </c>
      <c r="AF199" t="inlineStr"/>
    </row>
    <row r="200">
      <c r="A200" t="inlineStr">
        <is>
          <t>IT-DISC-2026-09-14-0199</t>
        </is>
      </c>
      <c r="B200" t="inlineStr">
        <is>
          <t>Consorzio di Bonifica Piave — Instagram ufficiale</t>
        </is>
      </c>
      <c r="C200" t="inlineStr">
        <is>
          <t>INSTAGRAM</t>
        </is>
      </c>
      <c r="D200" t="inlineStr">
        <is>
          <t>ORG</t>
        </is>
      </c>
      <c r="E200" t="inlineStr">
        <is>
          <t>Consorzio di Bonifica Piave</t>
        </is>
      </c>
      <c r="F200" t="inlineStr">
        <is>
          <t>https://www.instagram.com/consorziopiave</t>
        </is>
      </c>
      <c r="G200" t="inlineStr">
        <is>
          <t>https://www.instagram.com/consorziopiave</t>
        </is>
      </c>
      <c r="H200" t="inlineStr">
        <is>
          <t>https://www.instagram.com/accounts/login/?next=https%3A%2F%2Fwww.instagram.com%2Fconsorziopiave&amp;is_from_rle</t>
        </is>
      </c>
      <c r="I200" t="n">
        <v>429</v>
      </c>
      <c r="J200" t="inlineStr">
        <is>
          <t>text/html</t>
        </is>
      </c>
      <c r="K200" t="n">
        <v>1</v>
      </c>
      <c r="L200" t="b">
        <v>1</v>
      </c>
      <c r="M200" t="b">
        <v>1</v>
      </c>
      <c r="N200" t="inlineStr">
        <is>
          <t>PROVED_BY_OWNER_SITE</t>
        </is>
      </c>
      <c r="O200" t="inlineStr">
        <is>
          <t>SIM</t>
        </is>
      </c>
      <c r="P200" t="inlineStr">
        <is>
          <t>SIM — declarado por dono italiano no proprio site</t>
        </is>
      </c>
      <c r="Q200" t="inlineStr">
        <is>
          <t>https://www.consorziopiave.it/</t>
        </is>
      </c>
      <c r="R200" t="inlineStr">
        <is>
          <t>sonda HTTP read-only (GET limitado, payload nao preservado) + declaracao do perfil no site oficial do dono (rota publica, secao 10)</t>
        </is>
      </c>
      <c r="S200" t="inlineStr">
        <is>
          <t>2026-09-14T11:25:45Z</t>
        </is>
      </c>
      <c r="T200" t="inlineStr">
        <is>
          <t>PASS</t>
        </is>
      </c>
      <c r="U200" t="inlineStr"/>
      <c r="V200" t="inlineStr">
        <is>
          <t>T2;T1</t>
        </is>
      </c>
      <c r="W200" t="inlineStr">
        <is>
          <t>VENETO</t>
        </is>
      </c>
      <c r="X200" t="inlineStr"/>
      <c r="Y200" t="inlineStr">
        <is>
          <t>irrigazione;acqua</t>
        </is>
      </c>
      <c r="Z200" t="inlineStr">
        <is>
          <t xml:space="preserve">titulo da pagina: </t>
        </is>
      </c>
      <c r="AA200" t="inlineStr">
        <is>
          <t>site oficial do dono: https://www.consorziopiave.it/</t>
        </is>
      </c>
      <c r="AB200" t="inlineStr">
        <is>
          <t>nao sorteada</t>
        </is>
      </c>
      <c r="AC200" t="inlineStr">
        <is>
          <t>nao sorteada</t>
        </is>
      </c>
      <c r="AE200" t="inlineStr">
        <is>
          <t>HTTP_429,THIN_BODY</t>
        </is>
      </c>
      <c r="AF200" t="inlineStr"/>
    </row>
    <row r="201">
      <c r="A201" t="inlineStr">
        <is>
          <t>IT-DISC-2026-09-14-0200</t>
        </is>
      </c>
      <c r="B201" t="inlineStr">
        <is>
          <t>Valagro — Linkedin ufficiale</t>
        </is>
      </c>
      <c r="C201" t="inlineStr">
        <is>
          <t>LINKEDIN</t>
        </is>
      </c>
      <c r="D201" t="inlineStr">
        <is>
          <t>ORG</t>
        </is>
      </c>
      <c r="E201" t="inlineStr">
        <is>
          <t>Valagro — Syngenta Group</t>
        </is>
      </c>
      <c r="F201" t="inlineStr">
        <is>
          <t>https://www.linkedin.com/company/syngenta</t>
        </is>
      </c>
      <c r="G201" t="inlineStr">
        <is>
          <t>https://www.linkedin.com/company/syngenta</t>
        </is>
      </c>
      <c r="H201" t="inlineStr">
        <is>
          <t>https://www.linkedin.com/company/syngenta</t>
        </is>
      </c>
      <c r="I201" t="n">
        <v>200</v>
      </c>
      <c r="J201" t="inlineStr">
        <is>
          <t>text/html</t>
        </is>
      </c>
      <c r="K201" t="n">
        <v>0</v>
      </c>
      <c r="L201" t="b">
        <v>1</v>
      </c>
      <c r="M201" t="b">
        <v>1</v>
      </c>
      <c r="N201" t="inlineStr">
        <is>
          <t>PROVED_BY_OWNER_SITE</t>
        </is>
      </c>
      <c r="O201" t="inlineStr">
        <is>
          <t>SIM</t>
        </is>
      </c>
      <c r="P201" t="inlineStr">
        <is>
          <t>SIM — declarado por dono italiano no proprio site</t>
        </is>
      </c>
      <c r="Q201" t="inlineStr">
        <is>
          <t>https://www.valagro.com/it/</t>
        </is>
      </c>
      <c r="R201" t="inlineStr">
        <is>
          <t>sonda HTTP read-only (GET limitado, payload nao preservado) + declaracao do perfil no site oficial do dono (rota publica, secao 10)</t>
        </is>
      </c>
      <c r="S201" t="inlineStr">
        <is>
          <t>2026-09-14T11:25:41Z</t>
        </is>
      </c>
      <c r="T201" t="inlineStr">
        <is>
          <t>PASS</t>
        </is>
      </c>
      <c r="U201" t="inlineStr"/>
      <c r="V201" t="inlineStr">
        <is>
          <t>T9;T10</t>
        </is>
      </c>
      <c r="W201" t="inlineStr">
        <is>
          <t>ABRUZZO</t>
        </is>
      </c>
      <c r="X201" t="inlineStr"/>
      <c r="Y201" t="inlineStr">
        <is>
          <t>biostimolanti;nutrizione</t>
        </is>
      </c>
      <c r="Z201" t="inlineStr">
        <is>
          <t>titulo da pagina: Syngenta | LinkedIn</t>
        </is>
      </c>
      <c r="AA201" t="inlineStr">
        <is>
          <t>site oficial do dono: https://www.valagro.com/it/</t>
        </is>
      </c>
      <c r="AB201" t="inlineStr">
        <is>
          <t>nao sorteada</t>
        </is>
      </c>
      <c r="AC201" t="inlineStr">
        <is>
          <t>nao sorteada</t>
        </is>
      </c>
      <c r="AE201" t="inlineStr"/>
      <c r="AF201" t="inlineStr"/>
    </row>
    <row r="202">
      <c r="A202" t="inlineStr">
        <is>
          <t>IT-DISC-2026-09-14-0201</t>
        </is>
      </c>
      <c r="B202" t="inlineStr">
        <is>
          <t>CRPV — Centro Ricerche Produzioni Vegetali — Linkedin ufficiale</t>
        </is>
      </c>
      <c r="C202" t="inlineStr">
        <is>
          <t>LINKEDIN</t>
        </is>
      </c>
      <c r="D202" t="inlineStr">
        <is>
          <t>ORG</t>
        </is>
      </c>
      <c r="E202" t="inlineStr">
        <is>
          <t>CRPV</t>
        </is>
      </c>
      <c r="F202" t="inlineStr">
        <is>
          <t>https://www.linkedin.com/company/rinovaricerca</t>
        </is>
      </c>
      <c r="G202" t="inlineStr">
        <is>
          <t>https://www.linkedin.com/company/rinovaricerca</t>
        </is>
      </c>
      <c r="H202" t="inlineStr">
        <is>
          <t>https://www.linkedin.com/company/rinovaricerca</t>
        </is>
      </c>
      <c r="I202" t="n">
        <v>200</v>
      </c>
      <c r="J202" t="inlineStr">
        <is>
          <t>text/html</t>
        </is>
      </c>
      <c r="K202" t="n">
        <v>0</v>
      </c>
      <c r="L202" t="b">
        <v>1</v>
      </c>
      <c r="M202" t="b">
        <v>1</v>
      </c>
      <c r="N202" t="inlineStr">
        <is>
          <t>PROVED_BY_OWNER_SITE</t>
        </is>
      </c>
      <c r="O202" t="inlineStr">
        <is>
          <t>SIM</t>
        </is>
      </c>
      <c r="P202" t="inlineStr">
        <is>
          <t>SIM — declarado por dono italiano no proprio site</t>
        </is>
      </c>
      <c r="Q202" t="inlineStr">
        <is>
          <t>https://www.crpv.it/</t>
        </is>
      </c>
      <c r="R202" t="inlineStr">
        <is>
          <t>sonda HTTP read-only (GET limitado, payload nao preservado) + declaracao do perfil no site oficial do dono (rota publica, secao 10)</t>
        </is>
      </c>
      <c r="S202" t="inlineStr">
        <is>
          <t>2026-09-14T11:25:36Z</t>
        </is>
      </c>
      <c r="T202" t="inlineStr">
        <is>
          <t>PASS</t>
        </is>
      </c>
      <c r="U202" t="inlineStr"/>
      <c r="V202" t="inlineStr">
        <is>
          <t>T5;T3;T1</t>
        </is>
      </c>
      <c r="W202" t="inlineStr">
        <is>
          <t>EMILIA-ROMAGNA</t>
        </is>
      </c>
      <c r="X202" t="inlineStr">
        <is>
          <t>ortofrutta</t>
        </is>
      </c>
      <c r="Y202" t="inlineStr">
        <is>
          <t>sperimentazione;ortofrutta;difesa</t>
        </is>
      </c>
      <c r="Z202" t="inlineStr">
        <is>
          <t>titulo da pagina: Ri.Nova | LinkedIn</t>
        </is>
      </c>
      <c r="AA202" t="inlineStr">
        <is>
          <t>site oficial do dono: https://www.crpv.it/</t>
        </is>
      </c>
      <c r="AB202" t="inlineStr">
        <is>
          <t>nao sorteada</t>
        </is>
      </c>
      <c r="AC202" t="inlineStr">
        <is>
          <t>nao sorteada</t>
        </is>
      </c>
      <c r="AE202" t="inlineStr"/>
      <c r="AF202" t="inlineStr"/>
    </row>
    <row r="203">
      <c r="A203" t="inlineStr">
        <is>
          <t>IT-DISC-2026-09-14-0202</t>
        </is>
      </c>
      <c r="B203" t="inlineStr">
        <is>
          <t>Caviro — Linkedin ufficiale</t>
        </is>
      </c>
      <c r="C203" t="inlineStr">
        <is>
          <t>LINKEDIN</t>
        </is>
      </c>
      <c r="D203" t="inlineStr">
        <is>
          <t>ORG</t>
        </is>
      </c>
      <c r="E203" t="inlineStr">
        <is>
          <t>Caviro</t>
        </is>
      </c>
      <c r="F203" t="inlineStr">
        <is>
          <t>https://www.linkedin.com/company/gruppocaviro</t>
        </is>
      </c>
      <c r="G203" t="inlineStr">
        <is>
          <t>https://www.linkedin.com/company/gruppocaviro</t>
        </is>
      </c>
      <c r="H203" t="inlineStr">
        <is>
          <t>https://www.linkedin.com/company/gruppocaviro</t>
        </is>
      </c>
      <c r="I203" t="n">
        <v>200</v>
      </c>
      <c r="J203" t="inlineStr">
        <is>
          <t>text/html</t>
        </is>
      </c>
      <c r="K203" t="n">
        <v>0</v>
      </c>
      <c r="L203" t="b">
        <v>1</v>
      </c>
      <c r="M203" t="b">
        <v>1</v>
      </c>
      <c r="N203" t="inlineStr">
        <is>
          <t>PROVED_BY_OWNER_SITE</t>
        </is>
      </c>
      <c r="O203" t="inlineStr">
        <is>
          <t>SIM</t>
        </is>
      </c>
      <c r="P203" t="inlineStr">
        <is>
          <t>SIM — declarado por dono italiano no proprio site</t>
        </is>
      </c>
      <c r="Q203" t="inlineStr">
        <is>
          <t>https://www.caviro.com/</t>
        </is>
      </c>
      <c r="R203" t="inlineStr">
        <is>
          <t>sonda HTTP read-only (GET limitado, payload nao preservado) + declaracao do perfil no site oficial do dono (rota publica, secao 10)</t>
        </is>
      </c>
      <c r="S203" t="inlineStr">
        <is>
          <t>2026-09-14T11:25:44Z</t>
        </is>
      </c>
      <c r="T203" t="inlineStr">
        <is>
          <t>PASS</t>
        </is>
      </c>
      <c r="U203" t="inlineStr"/>
      <c r="V203" t="inlineStr">
        <is>
          <t>T10;T1</t>
        </is>
      </c>
      <c r="W203" t="inlineStr">
        <is>
          <t>EMILIA-ROMAGNA</t>
        </is>
      </c>
      <c r="X203" t="inlineStr"/>
      <c r="Y203" t="inlineStr">
        <is>
          <t>cooperativa vitivinicola;economia circolare</t>
        </is>
      </c>
      <c r="Z203" t="inlineStr">
        <is>
          <t>titulo da pagina: Gruppo Caviro | LinkedIn</t>
        </is>
      </c>
      <c r="AA203" t="inlineStr">
        <is>
          <t>site oficial do dono: https://www.caviro.com/</t>
        </is>
      </c>
      <c r="AB203" t="inlineStr">
        <is>
          <t>nao sorteada</t>
        </is>
      </c>
      <c r="AC203" t="inlineStr">
        <is>
          <t>SIM</t>
        </is>
      </c>
      <c r="AE203" t="inlineStr"/>
      <c r="AF203" t="inlineStr"/>
    </row>
    <row r="204">
      <c r="A204" t="inlineStr">
        <is>
          <t>IT-DISC-2026-09-14-0203</t>
        </is>
      </c>
      <c r="B204" t="inlineStr">
        <is>
          <t>Cifo — Linkedin ufficiale</t>
        </is>
      </c>
      <c r="C204" t="inlineStr">
        <is>
          <t>LINKEDIN</t>
        </is>
      </c>
      <c r="D204" t="inlineStr">
        <is>
          <t>ORG</t>
        </is>
      </c>
      <c r="E204" t="inlineStr">
        <is>
          <t>Cifo</t>
        </is>
      </c>
      <c r="F204" t="inlineStr">
        <is>
          <t>https://www.linkedin.com/company/cifo-s.r.l.</t>
        </is>
      </c>
      <c r="G204" t="inlineStr">
        <is>
          <t>https://www.linkedin.com/company/cifo-s.r.l.</t>
        </is>
      </c>
      <c r="H204" t="inlineStr">
        <is>
          <t>https://www.linkedin.com/company/cifo-s.r.l.</t>
        </is>
      </c>
      <c r="I204" t="n">
        <v>200</v>
      </c>
      <c r="J204" t="inlineStr">
        <is>
          <t>text/html</t>
        </is>
      </c>
      <c r="K204" t="n">
        <v>0</v>
      </c>
      <c r="L204" t="b">
        <v>1</v>
      </c>
      <c r="M204" t="b">
        <v>1</v>
      </c>
      <c r="N204" t="inlineStr">
        <is>
          <t>PROVED_BY_OWNER_SITE</t>
        </is>
      </c>
      <c r="O204" t="inlineStr">
        <is>
          <t>SIM</t>
        </is>
      </c>
      <c r="P204" t="inlineStr">
        <is>
          <t>SIM — declarado por dono italiano no proprio site</t>
        </is>
      </c>
      <c r="Q204" t="inlineStr">
        <is>
          <t>https://www.cifo.it/</t>
        </is>
      </c>
      <c r="R204" t="inlineStr">
        <is>
          <t>sonda HTTP read-only (GET limitado, payload nao preservado) + declaracao do perfil no site oficial do dono (rota publica, secao 10)</t>
        </is>
      </c>
      <c r="S204" t="inlineStr">
        <is>
          <t>2026-09-14T11:25:41Z</t>
        </is>
      </c>
      <c r="T204" t="inlineStr">
        <is>
          <t>PASS</t>
        </is>
      </c>
      <c r="U204" t="inlineStr"/>
      <c r="V204" t="inlineStr">
        <is>
          <t>T9;T10</t>
        </is>
      </c>
      <c r="W204" t="inlineStr">
        <is>
          <t>EMILIA-ROMAGNA</t>
        </is>
      </c>
      <c r="X204" t="inlineStr"/>
      <c r="Y204" t="inlineStr">
        <is>
          <t>nutrizione vegetale</t>
        </is>
      </c>
      <c r="Z204" t="inlineStr">
        <is>
          <t>titulo da pagina: Cifo Risultati affidabili, ogni volta. | LinkedIn</t>
        </is>
      </c>
      <c r="AA204" t="inlineStr">
        <is>
          <t>site oficial do dono: https://www.cifo.it/</t>
        </is>
      </c>
      <c r="AB204" t="inlineStr">
        <is>
          <t>nao sorteada</t>
        </is>
      </c>
      <c r="AC204" t="inlineStr">
        <is>
          <t>nao sorteada</t>
        </is>
      </c>
      <c r="AE204" t="inlineStr"/>
      <c r="AF204" t="inlineStr"/>
    </row>
    <row r="205">
      <c r="A205" t="inlineStr">
        <is>
          <t>IT-DISC-2026-09-14-0204</t>
        </is>
      </c>
      <c r="B205" t="inlineStr">
        <is>
          <t>Fieravicola — Linkedin ufficiale</t>
        </is>
      </c>
      <c r="C205" t="inlineStr">
        <is>
          <t>LINKEDIN</t>
        </is>
      </c>
      <c r="D205" t="inlineStr">
        <is>
          <t>ORG</t>
        </is>
      </c>
      <c r="E205" t="inlineStr">
        <is>
          <t>Fieravicola</t>
        </is>
      </c>
      <c r="F205" t="inlineStr">
        <is>
          <t>https://www.linkedin.com/company/fieravicola</t>
        </is>
      </c>
      <c r="G205" t="inlineStr">
        <is>
          <t>https://www.linkedin.com/company/fieravicola</t>
        </is>
      </c>
      <c r="H205" t="inlineStr">
        <is>
          <t>https://www.linkedin.com/company/fieravicola</t>
        </is>
      </c>
      <c r="I205" t="n">
        <v>200</v>
      </c>
      <c r="J205" t="inlineStr">
        <is>
          <t>text/html</t>
        </is>
      </c>
      <c r="K205" t="n">
        <v>0</v>
      </c>
      <c r="L205" t="b">
        <v>1</v>
      </c>
      <c r="M205" t="b">
        <v>1</v>
      </c>
      <c r="N205" t="inlineStr">
        <is>
          <t>PROVED_BY_OWNER_SITE</t>
        </is>
      </c>
      <c r="O205" t="inlineStr">
        <is>
          <t>SIM</t>
        </is>
      </c>
      <c r="P205" t="inlineStr">
        <is>
          <t>SIM — declarado por dono italiano no proprio site</t>
        </is>
      </c>
      <c r="Q205" t="inlineStr">
        <is>
          <t>https://www.fieravicola.com/</t>
        </is>
      </c>
      <c r="R205" t="inlineStr">
        <is>
          <t>sonda HTTP read-only (GET limitado, payload nao preservado) + declaracao do perfil no site oficial do dono (rota publica, secao 10)</t>
        </is>
      </c>
      <c r="S205" t="inlineStr">
        <is>
          <t>2026-09-14T11:25:40Z</t>
        </is>
      </c>
      <c r="T205" t="inlineStr">
        <is>
          <t>PASS</t>
        </is>
      </c>
      <c r="U205" t="inlineStr"/>
      <c r="V205" t="inlineStr">
        <is>
          <t>T11;T10</t>
        </is>
      </c>
      <c r="W205" t="inlineStr">
        <is>
          <t>EMILIA-ROMAGNA</t>
        </is>
      </c>
      <c r="X205" t="inlineStr"/>
      <c r="Y205" t="inlineStr">
        <is>
          <t>fiera avicoltura</t>
        </is>
      </c>
      <c r="Z205" t="inlineStr">
        <is>
          <t>titulo da pagina: Fieravicola | LinkedIn</t>
        </is>
      </c>
      <c r="AA205" t="inlineStr">
        <is>
          <t>site oficial do dono: https://www.fieravicola.com/</t>
        </is>
      </c>
      <c r="AB205" t="inlineStr">
        <is>
          <t>CONFIRMA</t>
        </is>
      </c>
      <c r="AC205" t="inlineStr">
        <is>
          <t>nao sorteada</t>
        </is>
      </c>
      <c r="AE205" t="inlineStr"/>
      <c r="AF205" t="inlineStr"/>
    </row>
    <row r="206">
      <c r="A206" t="inlineStr">
        <is>
          <t>IT-DISC-2026-09-14-0205</t>
        </is>
      </c>
      <c r="B206" t="inlineStr">
        <is>
          <t>Macfrut — Linkedin ufficiale</t>
        </is>
      </c>
      <c r="C206" t="inlineStr">
        <is>
          <t>LINKEDIN</t>
        </is>
      </c>
      <c r="D206" t="inlineStr">
        <is>
          <t>ORG</t>
        </is>
      </c>
      <c r="E206" t="inlineStr">
        <is>
          <t>Cesena Fiera</t>
        </is>
      </c>
      <c r="F206" t="inlineStr">
        <is>
          <t>https://www.linkedin.com/company/macfrut-fiera</t>
        </is>
      </c>
      <c r="G206" t="inlineStr">
        <is>
          <t>https://www.linkedin.com/company/macfrut-fiera</t>
        </is>
      </c>
      <c r="H206" t="inlineStr">
        <is>
          <t>https://www.linkedin.com/company/macfrut-fiera</t>
        </is>
      </c>
      <c r="I206" t="n">
        <v>200</v>
      </c>
      <c r="J206" t="inlineStr">
        <is>
          <t>text/html</t>
        </is>
      </c>
      <c r="K206" t="n">
        <v>0</v>
      </c>
      <c r="L206" t="b">
        <v>1</v>
      </c>
      <c r="M206" t="b">
        <v>1</v>
      </c>
      <c r="N206" t="inlineStr">
        <is>
          <t>PROVED_BY_OWNER_SITE</t>
        </is>
      </c>
      <c r="O206" t="inlineStr">
        <is>
          <t>SIM</t>
        </is>
      </c>
      <c r="P206" t="inlineStr">
        <is>
          <t>SIM — declarado por dono italiano no proprio site</t>
        </is>
      </c>
      <c r="Q206" t="inlineStr">
        <is>
          <t>https://www.macfrut.com/</t>
        </is>
      </c>
      <c r="R206" t="inlineStr">
        <is>
          <t>sonda HTTP read-only (GET limitado, payload nao preservado) + declaracao do perfil no site oficial do dono (rota publica, secao 10)</t>
        </is>
      </c>
      <c r="S206" t="inlineStr">
        <is>
          <t>2026-09-14T11:25:38Z</t>
        </is>
      </c>
      <c r="T206" t="inlineStr">
        <is>
          <t>PASS</t>
        </is>
      </c>
      <c r="U206" t="inlineStr"/>
      <c r="V206" t="inlineStr">
        <is>
          <t>T11;T10</t>
        </is>
      </c>
      <c r="W206" t="inlineStr">
        <is>
          <t>EMILIA-ROMAGNA</t>
        </is>
      </c>
      <c r="X206" t="inlineStr">
        <is>
          <t>ortofrutta</t>
        </is>
      </c>
      <c r="Y206" t="inlineStr">
        <is>
          <t>fiera ortofrutta</t>
        </is>
      </c>
      <c r="Z206" t="inlineStr">
        <is>
          <t>titulo da pagina: Macfrut Fiera | LinkedIn</t>
        </is>
      </c>
      <c r="AA206" t="inlineStr">
        <is>
          <t>site oficial do dono: https://www.macfrut.com/</t>
        </is>
      </c>
      <c r="AB206" t="inlineStr">
        <is>
          <t>nao sorteada</t>
        </is>
      </c>
      <c r="AC206" t="inlineStr">
        <is>
          <t>nao sorteada</t>
        </is>
      </c>
      <c r="AE206" t="inlineStr"/>
      <c r="AF206" t="inlineStr"/>
    </row>
    <row r="207">
      <c r="A207" t="inlineStr">
        <is>
          <t>IT-DISC-2026-09-14-0206</t>
        </is>
      </c>
      <c r="B207" t="inlineStr">
        <is>
          <t>SANA — Salone del biologico e naturale — Linkedin ufficiale</t>
        </is>
      </c>
      <c r="C207" t="inlineStr">
        <is>
          <t>LINKEDIN</t>
        </is>
      </c>
      <c r="D207" t="inlineStr">
        <is>
          <t>ORG</t>
        </is>
      </c>
      <c r="E207" t="inlineStr">
        <is>
          <t>BolognaFiere</t>
        </is>
      </c>
      <c r="F207" t="inlineStr">
        <is>
          <t>https://www.linkedin.com/company/sanafiera</t>
        </is>
      </c>
      <c r="G207" t="inlineStr">
        <is>
          <t>https://www.linkedin.com/company/sanafiera</t>
        </is>
      </c>
      <c r="H207" t="inlineStr">
        <is>
          <t>https://www.linkedin.com/company/sanafiera</t>
        </is>
      </c>
      <c r="I207" t="n">
        <v>200</v>
      </c>
      <c r="J207" t="inlineStr">
        <is>
          <t>text/html</t>
        </is>
      </c>
      <c r="K207" t="n">
        <v>0</v>
      </c>
      <c r="L207" t="b">
        <v>1</v>
      </c>
      <c r="M207" t="b">
        <v>1</v>
      </c>
      <c r="N207" t="inlineStr">
        <is>
          <t>PROVED_BY_OWNER_SITE</t>
        </is>
      </c>
      <c r="O207" t="inlineStr">
        <is>
          <t>SIM</t>
        </is>
      </c>
      <c r="P207" t="inlineStr">
        <is>
          <t>SIM — declarado por dono italiano no proprio site</t>
        </is>
      </c>
      <c r="Q207" t="inlineStr">
        <is>
          <t>https://www.sana.it/</t>
        </is>
      </c>
      <c r="R207" t="inlineStr">
        <is>
          <t>sonda HTTP read-only (GET limitado, payload nao preservado) + declaracao do perfil no site oficial do dono (rota publica, secao 10)</t>
        </is>
      </c>
      <c r="S207" t="inlineStr">
        <is>
          <t>2026-09-14T11:25:40Z</t>
        </is>
      </c>
      <c r="T207" t="inlineStr">
        <is>
          <t>PASS</t>
        </is>
      </c>
      <c r="U207" t="inlineStr"/>
      <c r="V207" t="inlineStr">
        <is>
          <t>T11;T10</t>
        </is>
      </c>
      <c r="W207" t="inlineStr">
        <is>
          <t>EMILIA-ROMAGNA</t>
        </is>
      </c>
      <c r="X207" t="inlineStr"/>
      <c r="Y207" t="inlineStr">
        <is>
          <t>fiera biologico</t>
        </is>
      </c>
      <c r="Z207" t="inlineStr">
        <is>
          <t>titulo da pagina: SANA Food | LinkedIn</t>
        </is>
      </c>
      <c r="AA207" t="inlineStr">
        <is>
          <t>site oficial do dono: https://www.sana.it/</t>
        </is>
      </c>
      <c r="AB207" t="inlineStr">
        <is>
          <t>nao sorteada</t>
        </is>
      </c>
      <c r="AC207" t="inlineStr">
        <is>
          <t>nao sorteada</t>
        </is>
      </c>
      <c r="AE207" t="inlineStr"/>
      <c r="AF207" t="inlineStr"/>
    </row>
    <row r="208">
      <c r="A208" t="inlineStr">
        <is>
          <t>IT-DISC-2026-09-14-0207</t>
        </is>
      </c>
      <c r="B208" t="inlineStr">
        <is>
          <t>Terra e Vita — Edagricole — Linkedin ufficiale</t>
        </is>
      </c>
      <c r="C208" t="inlineStr">
        <is>
          <t>LINKEDIN</t>
        </is>
      </c>
      <c r="D208" t="inlineStr">
        <is>
          <t>ORG</t>
        </is>
      </c>
      <c r="E208" t="inlineStr">
        <is>
          <t>Edagricole — New Business Media</t>
        </is>
      </c>
      <c r="F208" t="inlineStr">
        <is>
          <t>https://www.linkedin.com/showcase/edagricole</t>
        </is>
      </c>
      <c r="G208" t="inlineStr">
        <is>
          <t>https://www.linkedin.com/showcase/edagricole</t>
        </is>
      </c>
      <c r="H208" t="inlineStr">
        <is>
          <t>https://www.linkedin.com/showcase/edagricole</t>
        </is>
      </c>
      <c r="I208" t="n">
        <v>200</v>
      </c>
      <c r="J208" t="inlineStr">
        <is>
          <t>text/html</t>
        </is>
      </c>
      <c r="K208" t="n">
        <v>0</v>
      </c>
      <c r="L208" t="b">
        <v>1</v>
      </c>
      <c r="M208" t="b">
        <v>1</v>
      </c>
      <c r="N208" t="inlineStr">
        <is>
          <t>PROVED_BY_OWNER_SITE</t>
        </is>
      </c>
      <c r="O208" t="inlineStr">
        <is>
          <t>SIM</t>
        </is>
      </c>
      <c r="P208" t="inlineStr">
        <is>
          <t>SIM — declarado por dono italiano no proprio site</t>
        </is>
      </c>
      <c r="Q208" t="inlineStr">
        <is>
          <t>https://terraevita.edagricole.it/</t>
        </is>
      </c>
      <c r="R208" t="inlineStr">
        <is>
          <t>sonda HTTP read-only (GET limitado, payload nao preservado) + declaracao do perfil no site oficial do dono (rota publica, secao 10)</t>
        </is>
      </c>
      <c r="S208" t="inlineStr">
        <is>
          <t>2026-09-14T11:25:37Z</t>
        </is>
      </c>
      <c r="T208" t="inlineStr">
        <is>
          <t>PASS</t>
        </is>
      </c>
      <c r="U208" t="inlineStr"/>
      <c r="V208" t="inlineStr">
        <is>
          <t>T1;T3;T10</t>
        </is>
      </c>
      <c r="W208" t="inlineStr">
        <is>
          <t>EMILIA-ROMAGNA</t>
        </is>
      </c>
      <c r="X208" t="inlineStr"/>
      <c r="Y208" t="inlineStr">
        <is>
          <t>rivista tecnica;seminativi;difesa</t>
        </is>
      </c>
      <c r="Z208" t="inlineStr">
        <is>
          <t>titulo da pagina: Edagricole | LinkedIn</t>
        </is>
      </c>
      <c r="AA208" t="inlineStr">
        <is>
          <t>site oficial do dono: https://terraevita.edagricole.it/</t>
        </is>
      </c>
      <c r="AB208" t="inlineStr">
        <is>
          <t>nao sorteada</t>
        </is>
      </c>
      <c r="AC208" t="inlineStr">
        <is>
          <t>nao sorteada</t>
        </is>
      </c>
      <c r="AE208" t="inlineStr"/>
      <c r="AF208" t="inlineStr"/>
    </row>
    <row r="209">
      <c r="A209" t="inlineStr">
        <is>
          <t>IT-DISC-2026-09-14-0208</t>
        </is>
      </c>
      <c r="B209" t="inlineStr">
        <is>
          <t>UNIBO DISTAL — Dipartimento di Scienze e Tecnologie Agro-Alimentari — Linkedin ufficiale</t>
        </is>
      </c>
      <c r="C209" t="inlineStr">
        <is>
          <t>LINKEDIN</t>
        </is>
      </c>
      <c r="D209" t="inlineStr">
        <is>
          <t>ORG</t>
        </is>
      </c>
      <c r="E209" t="inlineStr">
        <is>
          <t>Universita di Bologna</t>
        </is>
      </c>
      <c r="F209" t="inlineStr">
        <is>
          <t>https://www.linkedin.com/company/department-of-agricultural-and-food-sciences</t>
        </is>
      </c>
      <c r="G209" t="inlineStr">
        <is>
          <t>https://www.linkedin.com/company/department-of-agricultural-and-food-sciences</t>
        </is>
      </c>
      <c r="H209" t="inlineStr">
        <is>
          <t>https://it.linkedin.com/showcase/department-of-agricultural-and-food-sciences/</t>
        </is>
      </c>
      <c r="I209" t="n">
        <v>200</v>
      </c>
      <c r="J209" t="inlineStr">
        <is>
          <t>text/html</t>
        </is>
      </c>
      <c r="K209" t="n">
        <v>1</v>
      </c>
      <c r="L209" t="b">
        <v>1</v>
      </c>
      <c r="M209" t="b">
        <v>1</v>
      </c>
      <c r="N209" t="inlineStr">
        <is>
          <t>PROVED_BY_OWNER_SITE</t>
        </is>
      </c>
      <c r="O209" t="inlineStr">
        <is>
          <t>SIM</t>
        </is>
      </c>
      <c r="P209" t="inlineStr">
        <is>
          <t>SIM — declarado por dono italiano no proprio site</t>
        </is>
      </c>
      <c r="Q209" t="inlineStr">
        <is>
          <t>https://distal.unibo.it/it</t>
        </is>
      </c>
      <c r="R209" t="inlineStr">
        <is>
          <t>sonda HTTP read-only (GET limitado, payload nao preservado) + declaracao do perfil no site oficial do dono (rota publica, secao 10)</t>
        </is>
      </c>
      <c r="S209" t="inlineStr">
        <is>
          <t>2026-09-14T11:25:33Z</t>
        </is>
      </c>
      <c r="T209" t="inlineStr">
        <is>
          <t>PASS</t>
        </is>
      </c>
      <c r="U209" t="inlineStr"/>
      <c r="V209" t="inlineStr">
        <is>
          <t>T5;T6;T1</t>
        </is>
      </c>
      <c r="W209" t="inlineStr">
        <is>
          <t>EMILIA-ROMAGNA</t>
        </is>
      </c>
      <c r="X209" t="inlineStr"/>
      <c r="Y209" t="inlineStr">
        <is>
          <t>agraria;patologia;entomologia;agronomia</t>
        </is>
      </c>
      <c r="Z209" t="inlineStr">
        <is>
          <t>titulo da pagina: Department of Agricultural and Food Sciences - University of Bologna |</t>
        </is>
      </c>
      <c r="AA209" t="inlineStr">
        <is>
          <t>site oficial do dono: https://distal.unibo.it/it</t>
        </is>
      </c>
      <c r="AB209" t="inlineStr">
        <is>
          <t>nao sorteada</t>
        </is>
      </c>
      <c r="AC209" t="inlineStr">
        <is>
          <t>SIM</t>
        </is>
      </c>
      <c r="AE209" t="inlineStr"/>
      <c r="AF209" t="inlineStr"/>
    </row>
    <row r="210">
      <c r="A210" t="inlineStr">
        <is>
          <t>IT-DISC-2026-09-14-0209</t>
        </is>
      </c>
      <c r="B210" t="inlineStr">
        <is>
          <t>ARPA Lazio — Linkedin ufficiale</t>
        </is>
      </c>
      <c r="C210" t="inlineStr">
        <is>
          <t>LINKEDIN</t>
        </is>
      </c>
      <c r="D210" t="inlineStr">
        <is>
          <t>ORG</t>
        </is>
      </c>
      <c r="E210" t="inlineStr">
        <is>
          <t>ARPA Lazio</t>
        </is>
      </c>
      <c r="F210" t="inlineStr">
        <is>
          <t>https://www.linkedin.com/company/arpa-lazio</t>
        </is>
      </c>
      <c r="G210" t="inlineStr">
        <is>
          <t>https://www.linkedin.com/company/arpa-lazio</t>
        </is>
      </c>
      <c r="H210" t="inlineStr">
        <is>
          <t>https://www.linkedin.com/company/arpa-lazio</t>
        </is>
      </c>
      <c r="I210" t="n">
        <v>200</v>
      </c>
      <c r="J210" t="inlineStr">
        <is>
          <t>text/html</t>
        </is>
      </c>
      <c r="K210" t="n">
        <v>0</v>
      </c>
      <c r="L210" t="b">
        <v>1</v>
      </c>
      <c r="M210" t="b">
        <v>1</v>
      </c>
      <c r="N210" t="inlineStr">
        <is>
          <t>PROVED_BY_OWNER_SITE</t>
        </is>
      </c>
      <c r="O210" t="inlineStr">
        <is>
          <t>SIM</t>
        </is>
      </c>
      <c r="P210" t="inlineStr">
        <is>
          <t>SIM — declarado por dono italiano no proprio site</t>
        </is>
      </c>
      <c r="Q210" t="inlineStr">
        <is>
          <t>https://www.arpalazio.it/</t>
        </is>
      </c>
      <c r="R210" t="inlineStr">
        <is>
          <t>sonda HTTP read-only (GET limitado, payload nao preservado) + declaracao do perfil no site oficial do dono (rota publica, secao 10)</t>
        </is>
      </c>
      <c r="S210" t="inlineStr">
        <is>
          <t>2026-09-14T11:25:31Z</t>
        </is>
      </c>
      <c r="T210" t="inlineStr">
        <is>
          <t>PASS</t>
        </is>
      </c>
      <c r="U210" t="inlineStr"/>
      <c r="V210" t="inlineStr">
        <is>
          <t>T2;T12</t>
        </is>
      </c>
      <c r="W210" t="inlineStr">
        <is>
          <t>LAZIO</t>
        </is>
      </c>
      <c r="X210" t="inlineStr"/>
      <c r="Y210" t="inlineStr">
        <is>
          <t>ambiente;aria;acque</t>
        </is>
      </c>
      <c r="Z210" t="inlineStr">
        <is>
          <t>titulo da pagina: ARPA LAZIO | LinkedIn</t>
        </is>
      </c>
      <c r="AA210" t="inlineStr">
        <is>
          <t>site oficial do dono: https://www.arpalazio.it/</t>
        </is>
      </c>
      <c r="AB210" t="inlineStr">
        <is>
          <t>nao sorteada</t>
        </is>
      </c>
      <c r="AC210" t="inlineStr">
        <is>
          <t>nao sorteada</t>
        </is>
      </c>
      <c r="AE210" t="inlineStr"/>
      <c r="AF210" t="inlineStr"/>
    </row>
    <row r="211">
      <c r="A211" t="inlineStr">
        <is>
          <t>IT-DISC-2026-09-14-0210</t>
        </is>
      </c>
      <c r="B211" t="inlineStr">
        <is>
          <t>ARPA Lombardia — Linkedin ufficiale</t>
        </is>
      </c>
      <c r="C211" t="inlineStr">
        <is>
          <t>LINKEDIN</t>
        </is>
      </c>
      <c r="D211" t="inlineStr">
        <is>
          <t>ORG</t>
        </is>
      </c>
      <c r="E211" t="inlineStr">
        <is>
          <t>ARPA Lombardia</t>
        </is>
      </c>
      <c r="F211" t="inlineStr">
        <is>
          <t>https://www.linkedin.com/company/arpa-lombardia</t>
        </is>
      </c>
      <c r="G211" t="inlineStr">
        <is>
          <t>https://www.linkedin.com/company/arpa-lombardia</t>
        </is>
      </c>
      <c r="H211" t="inlineStr">
        <is>
          <t>https://www.linkedin.com/company/arpa-lombardia</t>
        </is>
      </c>
      <c r="I211" t="n">
        <v>200</v>
      </c>
      <c r="J211" t="inlineStr">
        <is>
          <t>text/html</t>
        </is>
      </c>
      <c r="K211" t="n">
        <v>0</v>
      </c>
      <c r="L211" t="b">
        <v>1</v>
      </c>
      <c r="M211" t="b">
        <v>1</v>
      </c>
      <c r="N211" t="inlineStr">
        <is>
          <t>PROVED_BY_OWNER_SITE</t>
        </is>
      </c>
      <c r="O211" t="inlineStr">
        <is>
          <t>SIM</t>
        </is>
      </c>
      <c r="P211" t="inlineStr">
        <is>
          <t>SIM — declarado por dono italiano no proprio site</t>
        </is>
      </c>
      <c r="Q211" t="inlineStr">
        <is>
          <t>https://www.arpalombardia.it/</t>
        </is>
      </c>
      <c r="R211" t="inlineStr">
        <is>
          <t>sonda HTTP read-only (GET limitado, payload nao preservado) + declaracao do perfil no site oficial do dono (rota publica, secao 10)</t>
        </is>
      </c>
      <c r="S211" t="inlineStr">
        <is>
          <t>2026-09-14T11:25:30Z</t>
        </is>
      </c>
      <c r="T211" t="inlineStr">
        <is>
          <t>PASS</t>
        </is>
      </c>
      <c r="U211" t="inlineStr"/>
      <c r="V211" t="inlineStr">
        <is>
          <t>T2;T12</t>
        </is>
      </c>
      <c r="W211" t="inlineStr">
        <is>
          <t>LOMBARDIA</t>
        </is>
      </c>
      <c r="X211" t="inlineStr"/>
      <c r="Y211" t="inlineStr">
        <is>
          <t>meteo;aria;acqua;agrometeo</t>
        </is>
      </c>
      <c r="Z211" t="inlineStr">
        <is>
          <t>titulo da pagina: ARPA Lombardia | LinkedIn</t>
        </is>
      </c>
      <c r="AA211" t="inlineStr">
        <is>
          <t>site oficial do dono: https://www.arpalombardia.it/</t>
        </is>
      </c>
      <c r="AB211" t="inlineStr">
        <is>
          <t>nao sorteada</t>
        </is>
      </c>
      <c r="AC211" t="inlineStr">
        <is>
          <t>nao sorteada</t>
        </is>
      </c>
      <c r="AE211" t="inlineStr"/>
      <c r="AF211" t="inlineStr"/>
    </row>
    <row r="212">
      <c r="A212" t="inlineStr">
        <is>
          <t>IT-DISC-2026-09-14-0211</t>
        </is>
      </c>
      <c r="B212" t="inlineStr">
        <is>
          <t>Consorzio di Tutela del Grana Padano — Linkedin ufficiale</t>
        </is>
      </c>
      <c r="C212" t="inlineStr">
        <is>
          <t>LINKEDIN</t>
        </is>
      </c>
      <c r="D212" t="inlineStr">
        <is>
          <t>ORG</t>
        </is>
      </c>
      <c r="E212" t="inlineStr">
        <is>
          <t>Consorzio Tutela Grana Padano</t>
        </is>
      </c>
      <c r="F212" t="inlineStr">
        <is>
          <t>https://www.linkedin.com/company/consorzio-tutela-grana-padano</t>
        </is>
      </c>
      <c r="G212" t="inlineStr">
        <is>
          <t>https://www.linkedin.com/company/consorzio-tutela-grana-padano</t>
        </is>
      </c>
      <c r="H212" t="inlineStr">
        <is>
          <t>https://www.linkedin.com/company/consorzio-tutela-grana-padano</t>
        </is>
      </c>
      <c r="I212" t="n">
        <v>200</v>
      </c>
      <c r="J212" t="inlineStr">
        <is>
          <t>text/html</t>
        </is>
      </c>
      <c r="K212" t="n">
        <v>0</v>
      </c>
      <c r="L212" t="b">
        <v>1</v>
      </c>
      <c r="M212" t="b">
        <v>1</v>
      </c>
      <c r="N212" t="inlineStr">
        <is>
          <t>PROVED_BY_OWNER_SITE</t>
        </is>
      </c>
      <c r="O212" t="inlineStr">
        <is>
          <t>SIM</t>
        </is>
      </c>
      <c r="P212" t="inlineStr">
        <is>
          <t>SIM — declarado por dono italiano no proprio site</t>
        </is>
      </c>
      <c r="Q212" t="inlineStr">
        <is>
          <t>https://www.granapadano.it/</t>
        </is>
      </c>
      <c r="R212" t="inlineStr">
        <is>
          <t>sonda HTTP read-only (GET limitado, payload nao preservado) + declaracao do perfil no site oficial do dono (rota publica, secao 10)</t>
        </is>
      </c>
      <c r="S212" t="inlineStr">
        <is>
          <t>2026-09-14T11:25:42Z</t>
        </is>
      </c>
      <c r="T212" t="inlineStr">
        <is>
          <t>PASS</t>
        </is>
      </c>
      <c r="U212" t="inlineStr"/>
      <c r="V212" t="inlineStr">
        <is>
          <t>T10;T1</t>
        </is>
      </c>
      <c r="W212" t="inlineStr">
        <is>
          <t>LOMBARDIA</t>
        </is>
      </c>
      <c r="X212" t="inlineStr">
        <is>
          <t>latte</t>
        </is>
      </c>
      <c r="Y212" t="inlineStr">
        <is>
          <t>DOP;latte;filiera</t>
        </is>
      </c>
      <c r="Z212" t="inlineStr">
        <is>
          <t>titulo da pagina: Consorzio Tutela Grana Padano | LinkedIn</t>
        </is>
      </c>
      <c r="AA212" t="inlineStr">
        <is>
          <t>site oficial do dono: https://www.granapadano.it/</t>
        </is>
      </c>
      <c r="AB212" t="inlineStr">
        <is>
          <t>CONFIRMA</t>
        </is>
      </c>
      <c r="AC212" t="inlineStr">
        <is>
          <t>nao sorteada</t>
        </is>
      </c>
      <c r="AE212" t="inlineStr"/>
      <c r="AF212" t="inlineStr"/>
    </row>
    <row r="213">
      <c r="A213" t="inlineStr">
        <is>
          <t>IT-DISC-2026-09-14-0212</t>
        </is>
      </c>
      <c r="B213" t="inlineStr">
        <is>
          <t>Fondazione Minoprio — Linkedin ufficiale</t>
        </is>
      </c>
      <c r="C213" t="inlineStr">
        <is>
          <t>LINKEDIN</t>
        </is>
      </c>
      <c r="D213" t="inlineStr">
        <is>
          <t>ORG</t>
        </is>
      </c>
      <c r="E213" t="inlineStr">
        <is>
          <t>Fondazione Minoprio</t>
        </is>
      </c>
      <c r="F213" t="inlineStr">
        <is>
          <t>https://www.linkedin.com/company/fondazione-minoprio</t>
        </is>
      </c>
      <c r="G213" t="inlineStr">
        <is>
          <t>https://www.linkedin.com/company/fondazione-minoprio</t>
        </is>
      </c>
      <c r="H213" t="inlineStr">
        <is>
          <t>https://www.linkedin.com/company/fondazione-minoprio</t>
        </is>
      </c>
      <c r="I213" t="n">
        <v>200</v>
      </c>
      <c r="J213" t="inlineStr">
        <is>
          <t>text/html</t>
        </is>
      </c>
      <c r="K213" t="n">
        <v>0</v>
      </c>
      <c r="L213" t="b">
        <v>1</v>
      </c>
      <c r="M213" t="b">
        <v>1</v>
      </c>
      <c r="N213" t="inlineStr">
        <is>
          <t>PROVED_BY_OWNER_SITE</t>
        </is>
      </c>
      <c r="O213" t="inlineStr">
        <is>
          <t>SIM</t>
        </is>
      </c>
      <c r="P213" t="inlineStr">
        <is>
          <t>SIM — declarado por dono italiano no proprio site</t>
        </is>
      </c>
      <c r="Q213" t="inlineStr">
        <is>
          <t>https://www.fondazioneminoprio.it/</t>
        </is>
      </c>
      <c r="R213" t="inlineStr">
        <is>
          <t>sonda HTTP read-only (GET limitado, payload nao preservado) + declaracao do perfil no site oficial do dono (rota publica, secao 10)</t>
        </is>
      </c>
      <c r="S213" t="inlineStr">
        <is>
          <t>2026-09-14T11:25:36Z</t>
        </is>
      </c>
      <c r="T213" t="inlineStr">
        <is>
          <t>PASS</t>
        </is>
      </c>
      <c r="U213" t="inlineStr"/>
      <c r="V213" t="inlineStr">
        <is>
          <t>T5;T7;T1</t>
        </is>
      </c>
      <c r="W213" t="inlineStr">
        <is>
          <t>LOMBARDIA</t>
        </is>
      </c>
      <c r="X213" t="inlineStr"/>
      <c r="Y213" t="inlineStr">
        <is>
          <t>formazione;floricoltura;sperimentazione</t>
        </is>
      </c>
      <c r="Z213" t="inlineStr">
        <is>
          <t>titulo da pagina: Fondazione Minoprio | LinkedIn</t>
        </is>
      </c>
      <c r="AA213" t="inlineStr">
        <is>
          <t>site oficial do dono: https://www.fondazioneminoprio.it/</t>
        </is>
      </c>
      <c r="AB213" t="inlineStr">
        <is>
          <t>nao sorteada</t>
        </is>
      </c>
      <c r="AC213" t="inlineStr">
        <is>
          <t>nao sorteada</t>
        </is>
      </c>
      <c r="AE213" t="inlineStr"/>
      <c r="AF213" t="inlineStr"/>
    </row>
    <row r="214">
      <c r="A214" t="inlineStr">
        <is>
          <t>IT-DISC-2026-09-14-0213</t>
        </is>
      </c>
      <c r="B214" t="inlineStr">
        <is>
          <t>UNIMI DiSAA — Dipartimento di Scienze Agrarie e Ambientali — Linkedin ufficiale</t>
        </is>
      </c>
      <c r="C214" t="inlineStr">
        <is>
          <t>LINKEDIN</t>
        </is>
      </c>
      <c r="D214" t="inlineStr">
        <is>
          <t>ORG</t>
        </is>
      </c>
      <c r="E214" t="inlineStr">
        <is>
          <t>Universita degli Studi di Milano</t>
        </is>
      </c>
      <c r="F214" t="inlineStr">
        <is>
          <t>https://www.linkedin.com/company/dipartimento-di-scienze-agrarie-ambientali</t>
        </is>
      </c>
      <c r="G214" t="inlineStr">
        <is>
          <t>https://www.linkedin.com/company/dipartimento-di-scienze-agrarie-ambientali</t>
        </is>
      </c>
      <c r="H214" t="inlineStr">
        <is>
          <t>https://www.linkedin.com/company/dipartimento-di-scienze-agrarie-ambientali</t>
        </is>
      </c>
      <c r="I214" t="n">
        <v>200</v>
      </c>
      <c r="J214" t="inlineStr">
        <is>
          <t>text/html</t>
        </is>
      </c>
      <c r="K214" t="n">
        <v>0</v>
      </c>
      <c r="L214" t="b">
        <v>1</v>
      </c>
      <c r="M214" t="b">
        <v>1</v>
      </c>
      <c r="N214" t="inlineStr">
        <is>
          <t>PROVED_BY_OWNER_SITE</t>
        </is>
      </c>
      <c r="O214" t="inlineStr">
        <is>
          <t>SIM</t>
        </is>
      </c>
      <c r="P214" t="inlineStr">
        <is>
          <t>SIM — declarado por dono italiano no proprio site</t>
        </is>
      </c>
      <c r="Q214" t="inlineStr">
        <is>
          <t>https://www.disaa.unimi.it/it</t>
        </is>
      </c>
      <c r="R214" t="inlineStr">
        <is>
          <t>sonda HTTP read-only (GET limitado, payload nao preservado) + declaracao do perfil no site oficial do dono (rota publica, secao 10)</t>
        </is>
      </c>
      <c r="S214" t="inlineStr">
        <is>
          <t>2026-09-14T11:25:33Z</t>
        </is>
      </c>
      <c r="T214" t="inlineStr">
        <is>
          <t>PASS</t>
        </is>
      </c>
      <c r="U214" t="inlineStr"/>
      <c r="V214" t="inlineStr">
        <is>
          <t>T5;T6;T1</t>
        </is>
      </c>
      <c r="W214" t="inlineStr">
        <is>
          <t>LOMBARDIA</t>
        </is>
      </c>
      <c r="X214" t="inlineStr">
        <is>
          <t>mais;riso</t>
        </is>
      </c>
      <c r="Y214" t="inlineStr">
        <is>
          <t>agronomia;difesa;riso;mais</t>
        </is>
      </c>
      <c r="Z214" t="inlineStr">
        <is>
          <t>titulo da pagina: Dipartimento di Scienze Agrarie e Ambientali (DiSAA) | LinkedIn</t>
        </is>
      </c>
      <c r="AA214" t="inlineStr">
        <is>
          <t>site oficial do dono: https://www.disaa.unimi.it/it</t>
        </is>
      </c>
      <c r="AB214" t="inlineStr">
        <is>
          <t>nao sorteada</t>
        </is>
      </c>
      <c r="AC214" t="inlineStr">
        <is>
          <t>nao sorteada</t>
        </is>
      </c>
      <c r="AE214" t="inlineStr"/>
      <c r="AF214" t="inlineStr"/>
    </row>
    <row r="215">
      <c r="A215" t="inlineStr">
        <is>
          <t>IT-DISC-2026-09-14-0214</t>
        </is>
      </c>
      <c r="B215" t="inlineStr">
        <is>
          <t>ARPA Marche — Linkedin ufficiale</t>
        </is>
      </c>
      <c r="C215" t="inlineStr">
        <is>
          <t>LINKEDIN</t>
        </is>
      </c>
      <c r="D215" t="inlineStr">
        <is>
          <t>ORG</t>
        </is>
      </c>
      <c r="E215" t="inlineStr">
        <is>
          <t>ARPAM</t>
        </is>
      </c>
      <c r="F215" t="inlineStr">
        <is>
          <t>https://www.linkedin.com/company/arpa-marche</t>
        </is>
      </c>
      <c r="G215" t="inlineStr">
        <is>
          <t>https://www.linkedin.com/company/arpa-marche</t>
        </is>
      </c>
      <c r="H215" t="inlineStr">
        <is>
          <t>https://www.linkedin.com/company/arpa-marche</t>
        </is>
      </c>
      <c r="I215" t="n">
        <v>200</v>
      </c>
      <c r="J215" t="inlineStr">
        <is>
          <t>text/html</t>
        </is>
      </c>
      <c r="K215" t="n">
        <v>0</v>
      </c>
      <c r="L215" t="b">
        <v>1</v>
      </c>
      <c r="M215" t="b">
        <v>1</v>
      </c>
      <c r="N215" t="inlineStr">
        <is>
          <t>PROVED_BY_OWNER_SITE</t>
        </is>
      </c>
      <c r="O215" t="inlineStr">
        <is>
          <t>SIM</t>
        </is>
      </c>
      <c r="P215" t="inlineStr">
        <is>
          <t>SIM — declarado por dono italiano no proprio site</t>
        </is>
      </c>
      <c r="Q215" t="inlineStr">
        <is>
          <t>https://www.arpa.marche.it/</t>
        </is>
      </c>
      <c r="R215" t="inlineStr">
        <is>
          <t>sonda HTTP read-only (GET limitado, payload nao preservado) + declaracao do perfil no site oficial do dono (rota publica, secao 10)</t>
        </is>
      </c>
      <c r="S215" t="inlineStr">
        <is>
          <t>2026-09-14T11:25:31Z</t>
        </is>
      </c>
      <c r="T215" t="inlineStr">
        <is>
          <t>PASS</t>
        </is>
      </c>
      <c r="U215" t="inlineStr"/>
      <c r="V215" t="inlineStr">
        <is>
          <t>T2;T12</t>
        </is>
      </c>
      <c r="W215" t="inlineStr">
        <is>
          <t>MARCHE</t>
        </is>
      </c>
      <c r="X215" t="inlineStr"/>
      <c r="Y215" t="inlineStr">
        <is>
          <t>ambiente;meteo</t>
        </is>
      </c>
      <c r="Z215" t="inlineStr">
        <is>
          <t>titulo da pagina: ARPA Marche | LinkedIn</t>
        </is>
      </c>
      <c r="AA215" t="inlineStr">
        <is>
          <t>site oficial do dono: https://www.arpa.marche.it/</t>
        </is>
      </c>
      <c r="AB215" t="inlineStr">
        <is>
          <t>nao sorteada</t>
        </is>
      </c>
      <c r="AC215" t="inlineStr">
        <is>
          <t>nao sorteada</t>
        </is>
      </c>
      <c r="AE215" t="inlineStr"/>
      <c r="AF215" t="inlineStr"/>
    </row>
    <row r="216">
      <c r="A216" t="inlineStr">
        <is>
          <t>IT-DISC-2026-09-14-0215</t>
        </is>
      </c>
      <c r="B216" t="inlineStr">
        <is>
          <t>ASSAM Marche — Agenzia Servizi Settore Agroalimentare delle Marche — Linkedin ufficiale</t>
        </is>
      </c>
      <c r="C216" t="inlineStr">
        <is>
          <t>LINKEDIN</t>
        </is>
      </c>
      <c r="D216" t="inlineStr">
        <is>
          <t>ORG</t>
        </is>
      </c>
      <c r="E216" t="inlineStr">
        <is>
          <t>Regione Marche</t>
        </is>
      </c>
      <c r="F216" t="inlineStr">
        <is>
          <t>https://www.linkedin.com/company/amap-marche</t>
        </is>
      </c>
      <c r="G216" t="inlineStr">
        <is>
          <t>https://www.linkedin.com/company/amap-marche</t>
        </is>
      </c>
      <c r="H216" t="inlineStr">
        <is>
          <t>https://www.linkedin.com/company/amap-marche</t>
        </is>
      </c>
      <c r="I216" t="n">
        <v>200</v>
      </c>
      <c r="J216" t="inlineStr">
        <is>
          <t>text/html</t>
        </is>
      </c>
      <c r="K216" t="n">
        <v>0</v>
      </c>
      <c r="L216" t="b">
        <v>1</v>
      </c>
      <c r="M216" t="b">
        <v>1</v>
      </c>
      <c r="N216" t="inlineStr">
        <is>
          <t>PROVED_BY_OWNER_SITE</t>
        </is>
      </c>
      <c r="O216" t="inlineStr">
        <is>
          <t>SIM</t>
        </is>
      </c>
      <c r="P216" t="inlineStr">
        <is>
          <t>SIM — declarado por dono italiano no proprio site</t>
        </is>
      </c>
      <c r="Q216" t="inlineStr">
        <is>
          <t>https://www.assam.marche.it/</t>
        </is>
      </c>
      <c r="R216" t="inlineStr">
        <is>
          <t>sonda HTTP read-only (GET limitado, payload nao preservado) + declaracao do perfil no site oficial do dono (rota publica, secao 10)</t>
        </is>
      </c>
      <c r="S216" t="inlineStr">
        <is>
          <t>2026-09-14T11:25:28Z</t>
        </is>
      </c>
      <c r="T216" t="inlineStr">
        <is>
          <t>PASS</t>
        </is>
      </c>
      <c r="U216" t="inlineStr"/>
      <c r="V216" t="inlineStr">
        <is>
          <t>T3;T2;T7</t>
        </is>
      </c>
      <c r="W216" t="inlineStr">
        <is>
          <t>MARCHE</t>
        </is>
      </c>
      <c r="X216" t="inlineStr"/>
      <c r="Y216" t="inlineStr">
        <is>
          <t>servizio fitosanitario;agrometeo;assistenza tecnica</t>
        </is>
      </c>
      <c r="Z216" t="inlineStr">
        <is>
          <t>titulo da pagina: AMAP Marche | LinkedIn</t>
        </is>
      </c>
      <c r="AA216" t="inlineStr">
        <is>
          <t>site oficial do dono: https://www.assam.marche.it/</t>
        </is>
      </c>
      <c r="AB216" t="inlineStr">
        <is>
          <t>nao sorteada</t>
        </is>
      </c>
      <c r="AC216" t="inlineStr">
        <is>
          <t>nao sorteada</t>
        </is>
      </c>
      <c r="AE216" t="inlineStr"/>
      <c r="AF216" t="inlineStr"/>
    </row>
    <row r="217">
      <c r="A217" t="inlineStr">
        <is>
          <t>IT-DISC-2026-09-14-0216</t>
        </is>
      </c>
      <c r="B217" t="inlineStr">
        <is>
          <t>ARPA Molise — Linkedin ufficiale</t>
        </is>
      </c>
      <c r="C217" t="inlineStr">
        <is>
          <t>LINKEDIN</t>
        </is>
      </c>
      <c r="D217" t="inlineStr">
        <is>
          <t>ORG</t>
        </is>
      </c>
      <c r="E217" t="inlineStr">
        <is>
          <t>ARPA Molise</t>
        </is>
      </c>
      <c r="F217" t="inlineStr">
        <is>
          <t>https://www.linkedin.com/company/arpa-molise</t>
        </is>
      </c>
      <c r="G217" t="inlineStr">
        <is>
          <t>https://www.linkedin.com/company/arpa-molise</t>
        </is>
      </c>
      <c r="H217" t="inlineStr">
        <is>
          <t>https://www.linkedin.com/company/arpa-molise</t>
        </is>
      </c>
      <c r="I217" t="n">
        <v>200</v>
      </c>
      <c r="J217" t="inlineStr">
        <is>
          <t>text/html</t>
        </is>
      </c>
      <c r="K217" t="n">
        <v>0</v>
      </c>
      <c r="L217" t="b">
        <v>1</v>
      </c>
      <c r="M217" t="b">
        <v>1</v>
      </c>
      <c r="N217" t="inlineStr">
        <is>
          <t>PROVED_BY_OWNER_SITE</t>
        </is>
      </c>
      <c r="O217" t="inlineStr">
        <is>
          <t>SIM</t>
        </is>
      </c>
      <c r="P217" t="inlineStr">
        <is>
          <t>SIM — declarado por dono italiano no proprio site</t>
        </is>
      </c>
      <c r="Q217" t="inlineStr">
        <is>
          <t>https://www.arpamolise.it/</t>
        </is>
      </c>
      <c r="R217" t="inlineStr">
        <is>
          <t>sonda HTTP read-only (GET limitado, payload nao preservado) + declaracao do perfil no site oficial do dono (rota publica, secao 10)</t>
        </is>
      </c>
      <c r="S217" t="inlineStr">
        <is>
          <t>2026-09-14T11:25:31Z</t>
        </is>
      </c>
      <c r="T217" t="inlineStr">
        <is>
          <t>PASS</t>
        </is>
      </c>
      <c r="U217" t="inlineStr"/>
      <c r="V217" t="inlineStr">
        <is>
          <t>T2;T12</t>
        </is>
      </c>
      <c r="W217" t="inlineStr">
        <is>
          <t>MOLISE</t>
        </is>
      </c>
      <c r="X217" t="inlineStr"/>
      <c r="Y217" t="inlineStr">
        <is>
          <t>ambiente;meteo</t>
        </is>
      </c>
      <c r="Z217" t="inlineStr">
        <is>
          <t>titulo da pagina: Arpa Molise | LinkedIn</t>
        </is>
      </c>
      <c r="AA217" t="inlineStr">
        <is>
          <t>site oficial do dono: https://www.arpamolise.it/</t>
        </is>
      </c>
      <c r="AB217" t="inlineStr">
        <is>
          <t>nao sorteada</t>
        </is>
      </c>
      <c r="AC217" t="inlineStr">
        <is>
          <t>SIM</t>
        </is>
      </c>
      <c r="AE217" t="inlineStr"/>
      <c r="AF217" t="inlineStr"/>
    </row>
    <row r="218">
      <c r="A218" t="inlineStr">
        <is>
          <t>IT-DISC-2026-09-14-0217</t>
        </is>
      </c>
      <c r="B218" t="inlineStr">
        <is>
          <t>Agrofarma — Federchimica — Linkedin ufficiale</t>
        </is>
      </c>
      <c r="C218" t="inlineStr">
        <is>
          <t>LINKEDIN</t>
        </is>
      </c>
      <c r="D218" t="inlineStr">
        <is>
          <t>ORG</t>
        </is>
      </c>
      <c r="E218" t="inlineStr">
        <is>
          <t>Federchimica Agrofarma</t>
        </is>
      </c>
      <c r="F218" t="inlineStr">
        <is>
          <t>https://www.linkedin.com/showcase/agrofarma</t>
        </is>
      </c>
      <c r="G218" t="inlineStr">
        <is>
          <t>https://www.linkedin.com/showcase/agrofarma</t>
        </is>
      </c>
      <c r="H218" t="inlineStr">
        <is>
          <t>https://www.linkedin.com/showcase/agrofarma</t>
        </is>
      </c>
      <c r="I218" t="n">
        <v>200</v>
      </c>
      <c r="J218" t="inlineStr">
        <is>
          <t>text/html</t>
        </is>
      </c>
      <c r="K218" t="n">
        <v>0</v>
      </c>
      <c r="L218" t="b">
        <v>1</v>
      </c>
      <c r="M218" t="b">
        <v>1</v>
      </c>
      <c r="N218" t="inlineStr">
        <is>
          <t>PROVED_BY_OWNER_SITE</t>
        </is>
      </c>
      <c r="O218" t="inlineStr">
        <is>
          <t>SIM</t>
        </is>
      </c>
      <c r="P218" t="inlineStr">
        <is>
          <t>SIM — declarado por dono italiano no proprio site</t>
        </is>
      </c>
      <c r="Q218" t="inlineStr">
        <is>
          <t>https://agrofarma.federchimica.it/</t>
        </is>
      </c>
      <c r="R218" t="inlineStr">
        <is>
          <t>sonda HTTP read-only (GET limitado, payload nao preservado) + declaracao do perfil no site oficial do dono (rota publica, secao 10)</t>
        </is>
      </c>
      <c r="S218" t="inlineStr">
        <is>
          <t>2026-09-14T11:25:26Z</t>
        </is>
      </c>
      <c r="T218" t="inlineStr">
        <is>
          <t>PASS</t>
        </is>
      </c>
      <c r="U218" t="inlineStr"/>
      <c r="V218" t="inlineStr">
        <is>
          <t>T9;T10;T4</t>
        </is>
      </c>
      <c r="W218" t="inlineStr">
        <is>
          <t>NAZIONALE</t>
        </is>
      </c>
      <c r="X218" t="inlineStr"/>
      <c r="Y218" t="inlineStr">
        <is>
          <t>agrofarmaci;industria;regolatorio</t>
        </is>
      </c>
      <c r="Z218" t="inlineStr">
        <is>
          <t>titulo da pagina: Agrofarma | LinkedIn</t>
        </is>
      </c>
      <c r="AA218" t="inlineStr">
        <is>
          <t>site oficial do dono: https://agrofarma.federchimica.it/</t>
        </is>
      </c>
      <c r="AB218" t="inlineStr">
        <is>
          <t>nao sorteada</t>
        </is>
      </c>
      <c r="AC218" t="inlineStr">
        <is>
          <t>nao sorteada</t>
        </is>
      </c>
      <c r="AE218" t="inlineStr"/>
      <c r="AF218" t="inlineStr"/>
    </row>
    <row r="219">
      <c r="A219" t="inlineStr">
        <is>
          <t>IT-DISC-2026-09-14-0218</t>
        </is>
      </c>
      <c r="B219" t="inlineStr">
        <is>
          <t>Assofertilizzanti — Federchimica — Linkedin ufficiale</t>
        </is>
      </c>
      <c r="C219" t="inlineStr">
        <is>
          <t>LINKEDIN</t>
        </is>
      </c>
      <c r="D219" t="inlineStr">
        <is>
          <t>ORG</t>
        </is>
      </c>
      <c r="E219" t="inlineStr">
        <is>
          <t>Federchimica</t>
        </is>
      </c>
      <c r="F219" t="inlineStr">
        <is>
          <t>https://www.linkedin.com/showcase/assofertilizzanti</t>
        </is>
      </c>
      <c r="G219" t="inlineStr">
        <is>
          <t>https://www.linkedin.com/showcase/assofertilizzanti</t>
        </is>
      </c>
      <c r="H219" t="inlineStr">
        <is>
          <t>https://www.linkedin.com/showcase/assofertilizzanti</t>
        </is>
      </c>
      <c r="I219" t="n">
        <v>200</v>
      </c>
      <c r="J219" t="inlineStr">
        <is>
          <t>text/html</t>
        </is>
      </c>
      <c r="K219" t="n">
        <v>0</v>
      </c>
      <c r="L219" t="b">
        <v>1</v>
      </c>
      <c r="M219" t="b">
        <v>1</v>
      </c>
      <c r="N219" t="inlineStr">
        <is>
          <t>PROVED_BY_OWNER_SITE</t>
        </is>
      </c>
      <c r="O219" t="inlineStr">
        <is>
          <t>SIM</t>
        </is>
      </c>
      <c r="P219" t="inlineStr">
        <is>
          <t>SIM — declarado por dono italiano no proprio site</t>
        </is>
      </c>
      <c r="Q219" t="inlineStr">
        <is>
          <t>https://assofertilizzanti.federchimica.it/</t>
        </is>
      </c>
      <c r="R219" t="inlineStr">
        <is>
          <t>sonda HTTP read-only (GET limitado, payload nao preservado) + declaracao do perfil no site oficial do dono (rota publica, secao 10)</t>
        </is>
      </c>
      <c r="S219" t="inlineStr">
        <is>
          <t>2026-09-14T11:25:26Z</t>
        </is>
      </c>
      <c r="T219" t="inlineStr">
        <is>
          <t>PASS</t>
        </is>
      </c>
      <c r="U219" t="inlineStr"/>
      <c r="V219" t="inlineStr">
        <is>
          <t>T10;T1</t>
        </is>
      </c>
      <c r="W219" t="inlineStr">
        <is>
          <t>NAZIONALE</t>
        </is>
      </c>
      <c r="X219" t="inlineStr"/>
      <c r="Y219" t="inlineStr">
        <is>
          <t>fertilizzanti;nutrizione</t>
        </is>
      </c>
      <c r="Z219" t="inlineStr">
        <is>
          <t>titulo da pagina: Assofertilizzanti | LinkedIn</t>
        </is>
      </c>
      <c r="AA219" t="inlineStr">
        <is>
          <t>site oficial do dono: https://assofertilizzanti.federchimica.it/</t>
        </is>
      </c>
      <c r="AB219" t="inlineStr">
        <is>
          <t>nao sorteada</t>
        </is>
      </c>
      <c r="AC219" t="inlineStr">
        <is>
          <t>nao sorteada</t>
        </is>
      </c>
      <c r="AE219" t="inlineStr"/>
      <c r="AF219" t="inlineStr"/>
    </row>
    <row r="220">
      <c r="A220" t="inlineStr">
        <is>
          <t>IT-DISC-2026-09-14-0219</t>
        </is>
      </c>
      <c r="B220" t="inlineStr">
        <is>
          <t>Assosementi — Linkedin ufficiale</t>
        </is>
      </c>
      <c r="C220" t="inlineStr">
        <is>
          <t>LINKEDIN</t>
        </is>
      </c>
      <c r="D220" t="inlineStr">
        <is>
          <t>ORG</t>
        </is>
      </c>
      <c r="E220" t="inlineStr">
        <is>
          <t>Assosementi</t>
        </is>
      </c>
      <c r="F220" t="inlineStr">
        <is>
          <t>https://www.linkedin.com/company/assosementi</t>
        </is>
      </c>
      <c r="G220" t="inlineStr">
        <is>
          <t>https://www.linkedin.com/company/assosementi</t>
        </is>
      </c>
      <c r="H220" t="inlineStr">
        <is>
          <t>https://www.linkedin.com/company/assosementi</t>
        </is>
      </c>
      <c r="I220" t="n">
        <v>200</v>
      </c>
      <c r="J220" t="inlineStr">
        <is>
          <t>text/html</t>
        </is>
      </c>
      <c r="K220" t="n">
        <v>0</v>
      </c>
      <c r="L220" t="b">
        <v>1</v>
      </c>
      <c r="M220" t="b">
        <v>1</v>
      </c>
      <c r="N220" t="inlineStr">
        <is>
          <t>PROVED_BY_OWNER_SITE</t>
        </is>
      </c>
      <c r="O220" t="inlineStr">
        <is>
          <t>SIM</t>
        </is>
      </c>
      <c r="P220" t="inlineStr">
        <is>
          <t>SIM — declarado por dono italiano no proprio site</t>
        </is>
      </c>
      <c r="Q220" t="inlineStr">
        <is>
          <t>https://www.sementi.it/</t>
        </is>
      </c>
      <c r="R220" t="inlineStr">
        <is>
          <t>sonda HTTP read-only (GET limitado, payload nao preservado) + declaracao do perfil no site oficial do dono (rota publica, secao 10)</t>
        </is>
      </c>
      <c r="S220" t="inlineStr">
        <is>
          <t>2026-09-14T11:25:26Z</t>
        </is>
      </c>
      <c r="T220" t="inlineStr">
        <is>
          <t>PASS</t>
        </is>
      </c>
      <c r="U220" t="inlineStr"/>
      <c r="V220" t="inlineStr">
        <is>
          <t>T1;T10</t>
        </is>
      </c>
      <c r="W220" t="inlineStr">
        <is>
          <t>NAZIONALE</t>
        </is>
      </c>
      <c r="X220" t="inlineStr"/>
      <c r="Y220" t="inlineStr">
        <is>
          <t>sementi;varieta</t>
        </is>
      </c>
      <c r="Z220" t="inlineStr">
        <is>
          <t>titulo da pagina: Assosementi | LinkedIn</t>
        </is>
      </c>
      <c r="AA220" t="inlineStr">
        <is>
          <t>site oficial do dono: https://www.sementi.it/</t>
        </is>
      </c>
      <c r="AB220" t="inlineStr">
        <is>
          <t>nao sorteada</t>
        </is>
      </c>
      <c r="AC220" t="inlineStr">
        <is>
          <t>nao sorteada</t>
        </is>
      </c>
      <c r="AE220" t="inlineStr"/>
      <c r="AF220" t="inlineStr"/>
    </row>
    <row r="221">
      <c r="A221" t="inlineStr">
        <is>
          <t>IT-DISC-2026-09-14-0220</t>
        </is>
      </c>
      <c r="B221" t="inlineStr">
        <is>
          <t>CIA — Agricoltori Italiani — Linkedin ufficiale</t>
        </is>
      </c>
      <c r="C221" t="inlineStr">
        <is>
          <t>LINKEDIN</t>
        </is>
      </c>
      <c r="D221" t="inlineStr">
        <is>
          <t>ORG</t>
        </is>
      </c>
      <c r="E221" t="inlineStr">
        <is>
          <t>CIA</t>
        </is>
      </c>
      <c r="F221" t="inlineStr">
        <is>
          <t>https://www.linkedin.com/company/cia-agricoltori-italiani</t>
        </is>
      </c>
      <c r="G221" t="inlineStr">
        <is>
          <t>https://www.linkedin.com/company/cia-agricoltori-italiani</t>
        </is>
      </c>
      <c r="H221" t="inlineStr">
        <is>
          <t>https://www.linkedin.com/company/cia-agricoltori-italiani</t>
        </is>
      </c>
      <c r="I221" t="n">
        <v>200</v>
      </c>
      <c r="J221" t="inlineStr">
        <is>
          <t>text/html</t>
        </is>
      </c>
      <c r="K221" t="n">
        <v>0</v>
      </c>
      <c r="L221" t="b">
        <v>1</v>
      </c>
      <c r="M221" t="b">
        <v>1</v>
      </c>
      <c r="N221" t="inlineStr">
        <is>
          <t>PROVED_BY_OWNER_SITE</t>
        </is>
      </c>
      <c r="O221" t="inlineStr">
        <is>
          <t>SIM</t>
        </is>
      </c>
      <c r="P221" t="inlineStr">
        <is>
          <t>SIM — declarado por dono italiano no proprio site</t>
        </is>
      </c>
      <c r="Q221" t="inlineStr">
        <is>
          <t>https://www.cia.it/</t>
        </is>
      </c>
      <c r="R221" t="inlineStr">
        <is>
          <t>sonda HTTP read-only (GET limitado, payload nao preservado) + declaracao do perfil no site oficial do dono (rota publica, secao 10)</t>
        </is>
      </c>
      <c r="S221" t="inlineStr">
        <is>
          <t>2026-09-14T11:25:25Z</t>
        </is>
      </c>
      <c r="T221" t="inlineStr">
        <is>
          <t>PASS</t>
        </is>
      </c>
      <c r="U221" t="inlineStr"/>
      <c r="V221" t="inlineStr">
        <is>
          <t>T12;T7</t>
        </is>
      </c>
      <c r="W221" t="inlineStr">
        <is>
          <t>NAZIONALE</t>
        </is>
      </c>
      <c r="X221" t="inlineStr"/>
      <c r="Y221" t="inlineStr">
        <is>
          <t>organizzazione agricola;policy</t>
        </is>
      </c>
      <c r="Z221" t="inlineStr">
        <is>
          <t>titulo da pagina: Cia-Agricoltori Italiani | LinkedIn</t>
        </is>
      </c>
      <c r="AA221" t="inlineStr">
        <is>
          <t>site oficial do dono: https://www.cia.it/</t>
        </is>
      </c>
      <c r="AB221" t="inlineStr">
        <is>
          <t>nao sorteada</t>
        </is>
      </c>
      <c r="AC221" t="inlineStr">
        <is>
          <t>nao sorteada</t>
        </is>
      </c>
      <c r="AE221" t="inlineStr"/>
      <c r="AF221" t="inlineStr"/>
    </row>
    <row r="222">
      <c r="A222" t="inlineStr">
        <is>
          <t>IT-DISC-2026-09-14-0221</t>
        </is>
      </c>
      <c r="B222" t="inlineStr">
        <is>
          <t>CNR — Consiglio Nazionale delle Ricerche — Linkedin ufficiale</t>
        </is>
      </c>
      <c r="C222" t="inlineStr">
        <is>
          <t>LINKEDIN</t>
        </is>
      </c>
      <c r="D222" t="inlineStr">
        <is>
          <t>ORG</t>
        </is>
      </c>
      <c r="E222" t="inlineStr">
        <is>
          <t>CNR</t>
        </is>
      </c>
      <c r="F222" t="inlineStr">
        <is>
          <t>https://www.linkedin.com/company/283032</t>
        </is>
      </c>
      <c r="G222" t="inlineStr">
        <is>
          <t>https://www.linkedin.com/company/283032</t>
        </is>
      </c>
      <c r="H222" t="inlineStr">
        <is>
          <t>https://www.linkedin.com/uas/login?session_redirect=%2Fcompany%2F283032</t>
        </is>
      </c>
      <c r="I222" t="n">
        <v>200</v>
      </c>
      <c r="J222" t="inlineStr">
        <is>
          <t>text/html</t>
        </is>
      </c>
      <c r="K222" t="n">
        <v>1</v>
      </c>
      <c r="L222" t="b">
        <v>1</v>
      </c>
      <c r="M222" t="b">
        <v>1</v>
      </c>
      <c r="N222" t="inlineStr">
        <is>
          <t>PROVED_BY_OWNER_SITE</t>
        </is>
      </c>
      <c r="O222" t="inlineStr">
        <is>
          <t>SIM</t>
        </is>
      </c>
      <c r="P222" t="inlineStr">
        <is>
          <t>SIM — declarado por dono italiano no proprio site</t>
        </is>
      </c>
      <c r="Q222" t="inlineStr">
        <is>
          <t>https://www.cnr.it/</t>
        </is>
      </c>
      <c r="R222" t="inlineStr">
        <is>
          <t>sonda HTTP read-only (GET limitado, payload nao preservado) + declaracao do perfil no site oficial do dono (rota publica, secao 10)</t>
        </is>
      </c>
      <c r="S222" t="inlineStr">
        <is>
          <t>2026-09-14T11:25:22Z</t>
        </is>
      </c>
      <c r="T222" t="inlineStr">
        <is>
          <t>PASS</t>
        </is>
      </c>
      <c r="U222" t="inlineStr"/>
      <c r="V222" t="inlineStr">
        <is>
          <t>T5;T6</t>
        </is>
      </c>
      <c r="W222" t="inlineStr">
        <is>
          <t>NAZIONALE</t>
        </is>
      </c>
      <c r="X222" t="inlineStr"/>
      <c r="Y222" t="inlineStr">
        <is>
          <t>ricerca;istituti</t>
        </is>
      </c>
      <c r="Z222" t="inlineStr">
        <is>
          <t>titulo da pagina: Accesso LinkedIn, accedi | LinkedIn</t>
        </is>
      </c>
      <c r="AA222" t="inlineStr">
        <is>
          <t>site oficial do dono: https://www.cnr.it/</t>
        </is>
      </c>
      <c r="AB222" t="inlineStr">
        <is>
          <t>CONFIRMA</t>
        </is>
      </c>
      <c r="AC222" t="inlineStr">
        <is>
          <t>nao sorteada</t>
        </is>
      </c>
      <c r="AE222" t="inlineStr"/>
      <c r="AF222" t="inlineStr"/>
    </row>
    <row r="223">
      <c r="A223" t="inlineStr">
        <is>
          <t>IT-DISC-2026-09-14-0222</t>
        </is>
      </c>
      <c r="B223" t="inlineStr">
        <is>
          <t>Certis Belchim Italia — Linkedin ufficiale</t>
        </is>
      </c>
      <c r="C223" t="inlineStr">
        <is>
          <t>LINKEDIN</t>
        </is>
      </c>
      <c r="D223" t="inlineStr">
        <is>
          <t>ORG</t>
        </is>
      </c>
      <c r="E223" t="inlineStr">
        <is>
          <t>Certis Belchim</t>
        </is>
      </c>
      <c r="F223" t="inlineStr">
        <is>
          <t>https://www.linkedin.com/company/certisbelchim-italia</t>
        </is>
      </c>
      <c r="G223" t="inlineStr">
        <is>
          <t>https://www.linkedin.com/company/certisbelchim-italia</t>
        </is>
      </c>
      <c r="H223" t="inlineStr">
        <is>
          <t>https://www.linkedin.com/company/certisbelchim-italia</t>
        </is>
      </c>
      <c r="I223" t="n">
        <v>200</v>
      </c>
      <c r="J223" t="inlineStr">
        <is>
          <t>text/html</t>
        </is>
      </c>
      <c r="K223" t="n">
        <v>0</v>
      </c>
      <c r="L223" t="b">
        <v>1</v>
      </c>
      <c r="M223" t="b">
        <v>1</v>
      </c>
      <c r="N223" t="inlineStr">
        <is>
          <t>PROVED_BY_OWNER_SITE</t>
        </is>
      </c>
      <c r="O223" t="inlineStr">
        <is>
          <t>SIM</t>
        </is>
      </c>
      <c r="P223" t="inlineStr">
        <is>
          <t>SIM — declarado por dono italiano no proprio site</t>
        </is>
      </c>
      <c r="Q223" t="inlineStr">
        <is>
          <t>https://www.certisbelchim.it/</t>
        </is>
      </c>
      <c r="R223" t="inlineStr">
        <is>
          <t>sonda HTTP read-only (GET limitado, payload nao preservado) + declaracao do perfil no site oficial do dono (rota publica, secao 10)</t>
        </is>
      </c>
      <c r="S223" t="inlineStr">
        <is>
          <t>2026-09-14T11:25:40Z</t>
        </is>
      </c>
      <c r="T223" t="inlineStr">
        <is>
          <t>PASS</t>
        </is>
      </c>
      <c r="U223" t="inlineStr"/>
      <c r="V223" t="inlineStr">
        <is>
          <t>T9;T10</t>
        </is>
      </c>
      <c r="W223" t="inlineStr">
        <is>
          <t>NAZIONALE</t>
        </is>
      </c>
      <c r="X223" t="inlineStr"/>
      <c r="Y223" t="inlineStr">
        <is>
          <t>agrofarmaci;concorrente</t>
        </is>
      </c>
      <c r="Z223" t="inlineStr">
        <is>
          <t>titulo da pagina: Certis Belchim IT | LinkedIn</t>
        </is>
      </c>
      <c r="AA223" t="inlineStr">
        <is>
          <t>site oficial do dono: https://www.certisbelchim.it/</t>
        </is>
      </c>
      <c r="AB223" t="inlineStr">
        <is>
          <t>nao sorteada</t>
        </is>
      </c>
      <c r="AC223" t="inlineStr">
        <is>
          <t>nao sorteada</t>
        </is>
      </c>
      <c r="AE223" t="inlineStr"/>
      <c r="AF223" t="inlineStr"/>
    </row>
    <row r="224">
      <c r="A224" t="inlineStr">
        <is>
          <t>IT-DISC-2026-09-14-0223</t>
        </is>
      </c>
      <c r="B224" t="inlineStr">
        <is>
          <t>Coldiretti — Linkedin ufficiale</t>
        </is>
      </c>
      <c r="C224" t="inlineStr">
        <is>
          <t>LINKEDIN</t>
        </is>
      </c>
      <c r="D224" t="inlineStr">
        <is>
          <t>ORG</t>
        </is>
      </c>
      <c r="E224" t="inlineStr">
        <is>
          <t>Coldiretti</t>
        </is>
      </c>
      <c r="F224" t="inlineStr">
        <is>
          <t>https://www.linkedin.com/company/confederazione-nazionale-coldiretti</t>
        </is>
      </c>
      <c r="G224" t="inlineStr">
        <is>
          <t>https://www.linkedin.com/company/confederazione-nazionale-coldiretti</t>
        </is>
      </c>
      <c r="H224" t="inlineStr">
        <is>
          <t>https://www.linkedin.com/company/confederazione-nazionale-coldiretti</t>
        </is>
      </c>
      <c r="I224" t="n">
        <v>200</v>
      </c>
      <c r="J224" t="inlineStr">
        <is>
          <t>text/html</t>
        </is>
      </c>
      <c r="K224" t="n">
        <v>0</v>
      </c>
      <c r="L224" t="b">
        <v>1</v>
      </c>
      <c r="M224" t="b">
        <v>1</v>
      </c>
      <c r="N224" t="inlineStr">
        <is>
          <t>PROVED_BY_OWNER_SITE</t>
        </is>
      </c>
      <c r="O224" t="inlineStr">
        <is>
          <t>SIM</t>
        </is>
      </c>
      <c r="P224" t="inlineStr">
        <is>
          <t>SIM — declarado por dono italiano no proprio site</t>
        </is>
      </c>
      <c r="Q224" t="inlineStr">
        <is>
          <t>https://www.coldiretti.it/</t>
        </is>
      </c>
      <c r="R224" t="inlineStr">
        <is>
          <t>sonda HTTP read-only (GET limitado, payload nao preservado) + declaracao do perfil no site oficial do dono (rota publica, secao 10)</t>
        </is>
      </c>
      <c r="S224" t="inlineStr">
        <is>
          <t>2026-09-14T11:25:25Z</t>
        </is>
      </c>
      <c r="T224" t="inlineStr">
        <is>
          <t>PASS</t>
        </is>
      </c>
      <c r="U224" t="inlineStr"/>
      <c r="V224" t="inlineStr">
        <is>
          <t>T12;T7;T10</t>
        </is>
      </c>
      <c r="W224" t="inlineStr">
        <is>
          <t>NAZIONALE</t>
        </is>
      </c>
      <c r="X224" t="inlineStr"/>
      <c r="Y224" t="inlineStr">
        <is>
          <t>organizzazione agricola;policy</t>
        </is>
      </c>
      <c r="Z224" t="inlineStr">
        <is>
          <t>titulo da pagina: Coldiretti | LinkedIn</t>
        </is>
      </c>
      <c r="AA224" t="inlineStr">
        <is>
          <t>site oficial do dono: https://www.coldiretti.it/</t>
        </is>
      </c>
      <c r="AB224" t="inlineStr">
        <is>
          <t>nao sorteada</t>
        </is>
      </c>
      <c r="AC224" t="inlineStr">
        <is>
          <t>SIM</t>
        </is>
      </c>
      <c r="AE224" t="inlineStr"/>
      <c r="AF224" t="inlineStr"/>
    </row>
    <row r="225">
      <c r="A225" t="inlineStr">
        <is>
          <t>IT-DISC-2026-09-14-0224</t>
        </is>
      </c>
      <c r="B225" t="inlineStr">
        <is>
          <t>FederUnacoma — Federazione Nazionale Costruttori Macchine per l'Agricoltura — Linkedin ufficiale</t>
        </is>
      </c>
      <c r="C225" t="inlineStr">
        <is>
          <t>LINKEDIN</t>
        </is>
      </c>
      <c r="D225" t="inlineStr">
        <is>
          <t>ORG</t>
        </is>
      </c>
      <c r="E225" t="inlineStr">
        <is>
          <t>FederUnacoma</t>
        </is>
      </c>
      <c r="F225" t="inlineStr">
        <is>
          <t>https://www.linkedin.com/company/federunacoma</t>
        </is>
      </c>
      <c r="G225" t="inlineStr">
        <is>
          <t>https://www.linkedin.com/company/federunacoma</t>
        </is>
      </c>
      <c r="H225" t="inlineStr">
        <is>
          <t>https://www.linkedin.com/company/federunacoma</t>
        </is>
      </c>
      <c r="I225" t="n">
        <v>200</v>
      </c>
      <c r="J225" t="inlineStr">
        <is>
          <t>text/html</t>
        </is>
      </c>
      <c r="K225" t="n">
        <v>0</v>
      </c>
      <c r="L225" t="b">
        <v>1</v>
      </c>
      <c r="M225" t="b">
        <v>1</v>
      </c>
      <c r="N225" t="inlineStr">
        <is>
          <t>PROVED_BY_OWNER_SITE</t>
        </is>
      </c>
      <c r="O225" t="inlineStr">
        <is>
          <t>SIM</t>
        </is>
      </c>
      <c r="P225" t="inlineStr">
        <is>
          <t>SIM — declarado por dono italiano no proprio site</t>
        </is>
      </c>
      <c r="Q225" t="inlineStr">
        <is>
          <t>https://www.federunacoma.it/</t>
        </is>
      </c>
      <c r="R225" t="inlineStr">
        <is>
          <t>sonda HTTP read-only (GET limitado, payload nao preservado) + declaracao do perfil no site oficial do dono (rota publica, secao 10)</t>
        </is>
      </c>
      <c r="S225" t="inlineStr">
        <is>
          <t>2026-09-14T11:25:40Z</t>
        </is>
      </c>
      <c r="T225" t="inlineStr">
        <is>
          <t>PASS</t>
        </is>
      </c>
      <c r="U225" t="inlineStr"/>
      <c r="V225" t="inlineStr">
        <is>
          <t>T10;T11</t>
        </is>
      </c>
      <c r="W225" t="inlineStr">
        <is>
          <t>NAZIONALE</t>
        </is>
      </c>
      <c r="X225" t="inlineStr"/>
      <c r="Y225" t="inlineStr">
        <is>
          <t>meccanizzazione;mercato macchine</t>
        </is>
      </c>
      <c r="Z225" t="inlineStr">
        <is>
          <t>titulo da pagina: FederUnacoma | LinkedIn</t>
        </is>
      </c>
      <c r="AA225" t="inlineStr">
        <is>
          <t>site oficial do dono: https://www.federunacoma.it/</t>
        </is>
      </c>
      <c r="AB225" t="inlineStr">
        <is>
          <t>nao sorteada</t>
        </is>
      </c>
      <c r="AC225" t="inlineStr">
        <is>
          <t>nao sorteada</t>
        </is>
      </c>
      <c r="AE225" t="inlineStr"/>
      <c r="AF225" t="inlineStr"/>
    </row>
    <row r="226">
      <c r="A226" t="inlineStr">
        <is>
          <t>IT-DISC-2026-09-14-0225</t>
        </is>
      </c>
      <c r="B226" t="inlineStr">
        <is>
          <t>FreshPlaza Italia — Linkedin ufficiale</t>
        </is>
      </c>
      <c r="C226" t="inlineStr">
        <is>
          <t>LINKEDIN</t>
        </is>
      </c>
      <c r="D226" t="inlineStr">
        <is>
          <t>ORG</t>
        </is>
      </c>
      <c r="E226" t="inlineStr">
        <is>
          <t>FreshPlaza</t>
        </is>
      </c>
      <c r="F226" t="inlineStr">
        <is>
          <t>https://www.linkedin.com/company/1602695</t>
        </is>
      </c>
      <c r="G226" t="inlineStr">
        <is>
          <t>https://www.linkedin.com/company/1602695</t>
        </is>
      </c>
      <c r="H226" t="inlineStr">
        <is>
          <t>https://www.linkedin.com/uas/login?session_redirect=%2Fcompany%2F1602695</t>
        </is>
      </c>
      <c r="I226" t="n">
        <v>200</v>
      </c>
      <c r="J226" t="inlineStr">
        <is>
          <t>text/html</t>
        </is>
      </c>
      <c r="K226" t="n">
        <v>1</v>
      </c>
      <c r="L226" t="b">
        <v>1</v>
      </c>
      <c r="M226" t="b">
        <v>1</v>
      </c>
      <c r="N226" t="inlineStr">
        <is>
          <t>PROVED_BY_OWNER_SITE</t>
        </is>
      </c>
      <c r="O226" t="inlineStr">
        <is>
          <t>SIM</t>
        </is>
      </c>
      <c r="P226" t="inlineStr">
        <is>
          <t>SIM — declarado por dono italiano no proprio site</t>
        </is>
      </c>
      <c r="Q226" t="inlineStr">
        <is>
          <t>https://www.freshplaza.it/</t>
        </is>
      </c>
      <c r="R226" t="inlineStr">
        <is>
          <t>sonda HTTP read-only (GET limitado, payload nao preservado) + declaracao do perfil no site oficial do dono (rota publica, secao 10)</t>
        </is>
      </c>
      <c r="S226" t="inlineStr">
        <is>
          <t>2026-09-14T11:25:37Z</t>
        </is>
      </c>
      <c r="T226" t="inlineStr">
        <is>
          <t>PASS</t>
        </is>
      </c>
      <c r="U226" t="inlineStr"/>
      <c r="V226" t="inlineStr">
        <is>
          <t>T10;T1</t>
        </is>
      </c>
      <c r="W226" t="inlineStr">
        <is>
          <t>NAZIONALE</t>
        </is>
      </c>
      <c r="X226" t="inlineStr">
        <is>
          <t>ortofrutta</t>
        </is>
      </c>
      <c r="Y226" t="inlineStr">
        <is>
          <t>ortofrutta;mercato internazionale</t>
        </is>
      </c>
      <c r="Z226" t="inlineStr">
        <is>
          <t>titulo da pagina: Accesso LinkedIn, accedi | LinkedIn</t>
        </is>
      </c>
      <c r="AA226" t="inlineStr">
        <is>
          <t>site oficial do dono: https://www.freshplaza.it/</t>
        </is>
      </c>
      <c r="AB226" t="inlineStr">
        <is>
          <t>nao sorteada</t>
        </is>
      </c>
      <c r="AC226" t="inlineStr">
        <is>
          <t>nao sorteada</t>
        </is>
      </c>
      <c r="AE226" t="inlineStr"/>
      <c r="AF226" t="inlineStr"/>
    </row>
    <row r="227">
      <c r="A227" t="inlineStr">
        <is>
          <t>IT-DISC-2026-09-14-0226</t>
        </is>
      </c>
      <c r="B227" t="inlineStr">
        <is>
          <t>ISPRA — Istituto Superiore per la Protezione e la Ricerca Ambientale — Linkedin ufficiale</t>
        </is>
      </c>
      <c r="C227" t="inlineStr">
        <is>
          <t>LINKEDIN</t>
        </is>
      </c>
      <c r="D227" t="inlineStr">
        <is>
          <t>ORG</t>
        </is>
      </c>
      <c r="E227" t="inlineStr">
        <is>
          <t>ISPRA</t>
        </is>
      </c>
      <c r="F227" t="inlineStr">
        <is>
          <t>https://www.linkedin.com/company/ispra_2</t>
        </is>
      </c>
      <c r="G227" t="inlineStr">
        <is>
          <t>https://www.linkedin.com/company/ispra_2</t>
        </is>
      </c>
      <c r="H227" t="inlineStr">
        <is>
          <t>https://www.linkedin.com/company/ispra_2</t>
        </is>
      </c>
      <c r="I227" t="n">
        <v>200</v>
      </c>
      <c r="J227" t="inlineStr">
        <is>
          <t>text/html</t>
        </is>
      </c>
      <c r="K227" t="n">
        <v>0</v>
      </c>
      <c r="L227" t="b">
        <v>1</v>
      </c>
      <c r="M227" t="b">
        <v>1</v>
      </c>
      <c r="N227" t="inlineStr">
        <is>
          <t>PROVED_BY_OWNER_SITE</t>
        </is>
      </c>
      <c r="O227" t="inlineStr">
        <is>
          <t>SIM</t>
        </is>
      </c>
      <c r="P227" t="inlineStr">
        <is>
          <t>SIM — declarado por dono italiano no proprio site</t>
        </is>
      </c>
      <c r="Q227" t="inlineStr">
        <is>
          <t>https://www.isprambiente.gov.it/</t>
        </is>
      </c>
      <c r="R227" t="inlineStr">
        <is>
          <t>sonda HTTP read-only (GET limitado, payload nao preservado) + declaracao do perfil no site oficial do dono (rota publica, secao 10)</t>
        </is>
      </c>
      <c r="S227" t="inlineStr">
        <is>
          <t>2026-09-14T11:25:21Z</t>
        </is>
      </c>
      <c r="T227" t="inlineStr">
        <is>
          <t>PASS</t>
        </is>
      </c>
      <c r="U227" t="inlineStr"/>
      <c r="V227" t="inlineStr">
        <is>
          <t>T2;T12</t>
        </is>
      </c>
      <c r="W227" t="inlineStr">
        <is>
          <t>NAZIONALE</t>
        </is>
      </c>
      <c r="X227" t="inlineStr"/>
      <c r="Y227" t="inlineStr">
        <is>
          <t>ambiente;acque;suolo;indicatori</t>
        </is>
      </c>
      <c r="Z227" t="inlineStr">
        <is>
          <t>titulo da pagina: ISPRA | LinkedIn</t>
        </is>
      </c>
      <c r="AA227" t="inlineStr">
        <is>
          <t>site oficial do dono: https://www.isprambiente.gov.it/</t>
        </is>
      </c>
      <c r="AB227" t="inlineStr">
        <is>
          <t>nao sorteada</t>
        </is>
      </c>
      <c r="AC227" t="inlineStr">
        <is>
          <t>nao sorteada</t>
        </is>
      </c>
      <c r="AE227" t="inlineStr"/>
      <c r="AF227" t="inlineStr"/>
    </row>
    <row r="228">
      <c r="A228" t="inlineStr">
        <is>
          <t>IT-DISC-2026-09-14-0227</t>
        </is>
      </c>
      <c r="B228" t="inlineStr">
        <is>
          <t>Italmopa — Associazione Industriali Mugnai d'Italia — Linkedin ufficiale</t>
        </is>
      </c>
      <c r="C228" t="inlineStr">
        <is>
          <t>LINKEDIN</t>
        </is>
      </c>
      <c r="D228" t="inlineStr">
        <is>
          <t>ORG</t>
        </is>
      </c>
      <c r="E228" t="inlineStr">
        <is>
          <t>Italmopa</t>
        </is>
      </c>
      <c r="F228" t="inlineStr">
        <is>
          <t>https://www.linkedin.com/company/italmopa</t>
        </is>
      </c>
      <c r="G228" t="inlineStr">
        <is>
          <t>https://www.linkedin.com/company/italmopa</t>
        </is>
      </c>
      <c r="H228" t="inlineStr">
        <is>
          <t>https://www.linkedin.com/company/italmopa</t>
        </is>
      </c>
      <c r="I228" t="n">
        <v>200</v>
      </c>
      <c r="J228" t="inlineStr">
        <is>
          <t>text/html</t>
        </is>
      </c>
      <c r="K228" t="n">
        <v>0</v>
      </c>
      <c r="L228" t="b">
        <v>1</v>
      </c>
      <c r="M228" t="b">
        <v>1</v>
      </c>
      <c r="N228" t="inlineStr">
        <is>
          <t>PROVED_BY_OWNER_SITE</t>
        </is>
      </c>
      <c r="O228" t="inlineStr">
        <is>
          <t>SIM</t>
        </is>
      </c>
      <c r="P228" t="inlineStr">
        <is>
          <t>SIM — declarado por dono italiano no proprio site</t>
        </is>
      </c>
      <c r="Q228" t="inlineStr">
        <is>
          <t>https://www.italmopa.com/</t>
        </is>
      </c>
      <c r="R228" t="inlineStr">
        <is>
          <t>sonda HTTP read-only (GET limitado, payload nao preservado) + declaracao do perfil no site oficial do dono (rota publica, secao 10)</t>
        </is>
      </c>
      <c r="S228" t="inlineStr">
        <is>
          <t>2026-09-14T11:25:26Z</t>
        </is>
      </c>
      <c r="T228" t="inlineStr">
        <is>
          <t>PASS</t>
        </is>
      </c>
      <c r="U228" t="inlineStr"/>
      <c r="V228" t="inlineStr">
        <is>
          <t>T10;T1</t>
        </is>
      </c>
      <c r="W228" t="inlineStr">
        <is>
          <t>NAZIONALE</t>
        </is>
      </c>
      <c r="X228" t="inlineStr">
        <is>
          <t>grano</t>
        </is>
      </c>
      <c r="Y228" t="inlineStr">
        <is>
          <t>grano;molini;mercato</t>
        </is>
      </c>
      <c r="Z228" t="inlineStr">
        <is>
          <t>titulo da pagina: Italmopa - Associazione Industriali Mugnai d’Italia | LinkedIn</t>
        </is>
      </c>
      <c r="AA228" t="inlineStr">
        <is>
          <t>site oficial do dono: https://www.italmopa.com/</t>
        </is>
      </c>
      <c r="AB228" t="inlineStr">
        <is>
          <t>nao sorteada</t>
        </is>
      </c>
      <c r="AC228" t="inlineStr">
        <is>
          <t>nao sorteada</t>
        </is>
      </c>
      <c r="AE228" t="inlineStr"/>
      <c r="AF228" t="inlineStr"/>
    </row>
    <row r="229">
      <c r="A229" t="inlineStr">
        <is>
          <t>IT-DISC-2026-09-14-0228</t>
        </is>
      </c>
      <c r="B229" t="inlineStr">
        <is>
          <t>Koppert Italia — Linkedin ufficiale</t>
        </is>
      </c>
      <c r="C229" t="inlineStr">
        <is>
          <t>LINKEDIN</t>
        </is>
      </c>
      <c r="D229" t="inlineStr">
        <is>
          <t>ORG</t>
        </is>
      </c>
      <c r="E229" t="inlineStr">
        <is>
          <t>Koppert Biological Systems</t>
        </is>
      </c>
      <c r="F229" t="inlineStr">
        <is>
          <t>https://www.linkedin.com/company/24658052</t>
        </is>
      </c>
      <c r="G229" t="inlineStr">
        <is>
          <t>https://www.linkedin.com/company/24658052</t>
        </is>
      </c>
      <c r="H229" t="inlineStr">
        <is>
          <t>https://www.linkedin.com/uas/login?session_redirect=%2Fcompany%2F24658052</t>
        </is>
      </c>
      <c r="I229" t="n">
        <v>200</v>
      </c>
      <c r="J229" t="inlineStr">
        <is>
          <t>text/html</t>
        </is>
      </c>
      <c r="K229" t="n">
        <v>1</v>
      </c>
      <c r="L229" t="b">
        <v>1</v>
      </c>
      <c r="M229" t="b">
        <v>1</v>
      </c>
      <c r="N229" t="inlineStr">
        <is>
          <t>PROVED_BY_OWNER_SITE</t>
        </is>
      </c>
      <c r="O229" t="inlineStr">
        <is>
          <t>SIM</t>
        </is>
      </c>
      <c r="P229" t="inlineStr">
        <is>
          <t>SIM — declarado por dono italiano no proprio site</t>
        </is>
      </c>
      <c r="Q229" t="inlineStr">
        <is>
          <t>https://www.koppert.it/</t>
        </is>
      </c>
      <c r="R229" t="inlineStr">
        <is>
          <t>sonda HTTP read-only (GET limitado, payload nao preservado) + declaracao do perfil no site oficial do dono (rota publica, secao 10)</t>
        </is>
      </c>
      <c r="S229" t="inlineStr">
        <is>
          <t>2026-09-14T11:25:41Z</t>
        </is>
      </c>
      <c r="T229" t="inlineStr">
        <is>
          <t>PASS</t>
        </is>
      </c>
      <c r="U229" t="inlineStr"/>
      <c r="V229" t="inlineStr">
        <is>
          <t>T9;T3</t>
        </is>
      </c>
      <c r="W229" t="inlineStr">
        <is>
          <t>NAZIONALE</t>
        </is>
      </c>
      <c r="X229" t="inlineStr"/>
      <c r="Y229" t="inlineStr">
        <is>
          <t>biocontrollo;insetti utili</t>
        </is>
      </c>
      <c r="Z229" t="inlineStr">
        <is>
          <t>titulo da pagina: Accesso LinkedIn, accedi | LinkedIn</t>
        </is>
      </c>
      <c r="AA229" t="inlineStr">
        <is>
          <t>site oficial do dono: https://www.koppert.it/</t>
        </is>
      </c>
      <c r="AB229" t="inlineStr">
        <is>
          <t>nao sorteada</t>
        </is>
      </c>
      <c r="AC229" t="inlineStr">
        <is>
          <t>nao sorteada</t>
        </is>
      </c>
      <c r="AE229" t="inlineStr"/>
      <c r="AF229" t="inlineStr"/>
    </row>
    <row r="230">
      <c r="A230" t="inlineStr">
        <is>
          <t>IT-DISC-2026-09-14-0229</t>
        </is>
      </c>
      <c r="B230" t="inlineStr">
        <is>
          <t>Myfruit.it — Linkedin ufficiale</t>
        </is>
      </c>
      <c r="C230" t="inlineStr">
        <is>
          <t>LINKEDIN</t>
        </is>
      </c>
      <c r="D230" t="inlineStr">
        <is>
          <t>ORG</t>
        </is>
      </c>
      <c r="E230" t="inlineStr">
        <is>
          <t>Myfruit</t>
        </is>
      </c>
      <c r="F230" t="inlineStr">
        <is>
          <t>https://www.linkedin.com/company/698415/admin/feed/posts</t>
        </is>
      </c>
      <c r="G230" t="inlineStr">
        <is>
          <t>https://www.linkedin.com/company/698415/admin/feed/posts</t>
        </is>
      </c>
      <c r="H230" t="inlineStr">
        <is>
          <t>https://www.linkedin.com/uas/login?session_redirect=https%3A%2F%2Fwww.linkedin.com%2Fcompany%2F698415%2Fadmin%2Ffeed%2Fposts</t>
        </is>
      </c>
      <c r="I230" t="n">
        <v>200</v>
      </c>
      <c r="J230" t="inlineStr">
        <is>
          <t>text/html</t>
        </is>
      </c>
      <c r="K230" t="n">
        <v>1</v>
      </c>
      <c r="L230" t="b">
        <v>1</v>
      </c>
      <c r="M230" t="b">
        <v>1</v>
      </c>
      <c r="N230" t="inlineStr">
        <is>
          <t>PROVED_BY_OWNER_SITE</t>
        </is>
      </c>
      <c r="O230" t="inlineStr">
        <is>
          <t>SIM</t>
        </is>
      </c>
      <c r="P230" t="inlineStr">
        <is>
          <t>SIM — declarado por dono italiano no proprio site</t>
        </is>
      </c>
      <c r="Q230" t="inlineStr">
        <is>
          <t>https://www.myfruit.it/</t>
        </is>
      </c>
      <c r="R230" t="inlineStr">
        <is>
          <t>sonda HTTP read-only (GET limitado, payload nao preservado) + declaracao do perfil no site oficial do dono (rota publica, secao 10)</t>
        </is>
      </c>
      <c r="S230" t="inlineStr">
        <is>
          <t>2026-09-14T11:25:37Z</t>
        </is>
      </c>
      <c r="T230" t="inlineStr">
        <is>
          <t>PASS</t>
        </is>
      </c>
      <c r="U230" t="inlineStr"/>
      <c r="V230" t="inlineStr">
        <is>
          <t>T10;T1</t>
        </is>
      </c>
      <c r="W230" t="inlineStr">
        <is>
          <t>NAZIONALE</t>
        </is>
      </c>
      <c r="X230" t="inlineStr">
        <is>
          <t>ortofrutta</t>
        </is>
      </c>
      <c r="Y230" t="inlineStr">
        <is>
          <t>ortofrutta;mercato</t>
        </is>
      </c>
      <c r="Z230" t="inlineStr">
        <is>
          <t>titulo da pagina: Accesso LinkedIn, accedi | LinkedIn</t>
        </is>
      </c>
      <c r="AA230" t="inlineStr">
        <is>
          <t>site oficial do dono: https://www.myfruit.it/</t>
        </is>
      </c>
      <c r="AB230" t="inlineStr">
        <is>
          <t>nao sorteada</t>
        </is>
      </c>
      <c r="AC230" t="inlineStr">
        <is>
          <t>nao sorteada</t>
        </is>
      </c>
      <c r="AE230" t="inlineStr"/>
      <c r="AF230" t="inlineStr"/>
    </row>
    <row r="231">
      <c r="A231" t="inlineStr">
        <is>
          <t>IT-DISC-2026-09-14-0230</t>
        </is>
      </c>
      <c r="B231" t="inlineStr">
        <is>
          <t>Olio Officina — Linkedin ufficiale</t>
        </is>
      </c>
      <c r="C231" t="inlineStr">
        <is>
          <t>LINKEDIN</t>
        </is>
      </c>
      <c r="D231" t="inlineStr">
        <is>
          <t>ORG</t>
        </is>
      </c>
      <c r="E231" t="inlineStr">
        <is>
          <t>Olio Officina</t>
        </is>
      </c>
      <c r="F231" t="inlineStr">
        <is>
          <t>https://www.linkedin.com/company/olioofficina</t>
        </is>
      </c>
      <c r="G231" t="inlineStr">
        <is>
          <t>https://www.linkedin.com/company/olioofficina</t>
        </is>
      </c>
      <c r="H231" t="inlineStr">
        <is>
          <t>https://www.linkedin.com/company/olioofficina</t>
        </is>
      </c>
      <c r="I231" t="n">
        <v>200</v>
      </c>
      <c r="J231" t="inlineStr">
        <is>
          <t>text/html</t>
        </is>
      </c>
      <c r="K231" t="n">
        <v>0</v>
      </c>
      <c r="L231" t="b">
        <v>1</v>
      </c>
      <c r="M231" t="b">
        <v>1</v>
      </c>
      <c r="N231" t="inlineStr">
        <is>
          <t>PROVED_BY_OWNER_SITE</t>
        </is>
      </c>
      <c r="O231" t="inlineStr">
        <is>
          <t>SIM</t>
        </is>
      </c>
      <c r="P231" t="inlineStr">
        <is>
          <t>SIM — declarado por dono italiano no proprio site</t>
        </is>
      </c>
      <c r="Q231" t="inlineStr">
        <is>
          <t>https://www.olioofficina.it/</t>
        </is>
      </c>
      <c r="R231" t="inlineStr">
        <is>
          <t>sonda HTTP read-only (GET limitado, payload nao preservado) + declaracao do perfil no site oficial do dono (rota publica, secao 10)</t>
        </is>
      </c>
      <c r="S231" t="inlineStr">
        <is>
          <t>2026-09-14T11:25:38Z</t>
        </is>
      </c>
      <c r="T231" t="inlineStr">
        <is>
          <t>PASS</t>
        </is>
      </c>
      <c r="U231" t="inlineStr"/>
      <c r="V231" t="inlineStr">
        <is>
          <t>T1;T10</t>
        </is>
      </c>
      <c r="W231" t="inlineStr">
        <is>
          <t>NAZIONALE</t>
        </is>
      </c>
      <c r="X231" t="inlineStr">
        <is>
          <t>olio</t>
        </is>
      </c>
      <c r="Y231" t="inlineStr">
        <is>
          <t>olio;cultura olivicola</t>
        </is>
      </c>
      <c r="Z231" t="inlineStr">
        <is>
          <t>titulo da pagina: Olio Officina | LinkedIn</t>
        </is>
      </c>
      <c r="AA231" t="inlineStr">
        <is>
          <t>site oficial do dono: https://www.olioofficina.it/</t>
        </is>
      </c>
      <c r="AB231" t="inlineStr">
        <is>
          <t>nao sorteada</t>
        </is>
      </c>
      <c r="AC231" t="inlineStr">
        <is>
          <t>nao sorteada</t>
        </is>
      </c>
      <c r="AE231" t="inlineStr"/>
      <c r="AF231" t="inlineStr"/>
    </row>
    <row r="232">
      <c r="A232" t="inlineStr">
        <is>
          <t>IT-DISC-2026-09-14-0231</t>
        </is>
      </c>
      <c r="B232" t="inlineStr">
        <is>
          <t>Rete Rurale Nazionale — Linkedin ufficiale</t>
        </is>
      </c>
      <c r="C232" t="inlineStr">
        <is>
          <t>LINKEDIN</t>
        </is>
      </c>
      <c r="D232" t="inlineStr">
        <is>
          <t>ORG</t>
        </is>
      </c>
      <c r="E232" t="inlineStr">
        <is>
          <t>MASAF — Rete Rurale Nazionale</t>
        </is>
      </c>
      <c r="F232" t="inlineStr">
        <is>
          <t>https://www.linkedin.com/showcase/retenazionalepac</t>
        </is>
      </c>
      <c r="G232" t="inlineStr">
        <is>
          <t>https://www.linkedin.com/showcase/retenazionalepac</t>
        </is>
      </c>
      <c r="H232" t="inlineStr">
        <is>
          <t>https://www.linkedin.com/showcase/retenazionalepac</t>
        </is>
      </c>
      <c r="I232" t="n">
        <v>200</v>
      </c>
      <c r="J232" t="inlineStr">
        <is>
          <t>text/html</t>
        </is>
      </c>
      <c r="K232" t="n">
        <v>0</v>
      </c>
      <c r="L232" t="b">
        <v>1</v>
      </c>
      <c r="M232" t="b">
        <v>1</v>
      </c>
      <c r="N232" t="inlineStr">
        <is>
          <t>PROVED_BY_OWNER_SITE</t>
        </is>
      </c>
      <c r="O232" t="inlineStr">
        <is>
          <t>SIM</t>
        </is>
      </c>
      <c r="P232" t="inlineStr">
        <is>
          <t>SIM — declarado por dono italiano no proprio site</t>
        </is>
      </c>
      <c r="Q232" t="inlineStr">
        <is>
          <t>https://www.reterurale.it/</t>
        </is>
      </c>
      <c r="R232" t="inlineStr">
        <is>
          <t>sonda HTTP read-only (GET limitado, payload nao preservado) + declaracao do perfil no site oficial do dono (rota publica, secao 10)</t>
        </is>
      </c>
      <c r="S232" t="inlineStr">
        <is>
          <t>2026-09-14T11:25:21Z</t>
        </is>
      </c>
      <c r="T232" t="inlineStr">
        <is>
          <t>PASS</t>
        </is>
      </c>
      <c r="U232" t="inlineStr"/>
      <c r="V232" t="inlineStr">
        <is>
          <t>T12;T7</t>
        </is>
      </c>
      <c r="W232" t="inlineStr">
        <is>
          <t>NAZIONALE</t>
        </is>
      </c>
      <c r="X232" t="inlineStr"/>
      <c r="Y232" t="inlineStr">
        <is>
          <t>PSR;sviluppo rurale;CAP</t>
        </is>
      </c>
      <c r="Z232" t="inlineStr">
        <is>
          <t>titulo da pagina: Rete Nazionale PAC | LinkedIn</t>
        </is>
      </c>
      <c r="AA232" t="inlineStr">
        <is>
          <t>site oficial do dono: https://www.reterurale.it/</t>
        </is>
      </c>
      <c r="AB232" t="inlineStr">
        <is>
          <t>nao sorteada</t>
        </is>
      </c>
      <c r="AC232" t="inlineStr">
        <is>
          <t>nao sorteada</t>
        </is>
      </c>
      <c r="AE232" t="inlineStr"/>
      <c r="AF232" t="inlineStr"/>
    </row>
    <row r="233">
      <c r="A233" t="inlineStr">
        <is>
          <t>IT-DISC-2026-09-14-0232</t>
        </is>
      </c>
      <c r="B233" t="inlineStr">
        <is>
          <t>SIA — Societa Italiana di Agronomia — Linkedin ufficiale</t>
        </is>
      </c>
      <c r="C233" t="inlineStr">
        <is>
          <t>LINKEDIN</t>
        </is>
      </c>
      <c r="D233" t="inlineStr">
        <is>
          <t>ORG</t>
        </is>
      </c>
      <c r="E233" t="inlineStr">
        <is>
          <t>Societa Italiana di Agronomia</t>
        </is>
      </c>
      <c r="F233" t="inlineStr">
        <is>
          <t>https://www.linkedin.com/company/societ</t>
        </is>
      </c>
      <c r="G233" t="inlineStr">
        <is>
          <t>https://www.linkedin.com/company/societ</t>
        </is>
      </c>
      <c r="H233" t="inlineStr">
        <is>
          <t>https://www.linkedin.com/company/societ</t>
        </is>
      </c>
      <c r="I233" t="n">
        <v>200</v>
      </c>
      <c r="J233" t="inlineStr">
        <is>
          <t>text/html</t>
        </is>
      </c>
      <c r="K233" t="n">
        <v>0</v>
      </c>
      <c r="L233" t="b">
        <v>1</v>
      </c>
      <c r="M233" t="b">
        <v>1</v>
      </c>
      <c r="N233" t="inlineStr">
        <is>
          <t>PROVED_BY_OWNER_SITE</t>
        </is>
      </c>
      <c r="O233" t="inlineStr">
        <is>
          <t>SIM</t>
        </is>
      </c>
      <c r="P233" t="inlineStr">
        <is>
          <t>SIM — declarado por dono italiano no proprio site</t>
        </is>
      </c>
      <c r="Q233" t="inlineStr">
        <is>
          <t>https://www.siagr.it/</t>
        </is>
      </c>
      <c r="R233" t="inlineStr">
        <is>
          <t>sonda HTTP read-only (GET limitado, payload nao preservado) + declaracao do perfil no site oficial do dono (rota publica, secao 10)</t>
        </is>
      </c>
      <c r="S233" t="inlineStr">
        <is>
          <t>2026-09-14T11:25:24Z</t>
        </is>
      </c>
      <c r="T233" t="inlineStr">
        <is>
          <t>PASS</t>
        </is>
      </c>
      <c r="U233" t="inlineStr"/>
      <c r="V233" t="inlineStr">
        <is>
          <t>T1;T5</t>
        </is>
      </c>
      <c r="W233" t="inlineStr">
        <is>
          <t>NAZIONALE</t>
        </is>
      </c>
      <c r="X233" t="inlineStr"/>
      <c r="Y233" t="inlineStr">
        <is>
          <t>agronomia;congresso</t>
        </is>
      </c>
      <c r="Z233" t="inlineStr">
        <is>
          <t>titulo da pagina: Societ | LinkedIn</t>
        </is>
      </c>
      <c r="AA233" t="inlineStr">
        <is>
          <t>site oficial do dono: https://www.siagr.it/</t>
        </is>
      </c>
      <c r="AB233" t="inlineStr">
        <is>
          <t>nao sorteada</t>
        </is>
      </c>
      <c r="AC233" t="inlineStr">
        <is>
          <t>nao sorteada</t>
        </is>
      </c>
      <c r="AE233" t="inlineStr"/>
      <c r="AF233" t="inlineStr"/>
    </row>
    <row r="234">
      <c r="A234" t="inlineStr">
        <is>
          <t>IT-DISC-2026-09-14-0233</t>
        </is>
      </c>
      <c r="B234" t="inlineStr">
        <is>
          <t>SIMEI — Salone Internazionale Macchine per Enologia e Imbottigliamento — Linkedin ufficiale</t>
        </is>
      </c>
      <c r="C234" t="inlineStr">
        <is>
          <t>LINKEDIN</t>
        </is>
      </c>
      <c r="D234" t="inlineStr">
        <is>
          <t>ORG</t>
        </is>
      </c>
      <c r="E234" t="inlineStr">
        <is>
          <t>Unione Italiana Vini</t>
        </is>
      </c>
      <c r="F234" t="inlineStr">
        <is>
          <t>https://www.linkedin.com/company/simeiexhibition</t>
        </is>
      </c>
      <c r="G234" t="inlineStr">
        <is>
          <t>https://www.linkedin.com/company/simeiexhibition</t>
        </is>
      </c>
      <c r="H234" t="inlineStr">
        <is>
          <t>https://www.linkedin.com/company/simeiexhibition</t>
        </is>
      </c>
      <c r="I234" t="n">
        <v>200</v>
      </c>
      <c r="J234" t="inlineStr">
        <is>
          <t>text/html</t>
        </is>
      </c>
      <c r="K234" t="n">
        <v>0</v>
      </c>
      <c r="L234" t="b">
        <v>1</v>
      </c>
      <c r="M234" t="b">
        <v>1</v>
      </c>
      <c r="N234" t="inlineStr">
        <is>
          <t>PROVED_BY_OWNER_SITE</t>
        </is>
      </c>
      <c r="O234" t="inlineStr">
        <is>
          <t>SIM</t>
        </is>
      </c>
      <c r="P234" t="inlineStr">
        <is>
          <t>SIM — declarado por dono italiano no proprio site</t>
        </is>
      </c>
      <c r="Q234" t="inlineStr">
        <is>
          <t>https://www.simei.it/</t>
        </is>
      </c>
      <c r="R234" t="inlineStr">
        <is>
          <t>sonda HTTP read-only (GET limitado, payload nao preservado) + declaracao do perfil no site oficial do dono (rota publica, secao 10)</t>
        </is>
      </c>
      <c r="S234" t="inlineStr">
        <is>
          <t>2026-09-14T11:25:39Z</t>
        </is>
      </c>
      <c r="T234" t="inlineStr">
        <is>
          <t>PASS</t>
        </is>
      </c>
      <c r="U234" t="inlineStr"/>
      <c r="V234" t="inlineStr">
        <is>
          <t>T11;T10</t>
        </is>
      </c>
      <c r="W234" t="inlineStr">
        <is>
          <t>NAZIONALE</t>
        </is>
      </c>
      <c r="X234" t="inlineStr"/>
      <c r="Y234" t="inlineStr">
        <is>
          <t>fiera enologia</t>
        </is>
      </c>
      <c r="Z234" t="inlineStr">
        <is>
          <t>titulo da pagina: SIMEI | LinkedIn</t>
        </is>
      </c>
      <c r="AA234" t="inlineStr">
        <is>
          <t>site oficial do dono: https://www.simei.it/</t>
        </is>
      </c>
      <c r="AB234" t="inlineStr">
        <is>
          <t>nao sorteada</t>
        </is>
      </c>
      <c r="AC234" t="inlineStr">
        <is>
          <t>nao sorteada</t>
        </is>
      </c>
      <c r="AE234" t="inlineStr"/>
      <c r="AF234" t="inlineStr"/>
    </row>
    <row r="235">
      <c r="A235" t="inlineStr">
        <is>
          <t>IT-DISC-2026-09-14-0234</t>
        </is>
      </c>
      <c r="B235" t="inlineStr">
        <is>
          <t>ARPA Piemonte — Linkedin ufficiale</t>
        </is>
      </c>
      <c r="C235" t="inlineStr">
        <is>
          <t>LINKEDIN</t>
        </is>
      </c>
      <c r="D235" t="inlineStr">
        <is>
          <t>ORG</t>
        </is>
      </c>
      <c r="E235" t="inlineStr">
        <is>
          <t>ARPA Piemonte</t>
        </is>
      </c>
      <c r="F235" t="inlineStr">
        <is>
          <t>https://www.linkedin.com/company/arpa-piemonte</t>
        </is>
      </c>
      <c r="G235" t="inlineStr">
        <is>
          <t>https://www.linkedin.com/company/arpa-piemonte</t>
        </is>
      </c>
      <c r="H235" t="inlineStr">
        <is>
          <t>https://www.linkedin.com/company/arpa-piemonte</t>
        </is>
      </c>
      <c r="I235" t="n">
        <v>200</v>
      </c>
      <c r="J235" t="inlineStr">
        <is>
          <t>text/html</t>
        </is>
      </c>
      <c r="K235" t="n">
        <v>0</v>
      </c>
      <c r="L235" t="b">
        <v>1</v>
      </c>
      <c r="M235" t="b">
        <v>1</v>
      </c>
      <c r="N235" t="inlineStr">
        <is>
          <t>PROVED_BY_OWNER_SITE</t>
        </is>
      </c>
      <c r="O235" t="inlineStr">
        <is>
          <t>SIM</t>
        </is>
      </c>
      <c r="P235" t="inlineStr">
        <is>
          <t>SIM — declarado por dono italiano no proprio site</t>
        </is>
      </c>
      <c r="Q235" t="inlineStr">
        <is>
          <t>https://www.arpa.piemonte.it/</t>
        </is>
      </c>
      <c r="R235" t="inlineStr">
        <is>
          <t>sonda HTTP read-only (GET limitado, payload nao preservado) + declaracao do perfil no site oficial do dono (rota publica, secao 10)</t>
        </is>
      </c>
      <c r="S235" t="inlineStr">
        <is>
          <t>2026-09-14T11:25:30Z</t>
        </is>
      </c>
      <c r="T235" t="inlineStr">
        <is>
          <t>PASS</t>
        </is>
      </c>
      <c r="U235" t="inlineStr"/>
      <c r="V235" t="inlineStr">
        <is>
          <t>T2;T12</t>
        </is>
      </c>
      <c r="W235" t="inlineStr">
        <is>
          <t>PIEMONTE</t>
        </is>
      </c>
      <c r="X235" t="inlineStr"/>
      <c r="Y235" t="inlineStr">
        <is>
          <t>meteo;clima;agrometeorologia</t>
        </is>
      </c>
      <c r="Z235" t="inlineStr">
        <is>
          <t>titulo da pagina: Arpa Piemonte | LinkedIn</t>
        </is>
      </c>
      <c r="AA235" t="inlineStr">
        <is>
          <t>site oficial do dono: https://www.arpa.piemonte.it/</t>
        </is>
      </c>
      <c r="AB235" t="inlineStr">
        <is>
          <t>nao sorteada</t>
        </is>
      </c>
      <c r="AC235" t="inlineStr">
        <is>
          <t>SIM</t>
        </is>
      </c>
      <c r="AE235" t="inlineStr"/>
      <c r="AF235" t="inlineStr"/>
    </row>
    <row r="236">
      <c r="A236" t="inlineStr">
        <is>
          <t>IT-DISC-2026-09-14-0235</t>
        </is>
      </c>
      <c r="B236" t="inlineStr">
        <is>
          <t>Regione Piemonte — Agricoltura e cibo — Linkedin ufficiale</t>
        </is>
      </c>
      <c r="C236" t="inlineStr">
        <is>
          <t>LINKEDIN</t>
        </is>
      </c>
      <c r="D236" t="inlineStr">
        <is>
          <t>ORG</t>
        </is>
      </c>
      <c r="E236" t="inlineStr">
        <is>
          <t>Regione Piemonte</t>
        </is>
      </c>
      <c r="F236" t="inlineStr">
        <is>
          <t>https://www.linkedin.com/company/regione-piemonte</t>
        </is>
      </c>
      <c r="G236" t="inlineStr">
        <is>
          <t>https://www.linkedin.com/company/regione-piemonte</t>
        </is>
      </c>
      <c r="H236" t="inlineStr">
        <is>
          <t>https://www.linkedin.com/company/regione-piemonte</t>
        </is>
      </c>
      <c r="I236" t="n">
        <v>200</v>
      </c>
      <c r="J236" t="inlineStr">
        <is>
          <t>text/html</t>
        </is>
      </c>
      <c r="K236" t="n">
        <v>0</v>
      </c>
      <c r="L236" t="b">
        <v>1</v>
      </c>
      <c r="M236" t="b">
        <v>1</v>
      </c>
      <c r="N236" t="inlineStr">
        <is>
          <t>PROVED_BY_OWNER_SITE</t>
        </is>
      </c>
      <c r="O236" t="inlineStr">
        <is>
          <t>SIM</t>
        </is>
      </c>
      <c r="P236" t="inlineStr">
        <is>
          <t>SIM — declarado por dono italiano no proprio site</t>
        </is>
      </c>
      <c r="Q236" t="inlineStr">
        <is>
          <t>https://www.regione.piemonte.it/web/temi/agricoltura</t>
        </is>
      </c>
      <c r="R236" t="inlineStr">
        <is>
          <t>sonda HTTP read-only (GET limitado, payload nao preservado) + declaracao do perfil no site oficial do dono (rota publica, secao 10)</t>
        </is>
      </c>
      <c r="S236" t="inlineStr">
        <is>
          <t>2026-09-14T11:25:29Z</t>
        </is>
      </c>
      <c r="T236" t="inlineStr">
        <is>
          <t>PASS</t>
        </is>
      </c>
      <c r="U236" t="inlineStr"/>
      <c r="V236" t="inlineStr">
        <is>
          <t>T1;T4;T3</t>
        </is>
      </c>
      <c r="W236" t="inlineStr">
        <is>
          <t>PIEMONTE</t>
        </is>
      </c>
      <c r="X236" t="inlineStr"/>
      <c r="Y236" t="inlineStr">
        <is>
          <t>agricoltura;fitosanitario;PSR</t>
        </is>
      </c>
      <c r="Z236" t="inlineStr">
        <is>
          <t>titulo da pagina: Regione Piemonte | LinkedIn</t>
        </is>
      </c>
      <c r="AA236" t="inlineStr">
        <is>
          <t>site oficial do dono: https://www.regione.piemonte.it/web/temi/agricoltura</t>
        </is>
      </c>
      <c r="AB236" t="inlineStr">
        <is>
          <t>nao sorteada</t>
        </is>
      </c>
      <c r="AC236" t="inlineStr">
        <is>
          <t>nao sorteada</t>
        </is>
      </c>
      <c r="AE236" t="inlineStr"/>
      <c r="AF236" t="inlineStr"/>
    </row>
    <row r="237">
      <c r="A237" t="inlineStr">
        <is>
          <t>IT-DISC-2026-09-14-0236</t>
        </is>
      </c>
      <c r="B237" t="inlineStr">
        <is>
          <t>ARPAT Toscana — Linkedin ufficiale</t>
        </is>
      </c>
      <c r="C237" t="inlineStr">
        <is>
          <t>LINKEDIN</t>
        </is>
      </c>
      <c r="D237" t="inlineStr">
        <is>
          <t>ORG</t>
        </is>
      </c>
      <c r="E237" t="inlineStr">
        <is>
          <t>ARPAT</t>
        </is>
      </c>
      <c r="F237" t="inlineStr">
        <is>
          <t>https://www.linkedin.com/company/arpatoscana</t>
        </is>
      </c>
      <c r="G237" t="inlineStr">
        <is>
          <t>https://www.linkedin.com/company/arpatoscana</t>
        </is>
      </c>
      <c r="H237" t="inlineStr">
        <is>
          <t>https://www.linkedin.com/company/arpatoscana</t>
        </is>
      </c>
      <c r="I237" t="n">
        <v>200</v>
      </c>
      <c r="J237" t="inlineStr">
        <is>
          <t>text/html</t>
        </is>
      </c>
      <c r="K237" t="n">
        <v>0</v>
      </c>
      <c r="L237" t="b">
        <v>1</v>
      </c>
      <c r="M237" t="b">
        <v>1</v>
      </c>
      <c r="N237" t="inlineStr">
        <is>
          <t>PROVED_BY_OWNER_SITE</t>
        </is>
      </c>
      <c r="O237" t="inlineStr">
        <is>
          <t>SIM</t>
        </is>
      </c>
      <c r="P237" t="inlineStr">
        <is>
          <t>SIM — declarado por dono italiano no proprio site</t>
        </is>
      </c>
      <c r="Q237" t="inlineStr">
        <is>
          <t>https://www.arpat.toscana.it/</t>
        </is>
      </c>
      <c r="R237" t="inlineStr">
        <is>
          <t>sonda HTTP read-only (GET limitado, payload nao preservado) + declaracao do perfil no site oficial do dono (rota publica, secao 10)</t>
        </is>
      </c>
      <c r="S237" t="inlineStr">
        <is>
          <t>2026-09-14T11:25:30Z</t>
        </is>
      </c>
      <c r="T237" t="inlineStr">
        <is>
          <t>PASS</t>
        </is>
      </c>
      <c r="U237" t="inlineStr"/>
      <c r="V237" t="inlineStr">
        <is>
          <t>T2;T12</t>
        </is>
      </c>
      <c r="W237" t="inlineStr">
        <is>
          <t>TOSCANA</t>
        </is>
      </c>
      <c r="X237" t="inlineStr"/>
      <c r="Y237" t="inlineStr">
        <is>
          <t>ambiente;acque;monitoraggio</t>
        </is>
      </c>
      <c r="Z237" t="inlineStr">
        <is>
          <t xml:space="preserve">titulo da pagina: ARPAT - Agenzia regionale per la  protezione ambientale della Toscana </t>
        </is>
      </c>
      <c r="AA237" t="inlineStr">
        <is>
          <t>site oficial do dono: https://www.arpat.toscana.it/</t>
        </is>
      </c>
      <c r="AB237" t="inlineStr">
        <is>
          <t>nao sorteada</t>
        </is>
      </c>
      <c r="AC237" t="inlineStr">
        <is>
          <t>nao sorteada</t>
        </is>
      </c>
      <c r="AE237" t="inlineStr"/>
      <c r="AF237" t="inlineStr"/>
    </row>
    <row r="238">
      <c r="A238" t="inlineStr">
        <is>
          <t>IT-DISC-2026-09-14-0237</t>
        </is>
      </c>
      <c r="B238" t="inlineStr">
        <is>
          <t>WineNews — Linkedin ufficiale</t>
        </is>
      </c>
      <c r="C238" t="inlineStr">
        <is>
          <t>LINKEDIN</t>
        </is>
      </c>
      <c r="D238" t="inlineStr">
        <is>
          <t>ORG</t>
        </is>
      </c>
      <c r="E238" t="inlineStr">
        <is>
          <t>WineNews</t>
        </is>
      </c>
      <c r="F238" t="inlineStr">
        <is>
          <t>https://www.linkedin.com/company/winenewsit</t>
        </is>
      </c>
      <c r="G238" t="inlineStr">
        <is>
          <t>https://www.linkedin.com/company/winenewsit</t>
        </is>
      </c>
      <c r="H238" t="inlineStr">
        <is>
          <t>https://www.linkedin.com/company/winenewsit</t>
        </is>
      </c>
      <c r="I238" t="n">
        <v>200</v>
      </c>
      <c r="J238" t="inlineStr">
        <is>
          <t>text/html</t>
        </is>
      </c>
      <c r="K238" t="n">
        <v>0</v>
      </c>
      <c r="L238" t="b">
        <v>1</v>
      </c>
      <c r="M238" t="b">
        <v>1</v>
      </c>
      <c r="N238" t="inlineStr">
        <is>
          <t>PROVED_BY_OWNER_SITE</t>
        </is>
      </c>
      <c r="O238" t="inlineStr">
        <is>
          <t>SIM</t>
        </is>
      </c>
      <c r="P238" t="inlineStr">
        <is>
          <t>SIM — declarado por dono italiano no proprio site</t>
        </is>
      </c>
      <c r="Q238" t="inlineStr">
        <is>
          <t>https://winenews.it/</t>
        </is>
      </c>
      <c r="R238" t="inlineStr">
        <is>
          <t>sonda HTTP read-only (GET limitado, payload nao preservado) + declaracao do perfil no site oficial do dono (rota publica, secao 10)</t>
        </is>
      </c>
      <c r="S238" t="inlineStr">
        <is>
          <t>2026-09-14T11:25:38Z</t>
        </is>
      </c>
      <c r="T238" t="inlineStr">
        <is>
          <t>PASS</t>
        </is>
      </c>
      <c r="U238" t="inlineStr"/>
      <c r="V238" t="inlineStr">
        <is>
          <t>T10;T1</t>
        </is>
      </c>
      <c r="W238" t="inlineStr">
        <is>
          <t>TOSCANA</t>
        </is>
      </c>
      <c r="X238" t="inlineStr">
        <is>
          <t>vino</t>
        </is>
      </c>
      <c r="Y238" t="inlineStr">
        <is>
          <t>vino;mercato</t>
        </is>
      </c>
      <c r="Z238" t="inlineStr">
        <is>
          <t>titulo da pagina: winenewsit | LinkedIn</t>
        </is>
      </c>
      <c r="AA238" t="inlineStr">
        <is>
          <t>site oficial do dono: https://winenews.it/</t>
        </is>
      </c>
      <c r="AB238" t="inlineStr">
        <is>
          <t>nao sorteada</t>
        </is>
      </c>
      <c r="AC238" t="inlineStr">
        <is>
          <t>nao sorteada</t>
        </is>
      </c>
      <c r="AE238" t="inlineStr"/>
      <c r="AF238" t="inlineStr"/>
    </row>
    <row r="239">
      <c r="A239" t="inlineStr">
        <is>
          <t>IT-DISC-2026-09-14-0238</t>
        </is>
      </c>
      <c r="B239" t="inlineStr">
        <is>
          <t>APPA Trento — Agenzia provinciale protezione ambiente — Linkedin ufficiale</t>
        </is>
      </c>
      <c r="C239" t="inlineStr">
        <is>
          <t>LINKEDIN</t>
        </is>
      </c>
      <c r="D239" t="inlineStr">
        <is>
          <t>ORG</t>
        </is>
      </c>
      <c r="E239" t="inlineStr">
        <is>
          <t>Provincia autonoma di Trento</t>
        </is>
      </c>
      <c r="F239" t="inlineStr">
        <is>
          <t>https://www.linkedin.com/company/provincia-autonoma-di-trento</t>
        </is>
      </c>
      <c r="G239" t="inlineStr">
        <is>
          <t>https://www.linkedin.com/company/provincia-autonoma-di-trento</t>
        </is>
      </c>
      <c r="H239" t="inlineStr">
        <is>
          <t>https://www.linkedin.com/company/provincia-autonoma-di-trento</t>
        </is>
      </c>
      <c r="I239" t="n">
        <v>200</v>
      </c>
      <c r="J239" t="inlineStr">
        <is>
          <t>text/html</t>
        </is>
      </c>
      <c r="K239" t="n">
        <v>0</v>
      </c>
      <c r="L239" t="b">
        <v>1</v>
      </c>
      <c r="M239" t="b">
        <v>1</v>
      </c>
      <c r="N239" t="inlineStr">
        <is>
          <t>PROVED_BY_OWNER_SITE</t>
        </is>
      </c>
      <c r="O239" t="inlineStr">
        <is>
          <t>SIM</t>
        </is>
      </c>
      <c r="P239" t="inlineStr">
        <is>
          <t>SIM — declarado por dono italiano no proprio site</t>
        </is>
      </c>
      <c r="Q239" t="inlineStr">
        <is>
          <t>https://appa.provincia.tn.it/</t>
        </is>
      </c>
      <c r="R239" t="inlineStr">
        <is>
          <t>sonda HTTP read-only (GET limitado, payload nao preservado) + declaracao do perfil no site oficial do dono (rota publica, secao 10)</t>
        </is>
      </c>
      <c r="S239" t="inlineStr">
        <is>
          <t>2026-09-14T11:25:32Z</t>
        </is>
      </c>
      <c r="T239" t="inlineStr">
        <is>
          <t>PASS</t>
        </is>
      </c>
      <c r="U239" t="inlineStr"/>
      <c r="V239" t="inlineStr">
        <is>
          <t>T2;T12</t>
        </is>
      </c>
      <c r="W239" t="inlineStr">
        <is>
          <t>TRENTINO-ALTO ADIGE</t>
        </is>
      </c>
      <c r="X239" t="inlineStr"/>
      <c r="Y239" t="inlineStr">
        <is>
          <t>ambiente;acque</t>
        </is>
      </c>
      <c r="Z239" t="inlineStr">
        <is>
          <t>titulo da pagina: Provincia Autonoma di Trento | LinkedIn</t>
        </is>
      </c>
      <c r="AA239" t="inlineStr">
        <is>
          <t>site oficial do dono: https://appa.provincia.tn.it/</t>
        </is>
      </c>
      <c r="AB239" t="inlineStr">
        <is>
          <t>nao sorteada</t>
        </is>
      </c>
      <c r="AC239" t="inlineStr">
        <is>
          <t>nao sorteada</t>
        </is>
      </c>
      <c r="AE239" t="inlineStr"/>
      <c r="AF239" t="inlineStr"/>
    </row>
    <row r="240">
      <c r="A240" t="inlineStr">
        <is>
          <t>IT-DISC-2026-09-14-0239</t>
        </is>
      </c>
      <c r="B240" t="inlineStr">
        <is>
          <t>Interpoma — Linkedin ufficiale</t>
        </is>
      </c>
      <c r="C240" t="inlineStr">
        <is>
          <t>LINKEDIN</t>
        </is>
      </c>
      <c r="D240" t="inlineStr">
        <is>
          <t>ORG</t>
        </is>
      </c>
      <c r="E240" t="inlineStr">
        <is>
          <t>Fiera Bolzano</t>
        </is>
      </c>
      <c r="F240" t="inlineStr">
        <is>
          <t>https://www.linkedin.com/company/interpoma</t>
        </is>
      </c>
      <c r="G240" t="inlineStr">
        <is>
          <t>https://www.linkedin.com/company/interpoma</t>
        </is>
      </c>
      <c r="H240" t="inlineStr">
        <is>
          <t>https://www.linkedin.com/company/interpoma</t>
        </is>
      </c>
      <c r="I240" t="n">
        <v>200</v>
      </c>
      <c r="J240" t="inlineStr">
        <is>
          <t>text/html</t>
        </is>
      </c>
      <c r="K240" t="n">
        <v>0</v>
      </c>
      <c r="L240" t="b">
        <v>1</v>
      </c>
      <c r="M240" t="b">
        <v>1</v>
      </c>
      <c r="N240" t="inlineStr">
        <is>
          <t>PROVED_BY_OWNER_SITE</t>
        </is>
      </c>
      <c r="O240" t="inlineStr">
        <is>
          <t>SIM</t>
        </is>
      </c>
      <c r="P240" t="inlineStr">
        <is>
          <t>SIM — declarado por dono italiano no proprio site</t>
        </is>
      </c>
      <c r="Q240" t="inlineStr">
        <is>
          <t>https://www.interpoma.it/</t>
        </is>
      </c>
      <c r="R240" t="inlineStr">
        <is>
          <t>sonda HTTP read-only (GET limitado, payload nao preservado) + declaracao do perfil no site oficial do dono (rota publica, secao 10)</t>
        </is>
      </c>
      <c r="S240" t="inlineStr">
        <is>
          <t>2026-09-14T11:25:39Z</t>
        </is>
      </c>
      <c r="T240" t="inlineStr">
        <is>
          <t>PASS</t>
        </is>
      </c>
      <c r="U240" t="inlineStr"/>
      <c r="V240" t="inlineStr">
        <is>
          <t>T11;T1</t>
        </is>
      </c>
      <c r="W240" t="inlineStr">
        <is>
          <t>TRENTINO-ALTO ADIGE</t>
        </is>
      </c>
      <c r="X240" t="inlineStr">
        <is>
          <t>melo</t>
        </is>
      </c>
      <c r="Y240" t="inlineStr">
        <is>
          <t>fiera melo;frutticoltura</t>
        </is>
      </c>
      <c r="Z240" t="inlineStr">
        <is>
          <t>titulo da pagina: Interpoma | LinkedIn</t>
        </is>
      </c>
      <c r="AA240" t="inlineStr">
        <is>
          <t>site oficial do dono: https://www.interpoma.it/</t>
        </is>
      </c>
      <c r="AB240" t="inlineStr">
        <is>
          <t>nao sorteada</t>
        </is>
      </c>
      <c r="AC240" t="inlineStr">
        <is>
          <t>nao sorteada</t>
        </is>
      </c>
      <c r="AE240" t="inlineStr"/>
      <c r="AF240" t="inlineStr"/>
    </row>
    <row r="241">
      <c r="A241" t="inlineStr">
        <is>
          <t>IT-DISC-2026-09-14-0240</t>
        </is>
      </c>
      <c r="B241" t="inlineStr">
        <is>
          <t>Libera Universita di Bolzano — Facolta di Scienze agrarie ambientali e alimentari — Linkedin ufficiale</t>
        </is>
      </c>
      <c r="C241" t="inlineStr">
        <is>
          <t>LINKEDIN</t>
        </is>
      </c>
      <c r="D241" t="inlineStr">
        <is>
          <t>ORG</t>
        </is>
      </c>
      <c r="E241" t="inlineStr">
        <is>
          <t>Libera Universita di Bolzano</t>
        </is>
      </c>
      <c r="F241" t="inlineStr">
        <is>
          <t>https://www.linkedin.com/company/833389</t>
        </is>
      </c>
      <c r="G241" t="inlineStr">
        <is>
          <t>https://www.linkedin.com/company/833389</t>
        </is>
      </c>
      <c r="H241" t="inlineStr">
        <is>
          <t>https://www.linkedin.com/uas/login?session_redirect=%2Fcompany%2F833389</t>
        </is>
      </c>
      <c r="I241" t="n">
        <v>200</v>
      </c>
      <c r="J241" t="inlineStr">
        <is>
          <t>text/html</t>
        </is>
      </c>
      <c r="K241" t="n">
        <v>1</v>
      </c>
      <c r="L241" t="b">
        <v>1</v>
      </c>
      <c r="M241" t="b">
        <v>1</v>
      </c>
      <c r="N241" t="inlineStr">
        <is>
          <t>PROVED_BY_OWNER_SITE</t>
        </is>
      </c>
      <c r="O241" t="inlineStr">
        <is>
          <t>SIM</t>
        </is>
      </c>
      <c r="P241" t="inlineStr">
        <is>
          <t>SIM — declarado por dono italiano no proprio site</t>
        </is>
      </c>
      <c r="Q241" t="inlineStr">
        <is>
          <t>https://www.unibz.it/it/faculties/agricultural-environmental-food-sciences/</t>
        </is>
      </c>
      <c r="R241" t="inlineStr">
        <is>
          <t>sonda HTTP read-only (GET limitado, payload nao preservado) + declaracao do perfil no site oficial do dono (rota publica, secao 10)</t>
        </is>
      </c>
      <c r="S241" t="inlineStr">
        <is>
          <t>2026-09-14T11:25:35Z</t>
        </is>
      </c>
      <c r="T241" t="inlineStr">
        <is>
          <t>PASS</t>
        </is>
      </c>
      <c r="U241" t="inlineStr"/>
      <c r="V241" t="inlineStr">
        <is>
          <t>T5;T6;T1</t>
        </is>
      </c>
      <c r="W241" t="inlineStr">
        <is>
          <t>TRENTINO-ALTO ADIGE</t>
        </is>
      </c>
      <c r="X241" t="inlineStr">
        <is>
          <t>melo</t>
        </is>
      </c>
      <c r="Y241" t="inlineStr">
        <is>
          <t>frutticoltura;melo;montagna</t>
        </is>
      </c>
      <c r="Z241" t="inlineStr">
        <is>
          <t>titulo da pagina: Accesso LinkedIn, accedi | LinkedIn</t>
        </is>
      </c>
      <c r="AA241" t="inlineStr">
        <is>
          <t>site oficial do dono: https://www.unibz.it/it/faculties/agricultural-environmental-food-sciences/</t>
        </is>
      </c>
      <c r="AB241" t="inlineStr">
        <is>
          <t>nao sorteada</t>
        </is>
      </c>
      <c r="AC241" t="inlineStr">
        <is>
          <t>nao sorteada</t>
        </is>
      </c>
      <c r="AE241" t="inlineStr"/>
      <c r="AF241" t="inlineStr"/>
    </row>
    <row r="242">
      <c r="A242" t="inlineStr">
        <is>
          <t>IT-DISC-2026-09-14-0241</t>
        </is>
      </c>
      <c r="B242" t="inlineStr">
        <is>
          <t>ARPA Valle d'Aosta — Linkedin ufficiale</t>
        </is>
      </c>
      <c r="C242" t="inlineStr">
        <is>
          <t>LINKEDIN</t>
        </is>
      </c>
      <c r="D242" t="inlineStr">
        <is>
          <t>ORG</t>
        </is>
      </c>
      <c r="E242" t="inlineStr">
        <is>
          <t>ARPA Valle d'Aosta</t>
        </is>
      </c>
      <c r="F242" t="inlineStr">
        <is>
          <t>https://www.linkedin.com/company/arpa-valle-d-aosta</t>
        </is>
      </c>
      <c r="G242" t="inlineStr">
        <is>
          <t>https://www.linkedin.com/company/arpa-valle-d-aosta</t>
        </is>
      </c>
      <c r="H242" t="inlineStr">
        <is>
          <t>https://www.linkedin.com/company/arpa-valle-d-aosta</t>
        </is>
      </c>
      <c r="I242" t="n">
        <v>200</v>
      </c>
      <c r="J242" t="inlineStr">
        <is>
          <t>text/html</t>
        </is>
      </c>
      <c r="K242" t="n">
        <v>0</v>
      </c>
      <c r="L242" t="b">
        <v>1</v>
      </c>
      <c r="M242" t="b">
        <v>1</v>
      </c>
      <c r="N242" t="inlineStr">
        <is>
          <t>PROVED_BY_OWNER_SITE</t>
        </is>
      </c>
      <c r="O242" t="inlineStr">
        <is>
          <t>SIM</t>
        </is>
      </c>
      <c r="P242" t="inlineStr">
        <is>
          <t>SIM — declarado por dono italiano no proprio site</t>
        </is>
      </c>
      <c r="Q242" t="inlineStr">
        <is>
          <t>https://www.arpa.vda.it/</t>
        </is>
      </c>
      <c r="R242" t="inlineStr">
        <is>
          <t>sonda HTTP read-only (GET limitado, payload nao preservado) + declaracao do perfil no site oficial do dono (rota publica, secao 10)</t>
        </is>
      </c>
      <c r="S242" t="inlineStr">
        <is>
          <t>2026-09-14T11:25:32Z</t>
        </is>
      </c>
      <c r="T242" t="inlineStr">
        <is>
          <t>PASS</t>
        </is>
      </c>
      <c r="U242" t="inlineStr"/>
      <c r="V242" t="inlineStr">
        <is>
          <t>T2;T12</t>
        </is>
      </c>
      <c r="W242" t="inlineStr">
        <is>
          <t>VALLE D'AOSTA</t>
        </is>
      </c>
      <c r="X242" t="inlineStr"/>
      <c r="Y242" t="inlineStr">
        <is>
          <t>ambiente;meteo alpino;neve</t>
        </is>
      </c>
      <c r="Z242" t="inlineStr">
        <is>
          <t>titulo da pagina: ARPA Valle d&amp;#39;Aosta | LinkedIn</t>
        </is>
      </c>
      <c r="AA242" t="inlineStr">
        <is>
          <t>site oficial do dono: https://www.arpa.vda.it/</t>
        </is>
      </c>
      <c r="AB242" t="inlineStr">
        <is>
          <t>nao sorteada</t>
        </is>
      </c>
      <c r="AC242" t="inlineStr">
        <is>
          <t>nao sorteada</t>
        </is>
      </c>
      <c r="AE242" t="inlineStr"/>
      <c r="AF242" t="inlineStr"/>
    </row>
    <row r="243">
      <c r="A243" t="inlineStr">
        <is>
          <t>IT-DISC-2026-09-14-0242</t>
        </is>
      </c>
      <c r="B243" t="inlineStr">
        <is>
          <t>Consorzio Tutela Vini Valpolicella — Linkedin ufficiale</t>
        </is>
      </c>
      <c r="C243" t="inlineStr">
        <is>
          <t>LINKEDIN</t>
        </is>
      </c>
      <c r="D243" t="inlineStr">
        <is>
          <t>ORG</t>
        </is>
      </c>
      <c r="E243" t="inlineStr">
        <is>
          <t>Consorzio Tutela Vini Valpolicella</t>
        </is>
      </c>
      <c r="F243" t="inlineStr">
        <is>
          <t>https://www.linkedin.com/company/consorzio-per-la-tutela-dei-vini-della-valpolicella</t>
        </is>
      </c>
      <c r="G243" t="inlineStr">
        <is>
          <t>https://www.linkedin.com/company/consorzio-per-la-tutela-dei-vini-della-valpolicella</t>
        </is>
      </c>
      <c r="H243" t="inlineStr">
        <is>
          <t>https://www.linkedin.com/company/consorzio-per-la-tutela-dei-vini-della-valpolicella</t>
        </is>
      </c>
      <c r="I243" t="n">
        <v>200</v>
      </c>
      <c r="J243" t="inlineStr">
        <is>
          <t>text/html</t>
        </is>
      </c>
      <c r="K243" t="n">
        <v>0</v>
      </c>
      <c r="L243" t="b">
        <v>1</v>
      </c>
      <c r="M243" t="b">
        <v>1</v>
      </c>
      <c r="N243" t="inlineStr">
        <is>
          <t>PROVED_BY_OWNER_SITE</t>
        </is>
      </c>
      <c r="O243" t="inlineStr">
        <is>
          <t>SIM</t>
        </is>
      </c>
      <c r="P243" t="inlineStr">
        <is>
          <t>SIM — declarado por dono italiano no proprio site</t>
        </is>
      </c>
      <c r="Q243" t="inlineStr">
        <is>
          <t>https://www.consorziovalpolicella.it/</t>
        </is>
      </c>
      <c r="R243" t="inlineStr">
        <is>
          <t>sonda HTTP read-only (GET limitado, payload nao preservado) + declaracao do perfil no site oficial do dono (rota publica, secao 10)</t>
        </is>
      </c>
      <c r="S243" t="inlineStr">
        <is>
          <t>2026-09-14T11:25:43Z</t>
        </is>
      </c>
      <c r="T243" t="inlineStr">
        <is>
          <t>PASS</t>
        </is>
      </c>
      <c r="U243" t="inlineStr"/>
      <c r="V243" t="inlineStr">
        <is>
          <t>T10;T1</t>
        </is>
      </c>
      <c r="W243" t="inlineStr">
        <is>
          <t>VENETO</t>
        </is>
      </c>
      <c r="X243" t="inlineStr">
        <is>
          <t>vino</t>
        </is>
      </c>
      <c r="Y243" t="inlineStr">
        <is>
          <t>vino;DOC;viticoltura</t>
        </is>
      </c>
      <c r="Z243" t="inlineStr">
        <is>
          <t>titulo da pagina: Consorzio Tutela Vini Valpolicella | LinkedIn</t>
        </is>
      </c>
      <c r="AA243" t="inlineStr">
        <is>
          <t>site oficial do dono: https://www.consorziovalpolicella.it/</t>
        </is>
      </c>
      <c r="AB243" t="inlineStr">
        <is>
          <t>CONFIRMA</t>
        </is>
      </c>
      <c r="AC243" t="inlineStr">
        <is>
          <t>nao sorteada</t>
        </is>
      </c>
      <c r="AE243" t="inlineStr"/>
      <c r="AF243" t="inlineStr"/>
    </row>
    <row r="244">
      <c r="A244" t="inlineStr">
        <is>
          <t>IT-DISC-2026-09-14-0243</t>
        </is>
      </c>
      <c r="B244" t="inlineStr">
        <is>
          <t>Consorzio di Bonifica Piave — Linkedin ufficiale</t>
        </is>
      </c>
      <c r="C244" t="inlineStr">
        <is>
          <t>LINKEDIN</t>
        </is>
      </c>
      <c r="D244" t="inlineStr">
        <is>
          <t>ORG</t>
        </is>
      </c>
      <c r="E244" t="inlineStr">
        <is>
          <t>Consorzio di Bonifica Piave</t>
        </is>
      </c>
      <c r="F244" t="inlineStr">
        <is>
          <t>https://www.linkedin.com/company/15179878/admin/dashboard</t>
        </is>
      </c>
      <c r="G244" t="inlineStr">
        <is>
          <t>https://www.linkedin.com/company/15179878/admin/dashboard</t>
        </is>
      </c>
      <c r="H244" t="inlineStr">
        <is>
          <t>https://www.linkedin.com/uas/login?session_redirect=https%3A%2F%2Fwww.linkedin.com%2Fcompany%2F15179878%2Fadmin%2Fdashboard</t>
        </is>
      </c>
      <c r="I244" t="n">
        <v>200</v>
      </c>
      <c r="J244" t="inlineStr">
        <is>
          <t>text/html</t>
        </is>
      </c>
      <c r="K244" t="n">
        <v>1</v>
      </c>
      <c r="L244" t="b">
        <v>1</v>
      </c>
      <c r="M244" t="b">
        <v>1</v>
      </c>
      <c r="N244" t="inlineStr">
        <is>
          <t>PROVED_BY_OWNER_SITE</t>
        </is>
      </c>
      <c r="O244" t="inlineStr">
        <is>
          <t>SIM</t>
        </is>
      </c>
      <c r="P244" t="inlineStr">
        <is>
          <t>SIM — declarado por dono italiano no proprio site</t>
        </is>
      </c>
      <c r="Q244" t="inlineStr">
        <is>
          <t>https://www.consorziopiave.it/</t>
        </is>
      </c>
      <c r="R244" t="inlineStr">
        <is>
          <t>sonda HTTP read-only (GET limitado, payload nao preservado) + declaracao do perfil no site oficial do dono (rota publica, secao 10)</t>
        </is>
      </c>
      <c r="S244" t="inlineStr">
        <is>
          <t>2026-09-14T11:25:45Z</t>
        </is>
      </c>
      <c r="T244" t="inlineStr">
        <is>
          <t>PASS</t>
        </is>
      </c>
      <c r="U244" t="inlineStr"/>
      <c r="V244" t="inlineStr">
        <is>
          <t>T2;T1</t>
        </is>
      </c>
      <c r="W244" t="inlineStr">
        <is>
          <t>VENETO</t>
        </is>
      </c>
      <c r="X244" t="inlineStr"/>
      <c r="Y244" t="inlineStr">
        <is>
          <t>irrigazione;acqua</t>
        </is>
      </c>
      <c r="Z244" t="inlineStr">
        <is>
          <t>titulo da pagina: Accesso LinkedIn, accedi | LinkedIn</t>
        </is>
      </c>
      <c r="AA244" t="inlineStr">
        <is>
          <t>site oficial do dono: https://www.consorziopiave.it/</t>
        </is>
      </c>
      <c r="AB244" t="inlineStr">
        <is>
          <t>nao sorteada</t>
        </is>
      </c>
      <c r="AC244" t="inlineStr">
        <is>
          <t>nao sorteada</t>
        </is>
      </c>
      <c r="AE244" t="inlineStr"/>
      <c r="AF244" t="inlineStr"/>
    </row>
    <row r="245">
      <c r="A245" t="inlineStr">
        <is>
          <t>IT-DISC-2026-09-14-0244</t>
        </is>
      </c>
      <c r="B245" t="inlineStr">
        <is>
          <t>Consorzio Tutela Vini d'Abruzzo</t>
        </is>
      </c>
      <c r="C245" t="inlineStr">
        <is>
          <t>ORGANIZACAO</t>
        </is>
      </c>
      <c r="D245" t="inlineStr">
        <is>
          <t>ORG</t>
        </is>
      </c>
      <c r="E245" t="inlineStr">
        <is>
          <t>Consorzio Tutela Vini d'Abruzzo</t>
        </is>
      </c>
      <c r="F245" t="inlineStr">
        <is>
          <t>https://www.vinidabruzzo.it/</t>
        </is>
      </c>
      <c r="G245" t="inlineStr">
        <is>
          <t>https://www.vinidabruzzo.it/</t>
        </is>
      </c>
      <c r="H245" t="inlineStr">
        <is>
          <t>https://www.vinidabruzzo.it/</t>
        </is>
      </c>
      <c r="I245" t="n">
        <v>200</v>
      </c>
      <c r="J245" t="inlineStr">
        <is>
          <t>text/html</t>
        </is>
      </c>
      <c r="K245" t="n">
        <v>0</v>
      </c>
      <c r="L245" t="b">
        <v>1</v>
      </c>
      <c r="M245" t="b">
        <v>1</v>
      </c>
      <c r="N245" t="inlineStr">
        <is>
          <t>PROVED_DIRECT</t>
        </is>
      </c>
      <c r="O245" t="inlineStr">
        <is>
          <t>SIM</t>
        </is>
      </c>
      <c r="P245" t="inlineStr">
        <is>
          <t>SIM — dominio .it e conteudo em italiano</t>
        </is>
      </c>
      <c r="Q245" t="inlineStr">
        <is>
          <t>Consorzio Vini d&amp;#039;Abruzzo</t>
        </is>
      </c>
      <c r="R245" t="inlineStr">
        <is>
          <t>sonda HTTP read-only (GET limitado, payload nao preservado)</t>
        </is>
      </c>
      <c r="S245" t="inlineStr">
        <is>
          <t>2026-09-14T11:25:14Z</t>
        </is>
      </c>
      <c r="T245" t="inlineStr">
        <is>
          <t>PASS</t>
        </is>
      </c>
      <c r="U245" t="inlineStr"/>
      <c r="V245" t="inlineStr">
        <is>
          <t>T10;T1</t>
        </is>
      </c>
      <c r="W245" t="inlineStr">
        <is>
          <t>ABRUZZO</t>
        </is>
      </c>
      <c r="X245" t="inlineStr">
        <is>
          <t>vino</t>
        </is>
      </c>
      <c r="Y245" t="inlineStr">
        <is>
          <t>vino;DOC</t>
        </is>
      </c>
      <c r="Z245" t="inlineStr">
        <is>
          <t>titulo da pagina: Consorzio Vini d&amp;#039;Abruzzo</t>
        </is>
      </c>
      <c r="AA245" t="inlineStr">
        <is>
          <t>dominio institucional do dono</t>
        </is>
      </c>
      <c r="AB245" t="inlineStr">
        <is>
          <t>nao sorteada</t>
        </is>
      </c>
      <c r="AC245" t="inlineStr">
        <is>
          <t>nao sorteada</t>
        </is>
      </c>
      <c r="AE245" t="inlineStr"/>
      <c r="AF245" t="inlineStr"/>
    </row>
    <row r="246">
      <c r="A246" t="inlineStr">
        <is>
          <t>IT-DISC-2026-09-14-0245</t>
        </is>
      </c>
      <c r="B246" t="inlineStr">
        <is>
          <t>Valagro</t>
        </is>
      </c>
      <c r="C246" t="inlineStr">
        <is>
          <t>ORGANIZACAO</t>
        </is>
      </c>
      <c r="D246" t="inlineStr">
        <is>
          <t>ORG</t>
        </is>
      </c>
      <c r="E246" t="inlineStr">
        <is>
          <t>Valagro — Syngenta Group</t>
        </is>
      </c>
      <c r="F246" t="inlineStr">
        <is>
          <t>https://www.valagro.com/it/</t>
        </is>
      </c>
      <c r="G246" t="inlineStr">
        <is>
          <t>https://www.valagro.com/it/</t>
        </is>
      </c>
      <c r="H246" t="inlineStr">
        <is>
          <t>https://www.syngenta.com/products/biologicals</t>
        </is>
      </c>
      <c r="I246" t="n">
        <v>200</v>
      </c>
      <c r="J246" t="inlineStr">
        <is>
          <t>text/html</t>
        </is>
      </c>
      <c r="K246" t="n">
        <v>1</v>
      </c>
      <c r="L246" t="b">
        <v>1</v>
      </c>
      <c r="M246" t="b">
        <v>1</v>
      </c>
      <c r="N246" t="inlineStr">
        <is>
          <t>PROVED_DIRECT</t>
        </is>
      </c>
      <c r="O246" t="inlineStr">
        <is>
          <t>SIM</t>
        </is>
      </c>
      <c r="P246" t="inlineStr">
        <is>
          <t>SIM — dono italiano identificado na pagina</t>
        </is>
      </c>
      <c r="Q246" t="inlineStr">
        <is>
          <t>Syngenta Biologicals | Syngenta</t>
        </is>
      </c>
      <c r="R246" t="inlineStr">
        <is>
          <t>sonda HTTP read-only (GET limitado, payload nao preservado)</t>
        </is>
      </c>
      <c r="S246" t="inlineStr">
        <is>
          <t>2026-09-14T11:25:06Z</t>
        </is>
      </c>
      <c r="T246" t="inlineStr">
        <is>
          <t>PASS</t>
        </is>
      </c>
      <c r="U246" t="inlineStr"/>
      <c r="V246" t="inlineStr">
        <is>
          <t>T9;T10</t>
        </is>
      </c>
      <c r="W246" t="inlineStr">
        <is>
          <t>ABRUZZO</t>
        </is>
      </c>
      <c r="X246" t="inlineStr"/>
      <c r="Y246" t="inlineStr">
        <is>
          <t>biostimolanti;nutrizione</t>
        </is>
      </c>
      <c r="Z246" t="inlineStr">
        <is>
          <t>titulo da pagina: Syngenta Biologicals | Syngenta</t>
        </is>
      </c>
      <c r="AA246" t="inlineStr">
        <is>
          <t>meta description: We support growers with effective biological crop protection tools tha</t>
        </is>
      </c>
      <c r="AB246" t="inlineStr">
        <is>
          <t>nao sorteada</t>
        </is>
      </c>
      <c r="AC246" t="inlineStr">
        <is>
          <t>nao sorteada</t>
        </is>
      </c>
      <c r="AE246" t="inlineStr"/>
      <c r="AF246" t="inlineStr"/>
    </row>
    <row r="247">
      <c r="A247" t="inlineStr">
        <is>
          <t>IT-DISC-2026-09-14-0246</t>
        </is>
      </c>
      <c r="B247" t="inlineStr">
        <is>
          <t>Biolchim</t>
        </is>
      </c>
      <c r="C247" t="inlineStr">
        <is>
          <t>ORGANIZACAO</t>
        </is>
      </c>
      <c r="D247" t="inlineStr">
        <is>
          <t>ORG</t>
        </is>
      </c>
      <c r="E247" t="inlineStr">
        <is>
          <t>Biolchim</t>
        </is>
      </c>
      <c r="F247" t="inlineStr">
        <is>
          <t>https://www.biolchim.it/</t>
        </is>
      </c>
      <c r="G247" t="inlineStr">
        <is>
          <t>https://biolchim.it/</t>
        </is>
      </c>
      <c r="H247" t="inlineStr">
        <is>
          <t>https://www.biolchim.com/</t>
        </is>
      </c>
      <c r="I247" t="n">
        <v>200</v>
      </c>
      <c r="J247" t="inlineStr">
        <is>
          <t>text/html</t>
        </is>
      </c>
      <c r="K247" t="n">
        <v>2</v>
      </c>
      <c r="L247" t="b">
        <v>1</v>
      </c>
      <c r="M247" t="b">
        <v>1</v>
      </c>
      <c r="N247" t="inlineStr">
        <is>
          <t>PROVED_DIRECT</t>
        </is>
      </c>
      <c r="O247" t="inlineStr">
        <is>
          <t>SIM</t>
        </is>
      </c>
      <c r="P247" t="inlineStr">
        <is>
          <t>SIM — dominio .it e conteudo em italiano</t>
        </is>
      </c>
      <c r="Q247" t="inlineStr">
        <is>
          <t>Biolchim | Far crescere con successo attraverso una scienza agricola comprovata</t>
        </is>
      </c>
      <c r="R247" t="inlineStr">
        <is>
          <t>sonda HTTP read-only (GET limitado, payload nao preservado)</t>
        </is>
      </c>
      <c r="S247" t="inlineStr">
        <is>
          <t>2026-09-14T11:17:25Z</t>
        </is>
      </c>
      <c r="T247" t="inlineStr">
        <is>
          <t>PASS</t>
        </is>
      </c>
      <c r="U247" t="inlineStr"/>
      <c r="V247" t="inlineStr">
        <is>
          <t>T9;T10</t>
        </is>
      </c>
      <c r="W247" t="inlineStr">
        <is>
          <t>EMILIA-ROMAGNA</t>
        </is>
      </c>
      <c r="X247" t="inlineStr"/>
      <c r="Y247" t="inlineStr">
        <is>
          <t>biostimolanti;nutrizione</t>
        </is>
      </c>
      <c r="Z247" t="inlineStr">
        <is>
          <t>titulo da pagina: Biolchim | Far crescere con successo attraverso una scienza agricola c</t>
        </is>
      </c>
      <c r="AA247" t="inlineStr">
        <is>
          <t>meta description: Biolchim, un portafoglio completo di biostimolanti e specialità nutriz</t>
        </is>
      </c>
      <c r="AB247" t="inlineStr">
        <is>
          <t>nao sorteada</t>
        </is>
      </c>
      <c r="AC247" t="inlineStr">
        <is>
          <t>nao sorteada</t>
        </is>
      </c>
      <c r="AE247" t="inlineStr"/>
      <c r="AF247" t="inlineStr">
        <is>
          <t>o host com www devolve 404</t>
        </is>
      </c>
    </row>
    <row r="248">
      <c r="A248" t="inlineStr">
        <is>
          <t>IT-DISC-2026-09-14-0247</t>
        </is>
      </c>
      <c r="B248" t="inlineStr">
        <is>
          <t>CSO Italy — Centro Servizi Ortofrutticoli</t>
        </is>
      </c>
      <c r="C248" t="inlineStr">
        <is>
          <t>ORGANIZACAO</t>
        </is>
      </c>
      <c r="D248" t="inlineStr">
        <is>
          <t>ORG</t>
        </is>
      </c>
      <c r="E248" t="inlineStr">
        <is>
          <t>CSO Italy</t>
        </is>
      </c>
      <c r="F248" t="inlineStr">
        <is>
          <t>https://www.csoservizi.com/</t>
        </is>
      </c>
      <c r="G248" t="inlineStr">
        <is>
          <t>https://www.csoservizi.com/</t>
        </is>
      </c>
      <c r="H248" t="inlineStr">
        <is>
          <t>https://www.csoservizi.com/</t>
        </is>
      </c>
      <c r="I248" t="n">
        <v>200</v>
      </c>
      <c r="J248" t="inlineStr">
        <is>
          <t>text/html</t>
        </is>
      </c>
      <c r="K248" t="n">
        <v>0</v>
      </c>
      <c r="L248" t="b">
        <v>1</v>
      </c>
      <c r="M248" t="b">
        <v>1</v>
      </c>
      <c r="N248" t="inlineStr">
        <is>
          <t>PROVED_DIRECT</t>
        </is>
      </c>
      <c r="O248" t="inlineStr">
        <is>
          <t>SIM</t>
        </is>
      </c>
      <c r="P248" t="inlineStr">
        <is>
          <t>SIM — dono italiano identificado na pagina</t>
        </is>
      </c>
      <c r="Q248" t="inlineStr">
        <is>
          <t>CSO Italy Centro Servizi Ortofrutticoli</t>
        </is>
      </c>
      <c r="R248" t="inlineStr">
        <is>
          <t>sonda HTTP read-only (GET limitado, payload nao preservado)</t>
        </is>
      </c>
      <c r="S248" t="inlineStr">
        <is>
          <t>2026-09-14T11:04:39Z</t>
        </is>
      </c>
      <c r="T248" t="inlineStr">
        <is>
          <t>PASS</t>
        </is>
      </c>
      <c r="U248" t="inlineStr"/>
      <c r="V248" t="inlineStr">
        <is>
          <t>T10;T1</t>
        </is>
      </c>
      <c r="W248" t="inlineStr">
        <is>
          <t>EMILIA-ROMAGNA</t>
        </is>
      </c>
      <c r="X248" t="inlineStr">
        <is>
          <t>ortofrutta</t>
        </is>
      </c>
      <c r="Y248" t="inlineStr">
        <is>
          <t>ortofrutta;mercato;dati</t>
        </is>
      </c>
      <c r="Z248" t="inlineStr">
        <is>
          <t>titulo da pagina: CSO Italy Centro Servizi Ortofrutticoli</t>
        </is>
      </c>
      <c r="AA248" t="inlineStr">
        <is>
          <t>meta description: CSO Italy è un’aggregazione realizzata per sviluppare sinergie tra tut</t>
        </is>
      </c>
      <c r="AB248" t="inlineStr">
        <is>
          <t>nao sorteada</t>
        </is>
      </c>
      <c r="AC248" t="inlineStr">
        <is>
          <t>nao sorteada</t>
        </is>
      </c>
      <c r="AE248" t="inlineStr"/>
      <c r="AF248" t="inlineStr"/>
    </row>
    <row r="249">
      <c r="A249" t="inlineStr">
        <is>
          <t>IT-DISC-2026-09-14-0248</t>
        </is>
      </c>
      <c r="B249" t="inlineStr">
        <is>
          <t>Cantina Sociale Cooperativa Riunite e CIV</t>
        </is>
      </c>
      <c r="C249" t="inlineStr">
        <is>
          <t>ORGANIZACAO</t>
        </is>
      </c>
      <c r="D249" t="inlineStr">
        <is>
          <t>ORG</t>
        </is>
      </c>
      <c r="E249" t="inlineStr">
        <is>
          <t>Riunite &amp; CIV</t>
        </is>
      </c>
      <c r="F249" t="inlineStr">
        <is>
          <t>https://www.riuniteciv.com/</t>
        </is>
      </c>
      <c r="G249" t="inlineStr">
        <is>
          <t>https://www.riuniteciv.com/</t>
        </is>
      </c>
      <c r="H249" t="inlineStr">
        <is>
          <t>https://www.riuniteciv.com/</t>
        </is>
      </c>
      <c r="I249" t="n">
        <v>200</v>
      </c>
      <c r="J249" t="inlineStr">
        <is>
          <t>text/html</t>
        </is>
      </c>
      <c r="K249" t="n">
        <v>0</v>
      </c>
      <c r="L249" t="b">
        <v>1</v>
      </c>
      <c r="M249" t="b">
        <v>1</v>
      </c>
      <c r="N249" t="inlineStr">
        <is>
          <t>PROVED_DIRECT</t>
        </is>
      </c>
      <c r="O249" t="inlineStr">
        <is>
          <t>SIM</t>
        </is>
      </c>
      <c r="P249" t="inlineStr">
        <is>
          <t>SIM — dono italiano identificado na pagina</t>
        </is>
      </c>
      <c r="Q249" t="inlineStr">
        <is>
          <t>Riunite &amp; CIV | Il leader italiano nella produzione di vino</t>
        </is>
      </c>
      <c r="R249" t="inlineStr">
        <is>
          <t>sonda HTTP read-only (GET limitado, payload nao preservado)</t>
        </is>
      </c>
      <c r="S249" t="inlineStr">
        <is>
          <t>2026-09-14T11:25:12Z</t>
        </is>
      </c>
      <c r="T249" t="inlineStr">
        <is>
          <t>PASS</t>
        </is>
      </c>
      <c r="U249" t="inlineStr"/>
      <c r="V249" t="inlineStr">
        <is>
          <t>T10;T1</t>
        </is>
      </c>
      <c r="W249" t="inlineStr">
        <is>
          <t>EMILIA-ROMAGNA</t>
        </is>
      </c>
      <c r="X249" t="inlineStr"/>
      <c r="Y249" t="inlineStr">
        <is>
          <t>cooperativa vitivinicola</t>
        </is>
      </c>
      <c r="Z249" t="inlineStr">
        <is>
          <t>titulo da pagina: Riunite &amp; CIV | Il leader italiano nella produzione di vino</t>
        </is>
      </c>
      <c r="AA249" t="inlineStr">
        <is>
          <t>meta description: Riunite &amp;amp; CIV è leader italiano nella produzione di lambrusco, spu</t>
        </is>
      </c>
      <c r="AB249" t="inlineStr">
        <is>
          <t>nao sorteada</t>
        </is>
      </c>
      <c r="AC249" t="inlineStr">
        <is>
          <t>nao sorteada</t>
        </is>
      </c>
      <c r="AE249" t="inlineStr"/>
      <c r="AF249" t="inlineStr"/>
    </row>
    <row r="250">
      <c r="A250" t="inlineStr">
        <is>
          <t>IT-DISC-2026-09-14-0249</t>
        </is>
      </c>
      <c r="B250" t="inlineStr">
        <is>
          <t>Caviro</t>
        </is>
      </c>
      <c r="C250" t="inlineStr">
        <is>
          <t>ORGANIZACAO</t>
        </is>
      </c>
      <c r="D250" t="inlineStr">
        <is>
          <t>ORG</t>
        </is>
      </c>
      <c r="E250" t="inlineStr">
        <is>
          <t>Caviro</t>
        </is>
      </c>
      <c r="F250" t="inlineStr">
        <is>
          <t>https://www.caviro.com/</t>
        </is>
      </c>
      <c r="G250" t="inlineStr">
        <is>
          <t>https://www.caviro.com/</t>
        </is>
      </c>
      <c r="H250" t="inlineStr">
        <is>
          <t>https://www.caviro.com/</t>
        </is>
      </c>
      <c r="I250" t="n">
        <v>200</v>
      </c>
      <c r="J250" t="inlineStr">
        <is>
          <t>text/html</t>
        </is>
      </c>
      <c r="K250" t="n">
        <v>0</v>
      </c>
      <c r="L250" t="b">
        <v>1</v>
      </c>
      <c r="M250" t="b">
        <v>1</v>
      </c>
      <c r="N250" t="inlineStr">
        <is>
          <t>PROVED_DIRECT</t>
        </is>
      </c>
      <c r="O250" t="inlineStr">
        <is>
          <t>SIM</t>
        </is>
      </c>
      <c r="P250" t="inlineStr">
        <is>
          <t>SIM — dono italiano identificado na pagina</t>
        </is>
      </c>
      <c r="Q250" t="inlineStr">
        <is>
          <t>Gruppo Caviro: il vigneto più grande d&amp;#039;Italia</t>
        </is>
      </c>
      <c r="R250" t="inlineStr">
        <is>
          <t>sonda HTTP read-only (GET limitado, payload nao preservado)</t>
        </is>
      </c>
      <c r="S250" t="inlineStr">
        <is>
          <t>2026-09-14T11:25:12Z</t>
        </is>
      </c>
      <c r="T250" t="inlineStr">
        <is>
          <t>PASS</t>
        </is>
      </c>
      <c r="U250" t="inlineStr"/>
      <c r="V250" t="inlineStr">
        <is>
          <t>T10;T1</t>
        </is>
      </c>
      <c r="W250" t="inlineStr">
        <is>
          <t>EMILIA-ROMAGNA</t>
        </is>
      </c>
      <c r="X250" t="inlineStr"/>
      <c r="Y250" t="inlineStr">
        <is>
          <t>cooperativa vitivinicola;economia circolare</t>
        </is>
      </c>
      <c r="Z250" t="inlineStr">
        <is>
          <t>titulo da pagina: Gruppo Caviro: il vigneto più grande d&amp;#039;Italia</t>
        </is>
      </c>
      <c r="AA250" t="inlineStr">
        <is>
          <t xml:space="preserve">meta description: Scopri Caviro, la più grande cooperativa vitivinicola d&amp;#039;Italia e </t>
        </is>
      </c>
      <c r="AB250" t="inlineStr">
        <is>
          <t>nao sorteada</t>
        </is>
      </c>
      <c r="AC250" t="inlineStr">
        <is>
          <t>nao sorteada</t>
        </is>
      </c>
      <c r="AE250" t="inlineStr"/>
      <c r="AF250" t="inlineStr"/>
    </row>
    <row r="251">
      <c r="A251" t="inlineStr">
        <is>
          <t>IT-DISC-2026-09-14-0250</t>
        </is>
      </c>
      <c r="B251" t="inlineStr">
        <is>
          <t>Cifo</t>
        </is>
      </c>
      <c r="C251" t="inlineStr">
        <is>
          <t>ORGANIZACAO</t>
        </is>
      </c>
      <c r="D251" t="inlineStr">
        <is>
          <t>ORG</t>
        </is>
      </c>
      <c r="E251" t="inlineStr">
        <is>
          <t>Cifo</t>
        </is>
      </c>
      <c r="F251" t="inlineStr">
        <is>
          <t>https://www.cifo.it/</t>
        </is>
      </c>
      <c r="G251" t="inlineStr">
        <is>
          <t>https://www.cifo.it/</t>
        </is>
      </c>
      <c r="H251" t="inlineStr">
        <is>
          <t>https://www.cifo.it/</t>
        </is>
      </c>
      <c r="I251" t="n">
        <v>200</v>
      </c>
      <c r="J251" t="inlineStr">
        <is>
          <t>text/html</t>
        </is>
      </c>
      <c r="K251" t="n">
        <v>0</v>
      </c>
      <c r="L251" t="b">
        <v>1</v>
      </c>
      <c r="M251" t="b">
        <v>1</v>
      </c>
      <c r="N251" t="inlineStr">
        <is>
          <t>PROVED_DIRECT</t>
        </is>
      </c>
      <c r="O251" t="inlineStr">
        <is>
          <t>SIM</t>
        </is>
      </c>
      <c r="P251" t="inlineStr">
        <is>
          <t>SIM — dominio .it e conteudo em italiano</t>
        </is>
      </c>
      <c r="Q251" t="inlineStr">
        <is>
          <t>Cifo | Risultati affidabili, ogni volta. - Cifo</t>
        </is>
      </c>
      <c r="R251" t="inlineStr">
        <is>
          <t>sonda HTTP read-only (GET limitado, payload nao preservado)</t>
        </is>
      </c>
      <c r="S251" t="inlineStr">
        <is>
          <t>2026-09-14T11:25:07Z</t>
        </is>
      </c>
      <c r="T251" t="inlineStr">
        <is>
          <t>PASS</t>
        </is>
      </c>
      <c r="U251" t="inlineStr"/>
      <c r="V251" t="inlineStr">
        <is>
          <t>T9;T10</t>
        </is>
      </c>
      <c r="W251" t="inlineStr">
        <is>
          <t>EMILIA-ROMAGNA</t>
        </is>
      </c>
      <c r="X251" t="inlineStr"/>
      <c r="Y251" t="inlineStr">
        <is>
          <t>nutrizione vegetale</t>
        </is>
      </c>
      <c r="Z251" t="inlineStr">
        <is>
          <t>titulo da pagina: Cifo | Risultati affidabili, ogni volta. - Cifo</t>
        </is>
      </c>
      <c r="AA251" t="inlineStr">
        <is>
          <t>dominio institucional do dono</t>
        </is>
      </c>
      <c r="AB251" t="inlineStr">
        <is>
          <t>nao sorteada</t>
        </is>
      </c>
      <c r="AC251" t="inlineStr">
        <is>
          <t>nao sorteada</t>
        </is>
      </c>
      <c r="AE251" t="inlineStr"/>
      <c r="AF251" t="inlineStr"/>
    </row>
    <row r="252">
      <c r="A252" t="inlineStr">
        <is>
          <t>IT-DISC-2026-09-14-0251</t>
        </is>
      </c>
      <c r="B252" t="inlineStr">
        <is>
          <t>Conserve Italia</t>
        </is>
      </c>
      <c r="C252" t="inlineStr">
        <is>
          <t>ORGANIZACAO</t>
        </is>
      </c>
      <c r="D252" t="inlineStr">
        <is>
          <t>ORG</t>
        </is>
      </c>
      <c r="E252" t="inlineStr">
        <is>
          <t>Conserve Italia</t>
        </is>
      </c>
      <c r="F252" t="inlineStr">
        <is>
          <t>https://www.conserveitalia.it/</t>
        </is>
      </c>
      <c r="G252" t="inlineStr">
        <is>
          <t>https://www.conserveitalia.it/</t>
        </is>
      </c>
      <c r="H252" t="inlineStr">
        <is>
          <t>https://www.conserveitalia.it/it/</t>
        </is>
      </c>
      <c r="I252" t="n">
        <v>200</v>
      </c>
      <c r="J252" t="inlineStr">
        <is>
          <t>text/html</t>
        </is>
      </c>
      <c r="K252" t="n">
        <v>1</v>
      </c>
      <c r="L252" t="b">
        <v>1</v>
      </c>
      <c r="M252" t="b">
        <v>1</v>
      </c>
      <c r="N252" t="inlineStr">
        <is>
          <t>PROVED_DIRECT</t>
        </is>
      </c>
      <c r="O252" t="inlineStr">
        <is>
          <t>SIM</t>
        </is>
      </c>
      <c r="P252" t="inlineStr">
        <is>
          <t>SIM — dominio .it e conteudo em italiano</t>
        </is>
      </c>
      <c r="Q252" t="inlineStr">
        <is>
          <t>Conserve Italia | Leader in Europa nel settore delle conserve ortofrutticole</t>
        </is>
      </c>
      <c r="R252" t="inlineStr">
        <is>
          <t>sonda HTTP read-only (GET limitado, payload nao preservado)</t>
        </is>
      </c>
      <c r="S252" t="inlineStr">
        <is>
          <t>2026-09-14T11:25:11Z</t>
        </is>
      </c>
      <c r="T252" t="inlineStr">
        <is>
          <t>PASS</t>
        </is>
      </c>
      <c r="U252" t="inlineStr"/>
      <c r="V252" t="inlineStr">
        <is>
          <t>T10;T1</t>
        </is>
      </c>
      <c r="W252" t="inlineStr">
        <is>
          <t>EMILIA-ROMAGNA</t>
        </is>
      </c>
      <c r="X252" t="inlineStr"/>
      <c r="Y252" t="inlineStr">
        <is>
          <t>cooperativa;trasformazione</t>
        </is>
      </c>
      <c r="Z252" t="inlineStr">
        <is>
          <t>titulo da pagina: Conserve Italia | Leader in Europa nel settore delle conserve ortofrut</t>
        </is>
      </c>
      <c r="AA252" t="inlineStr">
        <is>
          <t>dominio institucional do dono</t>
        </is>
      </c>
      <c r="AB252" t="inlineStr">
        <is>
          <t>nao sorteada</t>
        </is>
      </c>
      <c r="AC252" t="inlineStr">
        <is>
          <t>nao sorteada</t>
        </is>
      </c>
      <c r="AE252" t="inlineStr"/>
      <c r="AF252" t="inlineStr"/>
    </row>
    <row r="253">
      <c r="A253" t="inlineStr">
        <is>
          <t>IT-DISC-2026-09-14-0252</t>
        </is>
      </c>
      <c r="B253" t="inlineStr">
        <is>
          <t>Consorzio del Parmigiano Reggiano</t>
        </is>
      </c>
      <c r="C253" t="inlineStr">
        <is>
          <t>ORGANIZACAO</t>
        </is>
      </c>
      <c r="D253" t="inlineStr">
        <is>
          <t>ORG</t>
        </is>
      </c>
      <c r="E253" t="inlineStr">
        <is>
          <t>Consorzio Tutela Parmigiano Reggiano</t>
        </is>
      </c>
      <c r="F253" t="inlineStr">
        <is>
          <t>https://www.parmigianoreggiano.it/</t>
        </is>
      </c>
      <c r="G253" t="inlineStr">
        <is>
          <t>https://www.parmigianoreggiano.it/</t>
        </is>
      </c>
      <c r="H253" t="inlineStr">
        <is>
          <t>https://www.parmigianoreggiano.com/it</t>
        </is>
      </c>
      <c r="I253" t="n">
        <v>200</v>
      </c>
      <c r="J253" t="inlineStr">
        <is>
          <t>text/html</t>
        </is>
      </c>
      <c r="K253" t="n">
        <v>2</v>
      </c>
      <c r="L253" t="b">
        <v>1</v>
      </c>
      <c r="M253" t="b">
        <v>1</v>
      </c>
      <c r="N253" t="inlineStr">
        <is>
          <t>PROVED_BY_DOMAIN</t>
        </is>
      </c>
      <c r="O253" t="inlineStr">
        <is>
          <t>SIM</t>
        </is>
      </c>
      <c r="P253" t="inlineStr">
        <is>
          <t>SIM — dominio .it e conteudo em italiano</t>
        </is>
      </c>
      <c r="Q253" t="inlineStr">
        <is>
          <t>Homepage</t>
        </is>
      </c>
      <c r="R253" t="inlineStr">
        <is>
          <t>sonda HTTP read-only (GET limitado, payload nao preservado)</t>
        </is>
      </c>
      <c r="S253" t="inlineStr">
        <is>
          <t>2026-09-14T11:25:08Z</t>
        </is>
      </c>
      <c r="T253" t="inlineStr">
        <is>
          <t>PASS</t>
        </is>
      </c>
      <c r="U253" t="inlineStr"/>
      <c r="V253" t="inlineStr">
        <is>
          <t>T10;T1</t>
        </is>
      </c>
      <c r="W253" t="inlineStr">
        <is>
          <t>EMILIA-ROMAGNA</t>
        </is>
      </c>
      <c r="X253" t="inlineStr">
        <is>
          <t>latte</t>
        </is>
      </c>
      <c r="Y253" t="inlineStr">
        <is>
          <t>DOP;latte;filiera</t>
        </is>
      </c>
      <c r="Z253" t="inlineStr">
        <is>
          <t>titulo da pagina: Homepage</t>
        </is>
      </c>
      <c r="AA253" t="inlineStr">
        <is>
          <t>meta description: Homepage</t>
        </is>
      </c>
      <c r="AB253" t="inlineStr">
        <is>
          <t>nao sorteada</t>
        </is>
      </c>
      <c r="AC253" t="inlineStr">
        <is>
          <t>nao sorteada</t>
        </is>
      </c>
      <c r="AE253" t="inlineStr"/>
      <c r="AF253" t="inlineStr"/>
    </row>
    <row r="254">
      <c r="A254" t="inlineStr">
        <is>
          <t>IT-DISC-2026-09-14-0253</t>
        </is>
      </c>
      <c r="B254" t="inlineStr">
        <is>
          <t>Consorzio di Bonifica della Romagna</t>
        </is>
      </c>
      <c r="C254" t="inlineStr">
        <is>
          <t>ORGANIZACAO</t>
        </is>
      </c>
      <c r="D254" t="inlineStr">
        <is>
          <t>ORG</t>
        </is>
      </c>
      <c r="E254" t="inlineStr">
        <is>
          <t>Consorzio di Bonifica della Romagna</t>
        </is>
      </c>
      <c r="F254" t="inlineStr">
        <is>
          <t>https://www.consorziodibonificadellaromagna.it/</t>
        </is>
      </c>
      <c r="G254" t="inlineStr">
        <is>
          <t>https://www.bonificaromagna.it/</t>
        </is>
      </c>
      <c r="H254" t="inlineStr">
        <is>
          <t>https://www.bonificaromagna.it/</t>
        </is>
      </c>
      <c r="I254" t="n">
        <v>200</v>
      </c>
      <c r="J254" t="inlineStr">
        <is>
          <t>text/html</t>
        </is>
      </c>
      <c r="K254" t="n">
        <v>0</v>
      </c>
      <c r="L254" t="b">
        <v>1</v>
      </c>
      <c r="M254" t="b">
        <v>1</v>
      </c>
      <c r="N254" t="inlineStr">
        <is>
          <t>PROVED_DIRECT</t>
        </is>
      </c>
      <c r="O254" t="inlineStr">
        <is>
          <t>SIM</t>
        </is>
      </c>
      <c r="P254" t="inlineStr">
        <is>
          <t>SIM — dominio .it e conteudo em italiano</t>
        </is>
      </c>
      <c r="Q254" t="inlineStr">
        <is>
          <t>Home - Consorzio di Bonifica della Romagna</t>
        </is>
      </c>
      <c r="R254" t="inlineStr">
        <is>
          <t>sonda HTTP read-only (GET limitado, payload nao preservado)</t>
        </is>
      </c>
      <c r="S254" t="inlineStr">
        <is>
          <t>2026-09-14T11:17:25Z</t>
        </is>
      </c>
      <c r="T254" t="inlineStr">
        <is>
          <t>PASS</t>
        </is>
      </c>
      <c r="U254" t="inlineStr"/>
      <c r="V254" t="inlineStr">
        <is>
          <t>T2;T1</t>
        </is>
      </c>
      <c r="W254" t="inlineStr">
        <is>
          <t>EMILIA-ROMAGNA</t>
        </is>
      </c>
      <c r="X254" t="inlineStr"/>
      <c r="Y254" t="inlineStr">
        <is>
          <t>irrigazione;bonifica</t>
        </is>
      </c>
      <c r="Z254" t="inlineStr">
        <is>
          <t>titulo da pagina: Home - Consorzio di Bonifica della Romagna</t>
        </is>
      </c>
      <c r="AA254" t="inlineStr">
        <is>
          <t>meta description: Consorzio di Bonifica della Romagna</t>
        </is>
      </c>
      <c r="AB254" t="inlineStr">
        <is>
          <t>nao sorteada</t>
        </is>
      </c>
      <c r="AC254" t="inlineStr">
        <is>
          <t>nao sorteada</t>
        </is>
      </c>
      <c r="AE254" t="inlineStr"/>
      <c r="AF254" t="inlineStr">
        <is>
          <t>dominio correto e bonificaromagna.it</t>
        </is>
      </c>
    </row>
    <row r="255">
      <c r="A255" t="inlineStr">
        <is>
          <t>IT-DISC-2026-09-14-0254</t>
        </is>
      </c>
      <c r="B255" t="inlineStr">
        <is>
          <t>Consorzio di Tutela dell'Aceto Balsamico di Modena</t>
        </is>
      </c>
      <c r="C255" t="inlineStr">
        <is>
          <t>ORGANIZACAO</t>
        </is>
      </c>
      <c r="D255" t="inlineStr">
        <is>
          <t>ORG</t>
        </is>
      </c>
      <c r="E255" t="inlineStr">
        <is>
          <t>Consorzio Aceto Balsamico di Modena</t>
        </is>
      </c>
      <c r="F255" t="inlineStr">
        <is>
          <t>https://www.consorziobalsamico.it/</t>
        </is>
      </c>
      <c r="G255" t="inlineStr">
        <is>
          <t>https://www.consorziobalsamico.it/</t>
        </is>
      </c>
      <c r="H255" t="inlineStr">
        <is>
          <t>https://www.consorziobalsamico.it/</t>
        </is>
      </c>
      <c r="I255" t="n">
        <v>200</v>
      </c>
      <c r="J255" t="inlineStr">
        <is>
          <t>text/html</t>
        </is>
      </c>
      <c r="K255" t="n">
        <v>0</v>
      </c>
      <c r="L255" t="b">
        <v>1</v>
      </c>
      <c r="M255" t="b">
        <v>1</v>
      </c>
      <c r="N255" t="inlineStr">
        <is>
          <t>PROVED_DIRECT</t>
        </is>
      </c>
      <c r="O255" t="inlineStr">
        <is>
          <t>SIM</t>
        </is>
      </c>
      <c r="P255" t="inlineStr">
        <is>
          <t>SIM — dominio .it e conteudo em italiano</t>
        </is>
      </c>
      <c r="Q255" t="inlineStr">
        <is>
          <t>Consorzio Tutela Aceto Balsamico di Modena</t>
        </is>
      </c>
      <c r="R255" t="inlineStr">
        <is>
          <t>sonda HTTP read-only (GET limitado, payload nao preservado)</t>
        </is>
      </c>
      <c r="S255" t="inlineStr">
        <is>
          <t>2026-09-14T11:25:11Z</t>
        </is>
      </c>
      <c r="T255" t="inlineStr">
        <is>
          <t>PASS</t>
        </is>
      </c>
      <c r="U255" t="inlineStr"/>
      <c r="V255" t="inlineStr">
        <is>
          <t>T10</t>
        </is>
      </c>
      <c r="W255" t="inlineStr">
        <is>
          <t>EMILIA-ROMAGNA</t>
        </is>
      </c>
      <c r="X255" t="inlineStr"/>
      <c r="Y255" t="inlineStr">
        <is>
          <t>IGP;trasformazione</t>
        </is>
      </c>
      <c r="Z255" t="inlineStr">
        <is>
          <t>titulo da pagina: Consorzio Tutela Aceto Balsamico di Modena</t>
        </is>
      </c>
      <c r="AA255" t="inlineStr">
        <is>
          <t>meta description: Consorzio Tutela Aceto Balsamico di Modena dal 1993</t>
        </is>
      </c>
      <c r="AB255" t="inlineStr">
        <is>
          <t>nao sorteada</t>
        </is>
      </c>
      <c r="AC255" t="inlineStr">
        <is>
          <t>nao sorteada</t>
        </is>
      </c>
      <c r="AE255" t="inlineStr"/>
      <c r="AF255" t="inlineStr"/>
    </row>
    <row r="256">
      <c r="A256" t="inlineStr">
        <is>
          <t>IT-DISC-2026-09-14-0255</t>
        </is>
      </c>
      <c r="B256" t="inlineStr">
        <is>
          <t>Fieravicola</t>
        </is>
      </c>
      <c r="C256" t="inlineStr">
        <is>
          <t>ORGANIZACAO</t>
        </is>
      </c>
      <c r="D256" t="inlineStr">
        <is>
          <t>ORG</t>
        </is>
      </c>
      <c r="E256" t="inlineStr">
        <is>
          <t>Fieravicola</t>
        </is>
      </c>
      <c r="F256" t="inlineStr">
        <is>
          <t>https://www.fieravicola.com/</t>
        </is>
      </c>
      <c r="G256" t="inlineStr">
        <is>
          <t>https://www.fieravicola.com/</t>
        </is>
      </c>
      <c r="H256" t="inlineStr">
        <is>
          <t>https://www.fieravicola.com/</t>
        </is>
      </c>
      <c r="I256" t="n">
        <v>200</v>
      </c>
      <c r="J256" t="inlineStr">
        <is>
          <t>text/html</t>
        </is>
      </c>
      <c r="K256" t="n">
        <v>0</v>
      </c>
      <c r="L256" t="b">
        <v>1</v>
      </c>
      <c r="M256" t="b">
        <v>1</v>
      </c>
      <c r="N256" t="inlineStr">
        <is>
          <t>PROVED_DIRECT</t>
        </is>
      </c>
      <c r="O256" t="inlineStr">
        <is>
          <t>SIM</t>
        </is>
      </c>
      <c r="P256" t="inlineStr">
        <is>
          <t>SIM — dono italiano identificado na pagina</t>
        </is>
      </c>
      <c r="Q256" t="inlineStr">
        <is>
          <t>FierAvicola 2025: 6-7-8 Maggio 2025 Rimini</t>
        </is>
      </c>
      <c r="R256" t="inlineStr">
        <is>
          <t>sonda HTTP read-only (GET limitado, payload nao preservado)</t>
        </is>
      </c>
      <c r="S256" t="inlineStr">
        <is>
          <t>2026-09-14T11:25:04Z</t>
        </is>
      </c>
      <c r="T256" t="inlineStr">
        <is>
          <t>PASS</t>
        </is>
      </c>
      <c r="U256" t="inlineStr"/>
      <c r="V256" t="inlineStr">
        <is>
          <t>T11;T10</t>
        </is>
      </c>
      <c r="W256" t="inlineStr">
        <is>
          <t>EMILIA-ROMAGNA</t>
        </is>
      </c>
      <c r="X256" t="inlineStr"/>
      <c r="Y256" t="inlineStr">
        <is>
          <t>fiera avicoltura</t>
        </is>
      </c>
      <c r="Z256" t="inlineStr">
        <is>
          <t>titulo da pagina: FierAvicola 2025: 6-7-8 Maggio 2025 Rimini</t>
        </is>
      </c>
      <c r="AA256" t="inlineStr">
        <is>
          <t>meta description: FierAvicola si conferma punto di riferimento a livello nazionale e int</t>
        </is>
      </c>
      <c r="AB256" t="inlineStr">
        <is>
          <t>nao sorteada</t>
        </is>
      </c>
      <c r="AC256" t="inlineStr">
        <is>
          <t>nao sorteada</t>
        </is>
      </c>
      <c r="AE256" t="inlineStr"/>
      <c r="AF256" t="inlineStr"/>
    </row>
    <row r="257">
      <c r="A257" t="inlineStr">
        <is>
          <t>IT-DISC-2026-09-14-0256</t>
        </is>
      </c>
      <c r="B257" t="inlineStr">
        <is>
          <t>Granarolo</t>
        </is>
      </c>
      <c r="C257" t="inlineStr">
        <is>
          <t>ORGANIZACAO</t>
        </is>
      </c>
      <c r="D257" t="inlineStr">
        <is>
          <t>ORG</t>
        </is>
      </c>
      <c r="E257" t="inlineStr">
        <is>
          <t>Granarolo</t>
        </is>
      </c>
      <c r="F257" t="inlineStr">
        <is>
          <t>https://www.granarolo.it/</t>
        </is>
      </c>
      <c r="G257" t="inlineStr">
        <is>
          <t>https://www.granarolo.it/</t>
        </is>
      </c>
      <c r="H257" t="inlineStr">
        <is>
          <t>https://www.granarolo.it/</t>
        </is>
      </c>
      <c r="I257" t="n">
        <v>200</v>
      </c>
      <c r="J257" t="inlineStr">
        <is>
          <t>text/html</t>
        </is>
      </c>
      <c r="K257" t="n">
        <v>0</v>
      </c>
      <c r="L257" t="b">
        <v>1</v>
      </c>
      <c r="M257" t="b">
        <v>1</v>
      </c>
      <c r="N257" t="inlineStr">
        <is>
          <t>PROVED_DIRECT</t>
        </is>
      </c>
      <c r="O257" t="inlineStr">
        <is>
          <t>SIM</t>
        </is>
      </c>
      <c r="P257" t="inlineStr">
        <is>
          <t>SIM — dominio .it e conteudo em italiano</t>
        </is>
      </c>
      <c r="Q257" t="inlineStr">
        <is>
          <t>Granarolo - Latte, Yogurt, Formaggi, Panna e Ricette | Granarolo</t>
        </is>
      </c>
      <c r="R257" t="inlineStr">
        <is>
          <t>sonda HTTP read-only (GET limitado, payload nao preservado)</t>
        </is>
      </c>
      <c r="S257" t="inlineStr">
        <is>
          <t>2026-09-14T11:25:12Z</t>
        </is>
      </c>
      <c r="T257" t="inlineStr">
        <is>
          <t>PASS</t>
        </is>
      </c>
      <c r="U257" t="inlineStr"/>
      <c r="V257" t="inlineStr">
        <is>
          <t>T10</t>
        </is>
      </c>
      <c r="W257" t="inlineStr">
        <is>
          <t>EMILIA-ROMAGNA</t>
        </is>
      </c>
      <c r="X257" t="inlineStr">
        <is>
          <t>latte</t>
        </is>
      </c>
      <c r="Y257" t="inlineStr">
        <is>
          <t>latte;filiera</t>
        </is>
      </c>
      <c r="Z257" t="inlineStr">
        <is>
          <t>titulo da pagina: Granarolo - Latte, Yogurt, Formaggi, Panna e Ricette | Granarolo</t>
        </is>
      </c>
      <c r="AA257" t="inlineStr">
        <is>
          <t>meta description: Scopri l</t>
        </is>
      </c>
      <c r="AB257" t="inlineStr">
        <is>
          <t>CONFIRMA</t>
        </is>
      </c>
      <c r="AC257" t="inlineStr">
        <is>
          <t>nao sorteada</t>
        </is>
      </c>
      <c r="AE257" t="inlineStr"/>
      <c r="AF257" t="inlineStr"/>
    </row>
    <row r="258">
      <c r="A258" t="inlineStr">
        <is>
          <t>IT-DISC-2026-09-14-0257</t>
        </is>
      </c>
      <c r="B258" t="inlineStr">
        <is>
          <t>Macfrut</t>
        </is>
      </c>
      <c r="C258" t="inlineStr">
        <is>
          <t>ORGANIZACAO</t>
        </is>
      </c>
      <c r="D258" t="inlineStr">
        <is>
          <t>ORG</t>
        </is>
      </c>
      <c r="E258" t="inlineStr">
        <is>
          <t>Cesena Fiera</t>
        </is>
      </c>
      <c r="F258" t="inlineStr">
        <is>
          <t>https://www.macfrut.com/</t>
        </is>
      </c>
      <c r="G258" t="inlineStr">
        <is>
          <t>https://www.macfrut.com/</t>
        </is>
      </c>
      <c r="H258" t="inlineStr">
        <is>
          <t>https://www.macfrut.com/</t>
        </is>
      </c>
      <c r="I258" t="n">
        <v>200</v>
      </c>
      <c r="J258" t="inlineStr">
        <is>
          <t>text/html</t>
        </is>
      </c>
      <c r="K258" t="n">
        <v>0</v>
      </c>
      <c r="L258" t="b">
        <v>1</v>
      </c>
      <c r="M258" t="b">
        <v>1</v>
      </c>
      <c r="N258" t="inlineStr">
        <is>
          <t>PROVED_DIRECT</t>
        </is>
      </c>
      <c r="O258" t="inlineStr">
        <is>
          <t>SIM</t>
        </is>
      </c>
      <c r="P258" t="inlineStr">
        <is>
          <t>SIM — dono italiano identificado na pagina</t>
        </is>
      </c>
      <c r="Q258" t="inlineStr">
        <is>
          <t>Macfrut 2027: 20-21-22 Aprile 2027</t>
        </is>
      </c>
      <c r="R258" t="inlineStr">
        <is>
          <t>sonda HTTP read-only (GET limitado, payload nao preservado)</t>
        </is>
      </c>
      <c r="S258" t="inlineStr">
        <is>
          <t>2026-09-14T11:25:02Z</t>
        </is>
      </c>
      <c r="T258" t="inlineStr">
        <is>
          <t>PASS</t>
        </is>
      </c>
      <c r="U258" t="inlineStr"/>
      <c r="V258" t="inlineStr">
        <is>
          <t>T11;T10</t>
        </is>
      </c>
      <c r="W258" t="inlineStr">
        <is>
          <t>EMILIA-ROMAGNA</t>
        </is>
      </c>
      <c r="X258" t="inlineStr">
        <is>
          <t>ortofrutta</t>
        </is>
      </c>
      <c r="Y258" t="inlineStr">
        <is>
          <t>fiera ortofrutta</t>
        </is>
      </c>
      <c r="Z258" t="inlineStr">
        <is>
          <t>titulo da pagina: Macfrut 2027: 20-21-22 Aprile 2027</t>
        </is>
      </c>
      <c r="AA258" t="inlineStr">
        <is>
          <t>meta description: Macfrut si conferma punto di riferimento a livello nazionale e interna</t>
        </is>
      </c>
      <c r="AB258" t="inlineStr">
        <is>
          <t>nao sorteada</t>
        </is>
      </c>
      <c r="AC258" t="inlineStr">
        <is>
          <t>nao sorteada</t>
        </is>
      </c>
      <c r="AE258" t="inlineStr"/>
      <c r="AF258" t="inlineStr"/>
    </row>
    <row r="259">
      <c r="A259" t="inlineStr">
        <is>
          <t>IT-DISC-2026-09-14-0258</t>
        </is>
      </c>
      <c r="B259" t="inlineStr">
        <is>
          <t>Nomisma</t>
        </is>
      </c>
      <c r="C259" t="inlineStr">
        <is>
          <t>ORGANIZACAO</t>
        </is>
      </c>
      <c r="D259" t="inlineStr">
        <is>
          <t>ORG</t>
        </is>
      </c>
      <c r="E259" t="inlineStr">
        <is>
          <t>Nomisma</t>
        </is>
      </c>
      <c r="F259" t="inlineStr">
        <is>
          <t>https://www.nomisma.it/</t>
        </is>
      </c>
      <c r="G259" t="inlineStr">
        <is>
          <t>https://www.nomisma.it/</t>
        </is>
      </c>
      <c r="H259" t="inlineStr">
        <is>
          <t>https://www.nomisma.it/</t>
        </is>
      </c>
      <c r="I259" t="n">
        <v>200</v>
      </c>
      <c r="J259" t="inlineStr">
        <is>
          <t>text/html</t>
        </is>
      </c>
      <c r="K259" t="n">
        <v>0</v>
      </c>
      <c r="L259" t="b">
        <v>1</v>
      </c>
      <c r="M259" t="b">
        <v>1</v>
      </c>
      <c r="N259" t="inlineStr">
        <is>
          <t>PROVED_DIRECT</t>
        </is>
      </c>
      <c r="O259" t="inlineStr">
        <is>
          <t>SIM</t>
        </is>
      </c>
      <c r="P259" t="inlineStr">
        <is>
          <t>SIM — dominio .it e conteudo em italiano</t>
        </is>
      </c>
      <c r="Q259" t="inlineStr">
        <is>
          <t>Nomisma | Ricerca, Consulenza e Advisory Strategico</t>
        </is>
      </c>
      <c r="R259" t="inlineStr">
        <is>
          <t>sonda HTTP read-only (GET limitado, payload nao preservado)</t>
        </is>
      </c>
      <c r="S259" t="inlineStr">
        <is>
          <t>2026-09-14T11:04:39Z</t>
        </is>
      </c>
      <c r="T259" t="inlineStr">
        <is>
          <t>PASS</t>
        </is>
      </c>
      <c r="U259" t="inlineStr"/>
      <c r="V259" t="inlineStr">
        <is>
          <t>T10;T12</t>
        </is>
      </c>
      <c r="W259" t="inlineStr">
        <is>
          <t>EMILIA-ROMAGNA</t>
        </is>
      </c>
      <c r="X259" t="inlineStr"/>
      <c r="Y259" t="inlineStr">
        <is>
          <t>studi economici;agroalimentare</t>
        </is>
      </c>
      <c r="Z259" t="inlineStr">
        <is>
          <t>titulo da pagina: Nomisma | Ricerca, Consulenza e Advisory Strategico</t>
        </is>
      </c>
      <c r="AA259" t="inlineStr">
        <is>
          <t xml:space="preserve">meta description: Nomisma è il partner di ricerca e consulenza per imprese, istituzioni </t>
        </is>
      </c>
      <c r="AB259" t="inlineStr">
        <is>
          <t>nao sorteada</t>
        </is>
      </c>
      <c r="AC259" t="inlineStr">
        <is>
          <t>SIM</t>
        </is>
      </c>
      <c r="AE259" t="inlineStr"/>
      <c r="AF259" t="inlineStr"/>
    </row>
    <row r="260">
      <c r="A260" t="inlineStr">
        <is>
          <t>IT-DISC-2026-09-14-0259</t>
        </is>
      </c>
      <c r="B260" t="inlineStr">
        <is>
          <t>OP Alegra</t>
        </is>
      </c>
      <c r="C260" t="inlineStr">
        <is>
          <t>ORGANIZACAO</t>
        </is>
      </c>
      <c r="D260" t="inlineStr">
        <is>
          <t>ORG</t>
        </is>
      </c>
      <c r="E260" t="inlineStr">
        <is>
          <t>Alegra</t>
        </is>
      </c>
      <c r="F260" t="inlineStr">
        <is>
          <t>https://www.alegra.it/</t>
        </is>
      </c>
      <c r="G260" t="inlineStr">
        <is>
          <t>https://www.alegra.it/</t>
        </is>
      </c>
      <c r="H260" t="inlineStr">
        <is>
          <t>https://alegra.it/</t>
        </is>
      </c>
      <c r="I260" t="n">
        <v>200</v>
      </c>
      <c r="J260" t="inlineStr">
        <is>
          <t>text/html</t>
        </is>
      </c>
      <c r="K260" t="n">
        <v>1</v>
      </c>
      <c r="L260" t="b">
        <v>1</v>
      </c>
      <c r="M260" t="b">
        <v>1</v>
      </c>
      <c r="N260" t="inlineStr">
        <is>
          <t>PROVED_DIRECT</t>
        </is>
      </c>
      <c r="O260" t="inlineStr">
        <is>
          <t>SIM</t>
        </is>
      </c>
      <c r="P260" t="inlineStr">
        <is>
          <t>SIM — dominio .it e conteudo em italiano</t>
        </is>
      </c>
      <c r="Q260" t="inlineStr">
        <is>
          <t>A.S.D. Alegra Settime Tamburello</t>
        </is>
      </c>
      <c r="R260" t="inlineStr">
        <is>
          <t>sonda HTTP read-only (GET limitado, payload nao preservado)</t>
        </is>
      </c>
      <c r="S260" t="inlineStr">
        <is>
          <t>2026-09-14T11:25:13Z</t>
        </is>
      </c>
      <c r="T260" t="inlineStr">
        <is>
          <t>PASS</t>
        </is>
      </c>
      <c r="U260" t="inlineStr"/>
      <c r="V260" t="inlineStr">
        <is>
          <t>T10;T1</t>
        </is>
      </c>
      <c r="W260" t="inlineStr">
        <is>
          <t>EMILIA-ROMAGNA</t>
        </is>
      </c>
      <c r="X260" t="inlineStr">
        <is>
          <t>ortofrutta</t>
        </is>
      </c>
      <c r="Y260" t="inlineStr">
        <is>
          <t>organizzazione produttori;ortofrutta</t>
        </is>
      </c>
      <c r="Z260" t="inlineStr">
        <is>
          <t>titulo da pagina: A.S.D. Alegra Settime Tamburello</t>
        </is>
      </c>
      <c r="AA260" t="inlineStr">
        <is>
          <t>meta description: Associazione sportiva dilettantistica Alegra Settime Tamburello. Una s</t>
        </is>
      </c>
      <c r="AB260" t="inlineStr">
        <is>
          <t>nao sorteada</t>
        </is>
      </c>
      <c r="AC260" t="inlineStr">
        <is>
          <t>nao sorteada</t>
        </is>
      </c>
      <c r="AE260" t="inlineStr"/>
      <c r="AF260" t="inlineStr"/>
    </row>
    <row r="261">
      <c r="A261" t="inlineStr">
        <is>
          <t>IT-DISC-2026-09-14-0260</t>
        </is>
      </c>
      <c r="B261" t="inlineStr">
        <is>
          <t>SANA — Salone del biologico e naturale</t>
        </is>
      </c>
      <c r="C261" t="inlineStr">
        <is>
          <t>ORGANIZACAO</t>
        </is>
      </c>
      <c r="D261" t="inlineStr">
        <is>
          <t>ORG</t>
        </is>
      </c>
      <c r="E261" t="inlineStr">
        <is>
          <t>BolognaFiere</t>
        </is>
      </c>
      <c r="F261" t="inlineStr">
        <is>
          <t>https://www.sana.it/</t>
        </is>
      </c>
      <c r="G261" t="inlineStr">
        <is>
          <t>https://www.sana.it/</t>
        </is>
      </c>
      <c r="H261" t="inlineStr">
        <is>
          <t>https://www.sana.it/home-page/1229.html</t>
        </is>
      </c>
      <c r="I261" t="n">
        <v>200</v>
      </c>
      <c r="J261" t="inlineStr">
        <is>
          <t>text/html</t>
        </is>
      </c>
      <c r="K261" t="n">
        <v>1</v>
      </c>
      <c r="L261" t="b">
        <v>1</v>
      </c>
      <c r="M261" t="b">
        <v>1</v>
      </c>
      <c r="N261" t="inlineStr">
        <is>
          <t>PROVED_DIRECT</t>
        </is>
      </c>
      <c r="O261" t="inlineStr">
        <is>
          <t>SIM</t>
        </is>
      </c>
      <c r="P261" t="inlineStr">
        <is>
          <t>SIM — dominio .it e conteudo em italiano</t>
        </is>
      </c>
      <c r="Q261" t="inlineStr">
        <is>
          <t>SANA Food 2027 | Sana</t>
        </is>
      </c>
      <c r="R261" t="inlineStr">
        <is>
          <t>sonda HTTP read-only (GET limitado, payload nao preservado)</t>
        </is>
      </c>
      <c r="S261" t="inlineStr">
        <is>
          <t>2026-09-14T11:25:04Z</t>
        </is>
      </c>
      <c r="T261" t="inlineStr">
        <is>
          <t>PASS</t>
        </is>
      </c>
      <c r="U261" t="inlineStr"/>
      <c r="V261" t="inlineStr">
        <is>
          <t>T11;T10</t>
        </is>
      </c>
      <c r="W261" t="inlineStr">
        <is>
          <t>EMILIA-ROMAGNA</t>
        </is>
      </c>
      <c r="X261" t="inlineStr"/>
      <c r="Y261" t="inlineStr">
        <is>
          <t>fiera biologico</t>
        </is>
      </c>
      <c r="Z261" t="inlineStr">
        <is>
          <t>titulo da pagina: SANA Food 2027 | Sana</t>
        </is>
      </c>
      <c r="AA261" t="inlineStr">
        <is>
          <t>meta description: dal 21 al 23 febbraio 2027 a BolognaFiere</t>
        </is>
      </c>
      <c r="AB261" t="inlineStr">
        <is>
          <t>nao sorteada</t>
        </is>
      </c>
      <c r="AC261" t="inlineStr">
        <is>
          <t>nao sorteada</t>
        </is>
      </c>
      <c r="AE261" t="inlineStr"/>
      <c r="AF261" t="inlineStr"/>
    </row>
    <row r="262">
      <c r="A262" t="inlineStr">
        <is>
          <t>IT-DISC-2026-09-14-0261</t>
        </is>
      </c>
      <c r="B262" t="inlineStr">
        <is>
          <t>SCAM</t>
        </is>
      </c>
      <c r="C262" t="inlineStr">
        <is>
          <t>ORGANIZACAO</t>
        </is>
      </c>
      <c r="D262" t="inlineStr">
        <is>
          <t>ORG</t>
        </is>
      </c>
      <c r="E262" t="inlineStr">
        <is>
          <t>SCAM S.p.A.</t>
        </is>
      </c>
      <c r="F262" t="inlineStr">
        <is>
          <t>https://www.scam.it/</t>
        </is>
      </c>
      <c r="G262" t="inlineStr">
        <is>
          <t>https://www.scam.it/</t>
        </is>
      </c>
      <c r="H262" t="inlineStr">
        <is>
          <t>https://www.scam.it/</t>
        </is>
      </c>
      <c r="I262" t="n">
        <v>200</v>
      </c>
      <c r="J262" t="inlineStr">
        <is>
          <t>text/html</t>
        </is>
      </c>
      <c r="K262" t="n">
        <v>0</v>
      </c>
      <c r="L262" t="b">
        <v>1</v>
      </c>
      <c r="M262" t="b">
        <v>1</v>
      </c>
      <c r="N262" t="inlineStr">
        <is>
          <t>PROVED_DIRECT</t>
        </is>
      </c>
      <c r="O262" t="inlineStr">
        <is>
          <t>SIM</t>
        </is>
      </c>
      <c r="P262" t="inlineStr">
        <is>
          <t>SIM — dominio .it e conteudo em italiano</t>
        </is>
      </c>
      <c r="Q262" t="inlineStr">
        <is>
          <t>SCAM S.p.A. - produttori di fertilizzanti, concimi speciali e agrofarmaci</t>
        </is>
      </c>
      <c r="R262" t="inlineStr">
        <is>
          <t>sonda HTTP read-only (GET limitado, payload nao preservado)</t>
        </is>
      </c>
      <c r="S262" t="inlineStr">
        <is>
          <t>2026-09-14T11:25:08Z</t>
        </is>
      </c>
      <c r="T262" t="inlineStr">
        <is>
          <t>PASS</t>
        </is>
      </c>
      <c r="U262" t="inlineStr"/>
      <c r="V262" t="inlineStr">
        <is>
          <t>T9;T10</t>
        </is>
      </c>
      <c r="W262" t="inlineStr">
        <is>
          <t>EMILIA-ROMAGNA</t>
        </is>
      </c>
      <c r="X262" t="inlineStr"/>
      <c r="Y262" t="inlineStr">
        <is>
          <t>fertilizzanti;fitosanitari</t>
        </is>
      </c>
      <c r="Z262" t="inlineStr">
        <is>
          <t>titulo da pagina: SCAM S.p.A. - produttori di fertilizzanti, concimi speciali e agrofarm</t>
        </is>
      </c>
      <c r="AA262" t="inlineStr">
        <is>
          <t>meta description: SCAM S.p.A. è l&amp;#039;azienda leader tra i produttori di concimi fertil</t>
        </is>
      </c>
      <c r="AB262" t="inlineStr">
        <is>
          <t>nao sorteada</t>
        </is>
      </c>
      <c r="AC262" t="inlineStr">
        <is>
          <t>nao sorteada</t>
        </is>
      </c>
      <c r="AE262" t="inlineStr"/>
      <c r="AF262" t="inlineStr"/>
    </row>
    <row r="263">
      <c r="A263" t="inlineStr">
        <is>
          <t>IT-DISC-2026-09-14-0262</t>
        </is>
      </c>
      <c r="B263" t="inlineStr">
        <is>
          <t>Terremerse</t>
        </is>
      </c>
      <c r="C263" t="inlineStr">
        <is>
          <t>ORGANIZACAO</t>
        </is>
      </c>
      <c r="D263" t="inlineStr">
        <is>
          <t>ORG</t>
        </is>
      </c>
      <c r="E263" t="inlineStr">
        <is>
          <t>Terremerse</t>
        </is>
      </c>
      <c r="F263" t="inlineStr">
        <is>
          <t>https://www.terremerse.it/</t>
        </is>
      </c>
      <c r="G263" t="inlineStr">
        <is>
          <t>https://www.terremerse.it/</t>
        </is>
      </c>
      <c r="H263" t="inlineStr">
        <is>
          <t>https://terremerse.it/</t>
        </is>
      </c>
      <c r="I263" t="n">
        <v>200</v>
      </c>
      <c r="J263" t="inlineStr">
        <is>
          <t>text/html</t>
        </is>
      </c>
      <c r="K263" t="n">
        <v>1</v>
      </c>
      <c r="L263" t="b">
        <v>1</v>
      </c>
      <c r="M263" t="b">
        <v>1</v>
      </c>
      <c r="N263" t="inlineStr">
        <is>
          <t>PROVED_DIRECT</t>
        </is>
      </c>
      <c r="O263" t="inlineStr">
        <is>
          <t>SIM</t>
        </is>
      </c>
      <c r="P263" t="inlineStr">
        <is>
          <t>SIM — dominio .it e conteudo em italiano</t>
        </is>
      </c>
      <c r="Q263" t="inlineStr">
        <is>
          <t>Terremerse | pensare multifiliera agire sostenibile</t>
        </is>
      </c>
      <c r="R263" t="inlineStr">
        <is>
          <t>sonda HTTP read-only (GET limitado, payload nao preservado)</t>
        </is>
      </c>
      <c r="S263" t="inlineStr">
        <is>
          <t>2026-09-14T11:25:08Z</t>
        </is>
      </c>
      <c r="T263" t="inlineStr">
        <is>
          <t>PASS</t>
        </is>
      </c>
      <c r="U263" t="inlineStr"/>
      <c r="V263" t="inlineStr">
        <is>
          <t>T10;T7</t>
        </is>
      </c>
      <c r="W263" t="inlineStr">
        <is>
          <t>EMILIA-ROMAGNA</t>
        </is>
      </c>
      <c r="X263" t="inlineStr"/>
      <c r="Y263" t="inlineStr">
        <is>
          <t>cooperativa;distribuzione;agroservizi</t>
        </is>
      </c>
      <c r="Z263" t="inlineStr">
        <is>
          <t>titulo da pagina: Terremerse | pensare multifiliera agire sostenibile</t>
        </is>
      </c>
      <c r="AA263" t="inlineStr">
        <is>
          <t xml:space="preserve">meta description: Terremerse è una cooperativa multifiliera dell’agroalimentare con una </t>
        </is>
      </c>
      <c r="AB263" t="inlineStr">
        <is>
          <t>nao sorteada</t>
        </is>
      </c>
      <c r="AC263" t="inlineStr">
        <is>
          <t>nao sorteada</t>
        </is>
      </c>
      <c r="AE263" t="inlineStr"/>
      <c r="AF263" t="inlineStr"/>
    </row>
    <row r="264">
      <c r="A264" t="inlineStr">
        <is>
          <t>IT-DISC-2026-09-14-0263</t>
        </is>
      </c>
      <c r="B264" t="inlineStr">
        <is>
          <t>Unione Nazionale Associazioni Produttori Olivicoli — UNAPROL</t>
        </is>
      </c>
      <c r="C264" t="inlineStr">
        <is>
          <t>ORGANIZACAO</t>
        </is>
      </c>
      <c r="D264" t="inlineStr">
        <is>
          <t>ORG</t>
        </is>
      </c>
      <c r="E264" t="inlineStr">
        <is>
          <t>Unaprol</t>
        </is>
      </c>
      <c r="F264" t="inlineStr">
        <is>
          <t>https://www.unaprol.it/</t>
        </is>
      </c>
      <c r="G264" t="inlineStr">
        <is>
          <t>https://www.unaprol.it/</t>
        </is>
      </c>
      <c r="H264" t="inlineStr">
        <is>
          <t>https://www.unaprol.it/</t>
        </is>
      </c>
      <c r="I264" t="n">
        <v>200</v>
      </c>
      <c r="J264" t="inlineStr">
        <is>
          <t>text/html</t>
        </is>
      </c>
      <c r="K264" t="n">
        <v>0</v>
      </c>
      <c r="L264" t="b">
        <v>1</v>
      </c>
      <c r="M264" t="b">
        <v>1</v>
      </c>
      <c r="N264" t="inlineStr">
        <is>
          <t>PROVED_DIRECT</t>
        </is>
      </c>
      <c r="O264" t="inlineStr">
        <is>
          <t>SIM</t>
        </is>
      </c>
      <c r="P264" t="inlineStr">
        <is>
          <t>SIM — dominio .it e conteudo em italiano</t>
        </is>
      </c>
      <c r="Q264" t="inlineStr">
        <is>
          <t>Unaprol</t>
        </is>
      </c>
      <c r="R264" t="inlineStr">
        <is>
          <t>sonda HTTP read-only (GET limitado, payload nao preservado)</t>
        </is>
      </c>
      <c r="S264" t="inlineStr">
        <is>
          <t>2026-09-14T11:25:19Z</t>
        </is>
      </c>
      <c r="T264" t="inlineStr">
        <is>
          <t>PASS</t>
        </is>
      </c>
      <c r="U264" t="inlineStr"/>
      <c r="V264" t="inlineStr">
        <is>
          <t>T1;T10</t>
        </is>
      </c>
      <c r="W264" t="inlineStr">
        <is>
          <t>LAZIO</t>
        </is>
      </c>
      <c r="X264" t="inlineStr"/>
      <c r="Y264" t="inlineStr">
        <is>
          <t>olivicoltura;OP</t>
        </is>
      </c>
      <c r="Z264" t="inlineStr">
        <is>
          <t>titulo da pagina: Unaprol</t>
        </is>
      </c>
      <c r="AA264" t="inlineStr">
        <is>
          <t>meta description: Un nuovo sito targato WordPress</t>
        </is>
      </c>
      <c r="AB264" t="inlineStr">
        <is>
          <t>nao sorteada</t>
        </is>
      </c>
      <c r="AC264" t="inlineStr">
        <is>
          <t>nao sorteada</t>
        </is>
      </c>
      <c r="AE264" t="inlineStr"/>
      <c r="AF264" t="inlineStr"/>
    </row>
    <row r="265">
      <c r="A265" t="inlineStr">
        <is>
          <t>IT-DISC-2026-09-14-0264</t>
        </is>
      </c>
      <c r="B265" t="inlineStr">
        <is>
          <t>CBC Biogard</t>
        </is>
      </c>
      <c r="C265" t="inlineStr">
        <is>
          <t>ORGANIZACAO</t>
        </is>
      </c>
      <c r="D265" t="inlineStr">
        <is>
          <t>ORG</t>
        </is>
      </c>
      <c r="E265" t="inlineStr">
        <is>
          <t>CBC Europe — Biogard</t>
        </is>
      </c>
      <c r="F265" t="inlineStr">
        <is>
          <t>https://www.biogard.it/</t>
        </is>
      </c>
      <c r="G265" t="inlineStr">
        <is>
          <t>https://www.biogard.it/</t>
        </is>
      </c>
      <c r="H265" t="inlineStr">
        <is>
          <t>https://www.biogard.it/</t>
        </is>
      </c>
      <c r="I265" t="n">
        <v>200</v>
      </c>
      <c r="J265" t="inlineStr">
        <is>
          <t>text/html</t>
        </is>
      </c>
      <c r="K265" t="n">
        <v>0</v>
      </c>
      <c r="L265" t="b">
        <v>1</v>
      </c>
      <c r="M265" t="b">
        <v>1</v>
      </c>
      <c r="N265" t="inlineStr">
        <is>
          <t>PROVED_DIRECT</t>
        </is>
      </c>
      <c r="O265" t="inlineStr">
        <is>
          <t>SIM</t>
        </is>
      </c>
      <c r="P265" t="inlineStr">
        <is>
          <t>SIM — dominio .it e conteudo em italiano</t>
        </is>
      </c>
      <c r="Q265" t="inlineStr">
        <is>
          <t>Biogard - Biological first</t>
        </is>
      </c>
      <c r="R265" t="inlineStr">
        <is>
          <t>sonda HTTP read-only (GET limitado, payload nao preservado)</t>
        </is>
      </c>
      <c r="S265" t="inlineStr">
        <is>
          <t>2026-09-14T11:25:06Z</t>
        </is>
      </c>
      <c r="T265" t="inlineStr">
        <is>
          <t>PASS</t>
        </is>
      </c>
      <c r="U265" t="inlineStr"/>
      <c r="V265" t="inlineStr">
        <is>
          <t>T9;T3</t>
        </is>
      </c>
      <c r="W265" t="inlineStr">
        <is>
          <t>LOMBARDIA</t>
        </is>
      </c>
      <c r="X265" t="inlineStr"/>
      <c r="Y265" t="inlineStr">
        <is>
          <t>biocontrollo;difesa biologica</t>
        </is>
      </c>
      <c r="Z265" t="inlineStr">
        <is>
          <t>titulo da pagina: Biogard - Biological first</t>
        </is>
      </c>
      <c r="AA265" t="inlineStr">
        <is>
          <t>meta description: il tuo punto di riferimento per il controllo biologico in agricoltura</t>
        </is>
      </c>
      <c r="AB265" t="inlineStr">
        <is>
          <t>nao sorteada</t>
        </is>
      </c>
      <c r="AC265" t="inlineStr">
        <is>
          <t>nao sorteada</t>
        </is>
      </c>
      <c r="AE265" t="inlineStr"/>
      <c r="AF265" t="inlineStr"/>
    </row>
    <row r="266">
      <c r="A266" t="inlineStr">
        <is>
          <t>IT-DISC-2026-09-14-0265</t>
        </is>
      </c>
      <c r="B266" t="inlineStr">
        <is>
          <t>Confagricoltura Lombardia</t>
        </is>
      </c>
      <c r="C266" t="inlineStr">
        <is>
          <t>ORGANIZACAO</t>
        </is>
      </c>
      <c r="D266" t="inlineStr">
        <is>
          <t>ORG</t>
        </is>
      </c>
      <c r="E266" t="inlineStr">
        <is>
          <t>Confagricoltura</t>
        </is>
      </c>
      <c r="F266" t="inlineStr">
        <is>
          <t>https://www.confagricolturalombardia.it/</t>
        </is>
      </c>
      <c r="G266" t="inlineStr">
        <is>
          <t>https://www.confagricolturalombardia.it/</t>
        </is>
      </c>
      <c r="H266" t="inlineStr">
        <is>
          <t>https://lombardia.confagricoltura.it/</t>
        </is>
      </c>
      <c r="I266" t="n">
        <v>200</v>
      </c>
      <c r="J266" t="inlineStr">
        <is>
          <t>text/html</t>
        </is>
      </c>
      <c r="K266" t="n">
        <v>2</v>
      </c>
      <c r="L266" t="b">
        <v>1</v>
      </c>
      <c r="M266" t="b">
        <v>1</v>
      </c>
      <c r="N266" t="inlineStr">
        <is>
          <t>PROVED_DIRECT</t>
        </is>
      </c>
      <c r="O266" t="inlineStr">
        <is>
          <t>SIM</t>
        </is>
      </c>
      <c r="P266" t="inlineStr">
        <is>
          <t>SIM — dominio .it e conteudo em italiano</t>
        </is>
      </c>
      <c r="Q266" t="inlineStr">
        <is>
          <t>Confagricoltura</t>
        </is>
      </c>
      <c r="R266" t="inlineStr">
        <is>
          <t>sonda HTTP read-only (GET limitado, payload nao preservado)</t>
        </is>
      </c>
      <c r="S266" t="inlineStr">
        <is>
          <t>2026-09-14T11:25:17Z</t>
        </is>
      </c>
      <c r="T266" t="inlineStr">
        <is>
          <t>PASS</t>
        </is>
      </c>
      <c r="U266" t="inlineStr"/>
      <c r="V266" t="inlineStr">
        <is>
          <t>T12;T7</t>
        </is>
      </c>
      <c r="W266" t="inlineStr">
        <is>
          <t>LOMBARDIA</t>
        </is>
      </c>
      <c r="X266" t="inlineStr"/>
      <c r="Y266" t="inlineStr">
        <is>
          <t>organizzazione agricola regionale</t>
        </is>
      </c>
      <c r="Z266" t="inlineStr">
        <is>
          <t>titulo da pagina: Confagricoltura</t>
        </is>
      </c>
      <c r="AA266" t="inlineStr">
        <is>
          <t>meta description: &amp;nbsp;</t>
        </is>
      </c>
      <c r="AB266" t="inlineStr">
        <is>
          <t>nao sorteada</t>
        </is>
      </c>
      <c r="AC266" t="inlineStr">
        <is>
          <t>nao sorteada</t>
        </is>
      </c>
      <c r="AE266" t="inlineStr"/>
      <c r="AF266" t="inlineStr"/>
    </row>
    <row r="267">
      <c r="A267" t="inlineStr">
        <is>
          <t>IT-DISC-2026-09-14-0266</t>
        </is>
      </c>
      <c r="B267" t="inlineStr">
        <is>
          <t>Consorzio Casalasco del Pomodoro</t>
        </is>
      </c>
      <c r="C267" t="inlineStr">
        <is>
          <t>ORGANIZACAO</t>
        </is>
      </c>
      <c r="D267" t="inlineStr">
        <is>
          <t>ORG</t>
        </is>
      </c>
      <c r="E267" t="inlineStr">
        <is>
          <t>Consorzio Casalasco del Pomodoro</t>
        </is>
      </c>
      <c r="F267" t="inlineStr">
        <is>
          <t>https://www.casalascogroup.com/</t>
        </is>
      </c>
      <c r="G267" t="inlineStr">
        <is>
          <t>https://www.casalasco.com/</t>
        </is>
      </c>
      <c r="H267" t="inlineStr">
        <is>
          <t>https://www.casalasco.com/it</t>
        </is>
      </c>
      <c r="I267" t="n">
        <v>200</v>
      </c>
      <c r="J267" t="inlineStr">
        <is>
          <t>text/html</t>
        </is>
      </c>
      <c r="K267" t="n">
        <v>1</v>
      </c>
      <c r="L267" t="b">
        <v>1</v>
      </c>
      <c r="M267" t="b">
        <v>1</v>
      </c>
      <c r="N267" t="inlineStr">
        <is>
          <t>PROVED_DIRECT</t>
        </is>
      </c>
      <c r="O267" t="inlineStr">
        <is>
          <t>SIM</t>
        </is>
      </c>
      <c r="P267" t="inlineStr">
        <is>
          <t>SIM — dono italiano identificado na pagina</t>
        </is>
      </c>
      <c r="Q267" t="inlineStr">
        <is>
          <t>Casalasco | Filiera Integrata del Pomodoro Italiano</t>
        </is>
      </c>
      <c r="R267" t="inlineStr">
        <is>
          <t>sonda HTTP read-only (GET limitado, payload nao preservado)</t>
        </is>
      </c>
      <c r="S267" t="inlineStr">
        <is>
          <t>2026-09-14T11:17:24Z</t>
        </is>
      </c>
      <c r="T267" t="inlineStr">
        <is>
          <t>PASS</t>
        </is>
      </c>
      <c r="U267" t="inlineStr"/>
      <c r="V267" t="inlineStr">
        <is>
          <t>T10;T1</t>
        </is>
      </c>
      <c r="W267" t="inlineStr">
        <is>
          <t>LOMBARDIA</t>
        </is>
      </c>
      <c r="X267" t="inlineStr">
        <is>
          <t>pomodoro</t>
        </is>
      </c>
      <c r="Y267" t="inlineStr">
        <is>
          <t>pomodoro;trasformazione</t>
        </is>
      </c>
      <c r="Z267" t="inlineStr">
        <is>
          <t>titulo da pagina: Casalasco | Filiera Integrata del Pomodoro Italiano</t>
        </is>
      </c>
      <c r="AA267" t="inlineStr">
        <is>
          <t>dominio institucional do dono</t>
        </is>
      </c>
      <c r="AB267" t="inlineStr">
        <is>
          <t>CONFIRMA</t>
        </is>
      </c>
      <c r="AC267" t="inlineStr">
        <is>
          <t>nao sorteada</t>
        </is>
      </c>
      <c r="AE267" t="inlineStr"/>
      <c r="AF267" t="inlineStr">
        <is>
          <t>dominio correto e casalasco.com</t>
        </is>
      </c>
    </row>
    <row r="268">
      <c r="A268" t="inlineStr">
        <is>
          <t>IT-DISC-2026-09-14-0267</t>
        </is>
      </c>
      <c r="B268" t="inlineStr">
        <is>
          <t>Consorzio di Bonifica Est Ticino Villoresi</t>
        </is>
      </c>
      <c r="C268" t="inlineStr">
        <is>
          <t>ORGANIZACAO</t>
        </is>
      </c>
      <c r="D268" t="inlineStr">
        <is>
          <t>ORG</t>
        </is>
      </c>
      <c r="E268" t="inlineStr">
        <is>
          <t>Consorzio Est Ticino Villoresi</t>
        </is>
      </c>
      <c r="F268" t="inlineStr">
        <is>
          <t>https://www.etvilloresi.it/</t>
        </is>
      </c>
      <c r="G268" t="inlineStr">
        <is>
          <t>https://www.etvilloresi.it/</t>
        </is>
      </c>
      <c r="H268" t="inlineStr">
        <is>
          <t>https://etvilloresi.it/</t>
        </is>
      </c>
      <c r="I268" t="n">
        <v>200</v>
      </c>
      <c r="J268" t="inlineStr">
        <is>
          <t>text/html</t>
        </is>
      </c>
      <c r="K268" t="n">
        <v>1</v>
      </c>
      <c r="L268" t="b">
        <v>1</v>
      </c>
      <c r="M268" t="b">
        <v>1</v>
      </c>
      <c r="N268" t="inlineStr">
        <is>
          <t>PROVED_DIRECT</t>
        </is>
      </c>
      <c r="O268" t="inlineStr">
        <is>
          <t>SIM</t>
        </is>
      </c>
      <c r="P268" t="inlineStr">
        <is>
          <t>SIM — dominio .it e conteudo em italiano</t>
        </is>
      </c>
      <c r="Q268" t="inlineStr">
        <is>
          <t>Est Ticino Villoresi &amp;#8211; Consorzio di bonifica</t>
        </is>
      </c>
      <c r="R268" t="inlineStr">
        <is>
          <t>sonda HTTP read-only (GET limitado, payload nao preservado)</t>
        </is>
      </c>
      <c r="S268" t="inlineStr">
        <is>
          <t>2026-09-14T11:25:14Z</t>
        </is>
      </c>
      <c r="T268" t="inlineStr">
        <is>
          <t>PASS</t>
        </is>
      </c>
      <c r="U268" t="inlineStr"/>
      <c r="V268" t="inlineStr">
        <is>
          <t>T2;T1</t>
        </is>
      </c>
      <c r="W268" t="inlineStr">
        <is>
          <t>LOMBARDIA</t>
        </is>
      </c>
      <c r="X268" t="inlineStr"/>
      <c r="Y268" t="inlineStr">
        <is>
          <t>irrigazione;risaia;acqua</t>
        </is>
      </c>
      <c r="Z268" t="inlineStr">
        <is>
          <t>titulo da pagina: Est Ticino Villoresi &amp;#8211; Consorzio di bonifica</t>
        </is>
      </c>
      <c r="AA268" t="inlineStr">
        <is>
          <t>dominio institucional do dono</t>
        </is>
      </c>
      <c r="AB268" t="inlineStr">
        <is>
          <t>nao sorteada</t>
        </is>
      </c>
      <c r="AC268" t="inlineStr">
        <is>
          <t>nao sorteada</t>
        </is>
      </c>
      <c r="AE268" t="inlineStr"/>
      <c r="AF268" t="inlineStr"/>
    </row>
    <row r="269">
      <c r="A269" t="inlineStr">
        <is>
          <t>IT-DISC-2026-09-14-0268</t>
        </is>
      </c>
      <c r="B269" t="inlineStr">
        <is>
          <t>Consorzio di Tutela del Grana Padano</t>
        </is>
      </c>
      <c r="C269" t="inlineStr">
        <is>
          <t>ORGANIZACAO</t>
        </is>
      </c>
      <c r="D269" t="inlineStr">
        <is>
          <t>ORG</t>
        </is>
      </c>
      <c r="E269" t="inlineStr">
        <is>
          <t>Consorzio Tutela Grana Padano</t>
        </is>
      </c>
      <c r="F269" t="inlineStr">
        <is>
          <t>https://www.granapadano.it/</t>
        </is>
      </c>
      <c r="G269" t="inlineStr">
        <is>
          <t>https://www.granapadano.it/</t>
        </is>
      </c>
      <c r="H269" t="inlineStr">
        <is>
          <t>https://www.granapadano.it/it-it/</t>
        </is>
      </c>
      <c r="I269" t="n">
        <v>200</v>
      </c>
      <c r="J269" t="inlineStr">
        <is>
          <t>text/html</t>
        </is>
      </c>
      <c r="K269" t="n">
        <v>1</v>
      </c>
      <c r="L269" t="b">
        <v>1</v>
      </c>
      <c r="M269" t="b">
        <v>1</v>
      </c>
      <c r="N269" t="inlineStr">
        <is>
          <t>PROVED_DIRECT</t>
        </is>
      </c>
      <c r="O269" t="inlineStr">
        <is>
          <t>SIM</t>
        </is>
      </c>
      <c r="P269" t="inlineStr">
        <is>
          <t>SIM — dominio .it e conteudo em italiano</t>
        </is>
      </c>
      <c r="Q269" t="inlineStr">
        <is>
          <t>Grana Padano - Homepage - Grana Padano</t>
        </is>
      </c>
      <c r="R269" t="inlineStr">
        <is>
          <t>sonda HTTP read-only (GET limitado, payload nao preservado)</t>
        </is>
      </c>
      <c r="S269" t="inlineStr">
        <is>
          <t>2026-09-14T11:25:08Z</t>
        </is>
      </c>
      <c r="T269" t="inlineStr">
        <is>
          <t>PASS</t>
        </is>
      </c>
      <c r="U269" t="inlineStr"/>
      <c r="V269" t="inlineStr">
        <is>
          <t>T10;T1</t>
        </is>
      </c>
      <c r="W269" t="inlineStr">
        <is>
          <t>LOMBARDIA</t>
        </is>
      </c>
      <c r="X269" t="inlineStr">
        <is>
          <t>latte</t>
        </is>
      </c>
      <c r="Y269" t="inlineStr">
        <is>
          <t>DOP;latte;filiera</t>
        </is>
      </c>
      <c r="Z269" t="inlineStr">
        <is>
          <t>titulo da pagina: Grana Padano - Homepage - Grana Padano</t>
        </is>
      </c>
      <c r="AA269" t="inlineStr">
        <is>
          <t>meta description: Da quasi mille anni Grana Padano abbraccia i valori italiani.</t>
        </is>
      </c>
      <c r="AB269" t="inlineStr">
        <is>
          <t>CONFIRMA</t>
        </is>
      </c>
      <c r="AC269" t="inlineStr">
        <is>
          <t>nao sorteada</t>
        </is>
      </c>
      <c r="AE269" t="inlineStr"/>
      <c r="AF269" t="inlineStr"/>
    </row>
    <row r="270">
      <c r="A270" t="inlineStr">
        <is>
          <t>IT-DISC-2026-09-14-0269</t>
        </is>
      </c>
      <c r="B270" t="inlineStr">
        <is>
          <t>Diachem</t>
        </is>
      </c>
      <c r="C270" t="inlineStr">
        <is>
          <t>ORGANIZACAO</t>
        </is>
      </c>
      <c r="D270" t="inlineStr">
        <is>
          <t>ORG</t>
        </is>
      </c>
      <c r="E270" t="inlineStr">
        <is>
          <t>Diachem</t>
        </is>
      </c>
      <c r="F270" t="inlineStr">
        <is>
          <t>https://www.diachem.it/</t>
        </is>
      </c>
      <c r="G270" t="inlineStr">
        <is>
          <t>https://www.diachem.it/</t>
        </is>
      </c>
      <c r="H270" t="inlineStr">
        <is>
          <t>https://diachemagro.com/</t>
        </is>
      </c>
      <c r="I270" t="n">
        <v>200</v>
      </c>
      <c r="J270" t="inlineStr">
        <is>
          <t>text/html</t>
        </is>
      </c>
      <c r="K270" t="n">
        <v>1</v>
      </c>
      <c r="L270" t="b">
        <v>1</v>
      </c>
      <c r="M270" t="b">
        <v>1</v>
      </c>
      <c r="N270" t="inlineStr">
        <is>
          <t>PROVED_DIRECT</t>
        </is>
      </c>
      <c r="O270" t="inlineStr">
        <is>
          <t>SIM</t>
        </is>
      </c>
      <c r="P270" t="inlineStr">
        <is>
          <t>SIM — dominio .it e conteudo em italiano</t>
        </is>
      </c>
      <c r="Q270" t="inlineStr">
        <is>
          <t>Diachem - Produttore di agrofarmaci e agronutrienti</t>
        </is>
      </c>
      <c r="R270" t="inlineStr">
        <is>
          <t>sonda HTTP read-only (GET limitado, payload nao preservado)</t>
        </is>
      </c>
      <c r="S270" t="inlineStr">
        <is>
          <t>2026-09-14T11:25:08Z</t>
        </is>
      </c>
      <c r="T270" t="inlineStr">
        <is>
          <t>PASS</t>
        </is>
      </c>
      <c r="U270" t="inlineStr"/>
      <c r="V270" t="inlineStr">
        <is>
          <t>T9;T3</t>
        </is>
      </c>
      <c r="W270" t="inlineStr">
        <is>
          <t>LOMBARDIA</t>
        </is>
      </c>
      <c r="X270" t="inlineStr"/>
      <c r="Y270" t="inlineStr">
        <is>
          <t>agrofarmaci</t>
        </is>
      </c>
      <c r="Z270" t="inlineStr">
        <is>
          <t>titulo da pagina: Diachem - Produttore di agrofarmaci e agronutrienti</t>
        </is>
      </c>
      <c r="AA270" t="inlineStr">
        <is>
          <t>meta description: Diachem è un’azienda italiana produttrice di agrofarmaci e agronutrien</t>
        </is>
      </c>
      <c r="AB270" t="inlineStr">
        <is>
          <t>CONFIRMA</t>
        </is>
      </c>
      <c r="AC270" t="inlineStr">
        <is>
          <t>nao sorteada</t>
        </is>
      </c>
      <c r="AE270" t="inlineStr"/>
      <c r="AF270" t="inlineStr"/>
    </row>
    <row r="271">
      <c r="A271" t="inlineStr">
        <is>
          <t>IT-DISC-2026-09-14-0270</t>
        </is>
      </c>
      <c r="B271" t="inlineStr">
        <is>
          <t>Fondazione Minoprio</t>
        </is>
      </c>
      <c r="C271" t="inlineStr">
        <is>
          <t>ORGANIZACAO</t>
        </is>
      </c>
      <c r="D271" t="inlineStr">
        <is>
          <t>ORG</t>
        </is>
      </c>
      <c r="E271" t="inlineStr">
        <is>
          <t>Fondazione Minoprio</t>
        </is>
      </c>
      <c r="F271" t="inlineStr">
        <is>
          <t>https://www.fondazioneminoprio.it/</t>
        </is>
      </c>
      <c r="G271" t="inlineStr">
        <is>
          <t>https://www.fondazioneminoprio.it/</t>
        </is>
      </c>
      <c r="H271" t="inlineStr">
        <is>
          <t>https://www.fondazioneminoprio.it/</t>
        </is>
      </c>
      <c r="I271" t="n">
        <v>200</v>
      </c>
      <c r="J271" t="inlineStr">
        <is>
          <t>text/html</t>
        </is>
      </c>
      <c r="K271" t="n">
        <v>0</v>
      </c>
      <c r="L271" t="b">
        <v>1</v>
      </c>
      <c r="M271" t="b">
        <v>1</v>
      </c>
      <c r="N271" t="inlineStr">
        <is>
          <t>PROVED_DIRECT</t>
        </is>
      </c>
      <c r="O271" t="inlineStr">
        <is>
          <t>SIM</t>
        </is>
      </c>
      <c r="P271" t="inlineStr">
        <is>
          <t>SIM — dominio .it e conteudo em italiano</t>
        </is>
      </c>
      <c r="Q271" t="inlineStr">
        <is>
          <t>Fondazione Minoprio - Formazione, location e ricerca</t>
        </is>
      </c>
      <c r="R271" t="inlineStr">
        <is>
          <t>sonda HTTP read-only (GET limitado, payload nao preservado)</t>
        </is>
      </c>
      <c r="S271" t="inlineStr">
        <is>
          <t>2026-09-14T11:24:55Z</t>
        </is>
      </c>
      <c r="T271" t="inlineStr">
        <is>
          <t>PASS</t>
        </is>
      </c>
      <c r="U271" t="inlineStr"/>
      <c r="V271" t="inlineStr">
        <is>
          <t>T5;T7;T1</t>
        </is>
      </c>
      <c r="W271" t="inlineStr">
        <is>
          <t>LOMBARDIA</t>
        </is>
      </c>
      <c r="X271" t="inlineStr"/>
      <c r="Y271" t="inlineStr">
        <is>
          <t>formazione;floricoltura;sperimentazione</t>
        </is>
      </c>
      <c r="Z271" t="inlineStr">
        <is>
          <t>titulo da pagina: Fondazione Minoprio - Formazione, location e ricerca</t>
        </is>
      </c>
      <c r="AA271" t="inlineStr">
        <is>
          <t>meta description: Vertemate con Minoprio - La scuola immersa nel centro agricolo di Mino</t>
        </is>
      </c>
      <c r="AB271" t="inlineStr">
        <is>
          <t>nao sorteada</t>
        </is>
      </c>
      <c r="AC271" t="inlineStr">
        <is>
          <t>nao sorteada</t>
        </is>
      </c>
      <c r="AE271" t="inlineStr"/>
      <c r="AF271" t="inlineStr"/>
    </row>
    <row r="272">
      <c r="A272" t="inlineStr">
        <is>
          <t>IT-DISC-2026-09-14-0271</t>
        </is>
      </c>
      <c r="B272" t="inlineStr">
        <is>
          <t>Granaria — Borsa Merci di Milano</t>
        </is>
      </c>
      <c r="C272" t="inlineStr">
        <is>
          <t>ORGANIZACAO</t>
        </is>
      </c>
      <c r="D272" t="inlineStr">
        <is>
          <t>ORG</t>
        </is>
      </c>
      <c r="E272" t="inlineStr">
        <is>
          <t>Associazione Granaria di Milano</t>
        </is>
      </c>
      <c r="F272" t="inlineStr">
        <is>
          <t>https://www.granariamilano.org/</t>
        </is>
      </c>
      <c r="G272" t="inlineStr">
        <is>
          <t>https://www.granariamilano.org/</t>
        </is>
      </c>
      <c r="H272" t="inlineStr">
        <is>
          <t>https://www.granariamilano.it/</t>
        </is>
      </c>
      <c r="I272" t="n">
        <v>200</v>
      </c>
      <c r="J272" t="inlineStr">
        <is>
          <t>text/html</t>
        </is>
      </c>
      <c r="K272" t="n">
        <v>2</v>
      </c>
      <c r="L272" t="b">
        <v>1</v>
      </c>
      <c r="M272" t="b">
        <v>1</v>
      </c>
      <c r="N272" t="inlineStr">
        <is>
          <t>PROVED_DIRECT</t>
        </is>
      </c>
      <c r="O272" t="inlineStr">
        <is>
          <t>SIM</t>
        </is>
      </c>
      <c r="P272" t="inlineStr">
        <is>
          <t>SIM — dono italiano identificado na pagina</t>
        </is>
      </c>
      <c r="Q272" t="inlineStr">
        <is>
          <t>Associazione Granaria Milano</t>
        </is>
      </c>
      <c r="R272" t="inlineStr">
        <is>
          <t>sonda HTTP read-only (GET limitado, payload nao preservado)</t>
        </is>
      </c>
      <c r="S272" t="inlineStr">
        <is>
          <t>2026-09-14T11:25:04Z</t>
        </is>
      </c>
      <c r="T272" t="inlineStr">
        <is>
          <t>PASS</t>
        </is>
      </c>
      <c r="U272" t="inlineStr"/>
      <c r="V272" t="inlineStr">
        <is>
          <t>T10</t>
        </is>
      </c>
      <c r="W272" t="inlineStr">
        <is>
          <t>LOMBARDIA</t>
        </is>
      </c>
      <c r="X272" t="inlineStr">
        <is>
          <t>cereali</t>
        </is>
      </c>
      <c r="Y272" t="inlineStr">
        <is>
          <t>cereali;prezzi;contratti</t>
        </is>
      </c>
      <c r="Z272" t="inlineStr">
        <is>
          <t>titulo da pagina: Associazione Granaria Milano</t>
        </is>
      </c>
      <c r="AA272" t="inlineStr">
        <is>
          <t>meta description: La Granaria di Milano gestisce le riunioni di mercato e divulga le quo</t>
        </is>
      </c>
      <c r="AB272" t="inlineStr">
        <is>
          <t>nao sorteada</t>
        </is>
      </c>
      <c r="AC272" t="inlineStr">
        <is>
          <t>nao sorteada</t>
        </is>
      </c>
      <c r="AE272" t="inlineStr"/>
      <c r="AF272" t="inlineStr"/>
    </row>
    <row r="273">
      <c r="A273" t="inlineStr">
        <is>
          <t>IT-DISC-2026-09-14-0272</t>
        </is>
      </c>
      <c r="B273" t="inlineStr">
        <is>
          <t>Sipcam Italia</t>
        </is>
      </c>
      <c r="C273" t="inlineStr">
        <is>
          <t>ORGANIZACAO</t>
        </is>
      </c>
      <c r="D273" t="inlineStr">
        <is>
          <t>ORG</t>
        </is>
      </c>
      <c r="E273" t="inlineStr">
        <is>
          <t>Sipcam Oxon Group</t>
        </is>
      </c>
      <c r="F273" t="inlineStr">
        <is>
          <t>https://www.sipcamitalia.it/</t>
        </is>
      </c>
      <c r="G273" t="inlineStr">
        <is>
          <t>https://www.sipcamitalia.it/</t>
        </is>
      </c>
      <c r="H273" t="inlineStr">
        <is>
          <t>https://www.sipcam.com/us/en/</t>
        </is>
      </c>
      <c r="I273" t="n">
        <v>200</v>
      </c>
      <c r="J273" t="inlineStr">
        <is>
          <t>text/html</t>
        </is>
      </c>
      <c r="K273" t="n">
        <v>2</v>
      </c>
      <c r="L273" t="b">
        <v>1</v>
      </c>
      <c r="M273" t="b">
        <v>1</v>
      </c>
      <c r="N273" t="inlineStr">
        <is>
          <t>PROVED_DIRECT</t>
        </is>
      </c>
      <c r="O273" t="inlineStr">
        <is>
          <t>SIM</t>
        </is>
      </c>
      <c r="P273" t="inlineStr">
        <is>
          <t>SIM — dominio .it e conteudo em italiano</t>
        </is>
      </c>
      <c r="Q273" t="inlineStr">
        <is>
          <t>Sipcam Agro USA | Cultivating tomorrow&amp;#39;s agriculture together</t>
        </is>
      </c>
      <c r="R273" t="inlineStr">
        <is>
          <t>sonda HTTP read-only (GET limitado, payload nao preservado)</t>
        </is>
      </c>
      <c r="S273" t="inlineStr">
        <is>
          <t>2026-09-14T11:25:05Z</t>
        </is>
      </c>
      <c r="T273" t="inlineStr">
        <is>
          <t>PASS</t>
        </is>
      </c>
      <c r="U273" t="inlineStr"/>
      <c r="V273" t="inlineStr">
        <is>
          <t>T9;T10</t>
        </is>
      </c>
      <c r="W273" t="inlineStr">
        <is>
          <t>LOMBARDIA</t>
        </is>
      </c>
      <c r="X273" t="inlineStr"/>
      <c r="Y273" t="inlineStr">
        <is>
          <t>agrofarmaci;concorrente</t>
        </is>
      </c>
      <c r="Z273" t="inlineStr">
        <is>
          <t>titulo da pagina: Sipcam Agro USA | Cultivating tomorrow&amp;#39;s agriculture together</t>
        </is>
      </c>
      <c r="AA273" t="inlineStr">
        <is>
          <t>meta description: From our powerful fungicides, herbicides and insecticides to unique va</t>
        </is>
      </c>
      <c r="AB273" t="inlineStr">
        <is>
          <t>nao sorteada</t>
        </is>
      </c>
      <c r="AC273" t="inlineStr">
        <is>
          <t>nao sorteada</t>
        </is>
      </c>
      <c r="AE273" t="inlineStr"/>
      <c r="AF273" t="inlineStr"/>
    </row>
    <row r="274">
      <c r="A274" t="inlineStr">
        <is>
          <t>IT-DISC-2026-09-14-0273</t>
        </is>
      </c>
      <c r="B274" t="inlineStr">
        <is>
          <t>TUTTOFOOD Milano</t>
        </is>
      </c>
      <c r="C274" t="inlineStr">
        <is>
          <t>ORGANIZACAO</t>
        </is>
      </c>
      <c r="D274" t="inlineStr">
        <is>
          <t>ORG</t>
        </is>
      </c>
      <c r="E274" t="inlineStr">
        <is>
          <t>Fiera Milano</t>
        </is>
      </c>
      <c r="F274" t="inlineStr">
        <is>
          <t>https://www.tuttofood.it/</t>
        </is>
      </c>
      <c r="G274" t="inlineStr">
        <is>
          <t>https://www.tuttofood.it/</t>
        </is>
      </c>
      <c r="H274" t="inlineStr">
        <is>
          <t>https://www.tuttofood.it/</t>
        </is>
      </c>
      <c r="I274" t="n">
        <v>200</v>
      </c>
      <c r="J274" t="inlineStr">
        <is>
          <t>text/html</t>
        </is>
      </c>
      <c r="K274" t="n">
        <v>0</v>
      </c>
      <c r="L274" t="b">
        <v>1</v>
      </c>
      <c r="M274" t="b">
        <v>1</v>
      </c>
      <c r="N274" t="inlineStr">
        <is>
          <t>PROVED_DIRECT</t>
        </is>
      </c>
      <c r="O274" t="inlineStr">
        <is>
          <t>SIM</t>
        </is>
      </c>
      <c r="P274" t="inlineStr">
        <is>
          <t>SIM — dominio .it e conteudo em italiano</t>
        </is>
      </c>
      <c r="Q274" t="inlineStr">
        <is>
          <t>Tuttofood | 8-11 maggio 2028</t>
        </is>
      </c>
      <c r="R274" t="inlineStr">
        <is>
          <t>sonda HTTP read-only (GET limitado, payload nao preservado)</t>
        </is>
      </c>
      <c r="S274" t="inlineStr">
        <is>
          <t>2026-09-14T11:39:31Z</t>
        </is>
      </c>
      <c r="T274" t="inlineStr">
        <is>
          <t>PASS</t>
        </is>
      </c>
      <c r="U274" t="inlineStr"/>
      <c r="V274" t="inlineStr">
        <is>
          <t>T11;T10</t>
        </is>
      </c>
      <c r="W274" t="inlineStr">
        <is>
          <t>LOMBARDIA</t>
        </is>
      </c>
      <c r="X274" t="inlineStr"/>
      <c r="Y274" t="inlineStr">
        <is>
          <t>fiera agroalimentare</t>
        </is>
      </c>
      <c r="Z274" t="inlineStr">
        <is>
          <t>titulo da pagina: Tuttofood | 8-11 maggio 2028</t>
        </is>
      </c>
      <c r="AA274" t="inlineStr">
        <is>
          <t>meta description: Tuttofood, innovazione e futuro dell&amp;#039;ecosistema alimentare. Ti as</t>
        </is>
      </c>
      <c r="AB274" t="inlineStr">
        <is>
          <t>nao sorteada</t>
        </is>
      </c>
      <c r="AC274" t="inlineStr">
        <is>
          <t>nao sorteada</t>
        </is>
      </c>
      <c r="AE274" t="inlineStr"/>
      <c r="AF274" t="inlineStr"/>
    </row>
    <row r="275">
      <c r="A275" t="inlineStr">
        <is>
          <t>IT-DISC-2026-09-14-0274</t>
        </is>
      </c>
      <c r="B275" t="inlineStr">
        <is>
          <t>AIAB — Associazione Italiana Agricoltura Biologica</t>
        </is>
      </c>
      <c r="C275" t="inlineStr">
        <is>
          <t>ORGANIZACAO</t>
        </is>
      </c>
      <c r="D275" t="inlineStr">
        <is>
          <t>ORG</t>
        </is>
      </c>
      <c r="E275" t="inlineStr">
        <is>
          <t>AIAB</t>
        </is>
      </c>
      <c r="F275" t="inlineStr">
        <is>
          <t>https://aiab.it/</t>
        </is>
      </c>
      <c r="G275" t="inlineStr">
        <is>
          <t>https://aiab.it/</t>
        </is>
      </c>
      <c r="H275" t="inlineStr">
        <is>
          <t>https://aiab.it/</t>
        </is>
      </c>
      <c r="I275" t="n">
        <v>200</v>
      </c>
      <c r="J275" t="inlineStr">
        <is>
          <t>text/html</t>
        </is>
      </c>
      <c r="K275" t="n">
        <v>0</v>
      </c>
      <c r="L275" t="b">
        <v>1</v>
      </c>
      <c r="M275" t="b">
        <v>1</v>
      </c>
      <c r="N275" t="inlineStr">
        <is>
          <t>PROVED_DIRECT</t>
        </is>
      </c>
      <c r="O275" t="inlineStr">
        <is>
          <t>SIM</t>
        </is>
      </c>
      <c r="P275" t="inlineStr">
        <is>
          <t>SIM — dominio .it e conteudo em italiano</t>
        </is>
      </c>
      <c r="Q275" t="inlineStr">
        <is>
          <t>Home - Associazione Italiana per l&amp;#039;Agricoltura Biologica</t>
        </is>
      </c>
      <c r="R275" t="inlineStr">
        <is>
          <t>sonda HTTP read-only (GET limitado, payload nao preservado)</t>
        </is>
      </c>
      <c r="S275" t="inlineStr">
        <is>
          <t>2026-09-14T11:25:18Z</t>
        </is>
      </c>
      <c r="T275" t="inlineStr">
        <is>
          <t>PASS</t>
        </is>
      </c>
      <c r="U275" t="inlineStr"/>
      <c r="V275" t="inlineStr">
        <is>
          <t>T12;T1</t>
        </is>
      </c>
      <c r="W275" t="inlineStr">
        <is>
          <t>NAZIONALE</t>
        </is>
      </c>
      <c r="X275" t="inlineStr"/>
      <c r="Y275" t="inlineStr">
        <is>
          <t>biologico;agroecologia</t>
        </is>
      </c>
      <c r="Z275" t="inlineStr">
        <is>
          <t>titulo da pagina: Home - Associazione Italiana per l&amp;#039;Agricoltura Biologica</t>
        </is>
      </c>
      <c r="AA275" t="inlineStr">
        <is>
          <t>dominio institucional do dono</t>
        </is>
      </c>
      <c r="AB275" t="inlineStr">
        <is>
          <t>CONFIRMA</t>
        </is>
      </c>
      <c r="AC275" t="inlineStr">
        <is>
          <t>nao sorteada</t>
        </is>
      </c>
      <c r="AE275" t="inlineStr"/>
      <c r="AF275" t="inlineStr"/>
    </row>
    <row r="276">
      <c r="A276" t="inlineStr">
        <is>
          <t>IT-DISC-2026-09-14-0275</t>
        </is>
      </c>
      <c r="B276" t="inlineStr">
        <is>
          <t>AIAM — Associazione Italiana di Agrometeorologia</t>
        </is>
      </c>
      <c r="C276" t="inlineStr">
        <is>
          <t>ORGANIZACAO</t>
        </is>
      </c>
      <c r="D276" t="inlineStr">
        <is>
          <t>ORG</t>
        </is>
      </c>
      <c r="E276" t="inlineStr">
        <is>
          <t>AIAM</t>
        </is>
      </c>
      <c r="F276" t="inlineStr">
        <is>
          <t>https://www.agrometeorologia.it/</t>
        </is>
      </c>
      <c r="G276" t="inlineStr">
        <is>
          <t>https://www.agrometeorologia.it/</t>
        </is>
      </c>
      <c r="H276" t="inlineStr">
        <is>
          <t>https://www.agrometeorologia.it/</t>
        </is>
      </c>
      <c r="I276" t="n">
        <v>200</v>
      </c>
      <c r="J276" t="inlineStr">
        <is>
          <t>text/html</t>
        </is>
      </c>
      <c r="K276" t="n">
        <v>0</v>
      </c>
      <c r="L276" t="b">
        <v>1</v>
      </c>
      <c r="M276" t="b">
        <v>1</v>
      </c>
      <c r="N276" t="inlineStr">
        <is>
          <t>PROVED_DIRECT</t>
        </is>
      </c>
      <c r="O276" t="inlineStr">
        <is>
          <t>SIM</t>
        </is>
      </c>
      <c r="P276" t="inlineStr">
        <is>
          <t>SIM — dominio .it e conteudo em italiano</t>
        </is>
      </c>
      <c r="Q276" t="inlineStr">
        <is>
          <t>AIAM - | Associazione Italiana di AgroMeteorologia</t>
        </is>
      </c>
      <c r="R276" t="inlineStr">
        <is>
          <t>sonda HTTP read-only (GET limitado, payload nao preservado)</t>
        </is>
      </c>
      <c r="S276" t="inlineStr">
        <is>
          <t>2026-09-14T11:04:35Z</t>
        </is>
      </c>
      <c r="T276" t="inlineStr">
        <is>
          <t>PASS</t>
        </is>
      </c>
      <c r="U276" t="inlineStr"/>
      <c r="V276" t="inlineStr">
        <is>
          <t>T2;T5;T11</t>
        </is>
      </c>
      <c r="W276" t="inlineStr">
        <is>
          <t>NAZIONALE</t>
        </is>
      </c>
      <c r="X276" t="inlineStr"/>
      <c r="Y276" t="inlineStr">
        <is>
          <t>agrometeorologia;convegno</t>
        </is>
      </c>
      <c r="Z276" t="inlineStr">
        <is>
          <t>titulo da pagina: AIAM - | Associazione Italiana di AgroMeteorologia</t>
        </is>
      </c>
      <c r="AA276" t="inlineStr">
        <is>
          <t>meta description: L’Associazione Italiana di AgroMeteorologia (AIAM) nasce nel 1997 e ac</t>
        </is>
      </c>
      <c r="AB276" t="inlineStr">
        <is>
          <t>nao sorteada</t>
        </is>
      </c>
      <c r="AC276" t="inlineStr">
        <is>
          <t>nao sorteada</t>
        </is>
      </c>
      <c r="AE276" t="inlineStr"/>
      <c r="AF276" t="inlineStr"/>
    </row>
    <row r="277">
      <c r="A277" t="inlineStr">
        <is>
          <t>IT-DISC-2026-09-14-0276</t>
        </is>
      </c>
      <c r="B277" t="inlineStr">
        <is>
          <t>ANBI — Associazione Nazionale Consorzi di gestione e tutela del territorio e acque irrigue</t>
        </is>
      </c>
      <c r="C277" t="inlineStr">
        <is>
          <t>ORGANIZACAO</t>
        </is>
      </c>
      <c r="D277" t="inlineStr">
        <is>
          <t>ORG</t>
        </is>
      </c>
      <c r="E277" t="inlineStr">
        <is>
          <t>ANBI</t>
        </is>
      </c>
      <c r="F277" t="inlineStr">
        <is>
          <t>https://www.anbi.it/</t>
        </is>
      </c>
      <c r="G277" t="inlineStr">
        <is>
          <t>https://www.anbi.it/</t>
        </is>
      </c>
      <c r="H277" t="inlineStr">
        <is>
          <t>https://www.anbi.it/</t>
        </is>
      </c>
      <c r="I277" t="n">
        <v>200</v>
      </c>
      <c r="J277" t="inlineStr">
        <is>
          <t>text/html</t>
        </is>
      </c>
      <c r="K277" t="n">
        <v>0</v>
      </c>
      <c r="L277" t="b">
        <v>1</v>
      </c>
      <c r="M277" t="b">
        <v>1</v>
      </c>
      <c r="N277" t="inlineStr">
        <is>
          <t>PROVED_DIRECT</t>
        </is>
      </c>
      <c r="O277" t="inlineStr">
        <is>
          <t>SIM</t>
        </is>
      </c>
      <c r="P277" t="inlineStr">
        <is>
          <t>SIM — dominio .it e conteudo em italiano</t>
        </is>
      </c>
      <c r="Q277" t="inlineStr">
        <is>
          <t>A.N.B.I. Ass. Naz. Bonifiche Irrigazioni Miglioramenti Fondiari</t>
        </is>
      </c>
      <c r="R277" t="inlineStr">
        <is>
          <t>sonda HTTP read-only (GET limitado, payload nao preservado)</t>
        </is>
      </c>
      <c r="S277" t="inlineStr">
        <is>
          <t>2026-09-14T11:04:40Z</t>
        </is>
      </c>
      <c r="T277" t="inlineStr">
        <is>
          <t>PASS</t>
        </is>
      </c>
      <c r="U277" t="inlineStr"/>
      <c r="V277" t="inlineStr">
        <is>
          <t>T2;T12</t>
        </is>
      </c>
      <c r="W277" t="inlineStr">
        <is>
          <t>NAZIONALE</t>
        </is>
      </c>
      <c r="X277" t="inlineStr"/>
      <c r="Y277" t="inlineStr">
        <is>
          <t>consorzi di bonifica;irrigazione</t>
        </is>
      </c>
      <c r="Z277" t="inlineStr">
        <is>
          <t>titulo da pagina: A.N.B.I. Ass. Naz. Bonifiche Irrigazioni Miglioramenti Fondiari</t>
        </is>
      </c>
      <c r="AA277" t="inlineStr">
        <is>
          <t>meta description: A.N.B.I. Ass. Naz. Bonifiche Irrigazioni Miglioramenti Fondiari</t>
        </is>
      </c>
      <c r="AB277" t="inlineStr">
        <is>
          <t>nao sorteada</t>
        </is>
      </c>
      <c r="AC277" t="inlineStr">
        <is>
          <t>SIM</t>
        </is>
      </c>
      <c r="AE277" t="inlineStr"/>
      <c r="AF277" t="inlineStr"/>
    </row>
    <row r="278">
      <c r="A278" t="inlineStr">
        <is>
          <t>IT-DISC-2026-09-14-0277</t>
        </is>
      </c>
      <c r="B278" t="inlineStr">
        <is>
          <t>ANGA — Giovani di Confagricoltura</t>
        </is>
      </c>
      <c r="C278" t="inlineStr">
        <is>
          <t>ORGANIZACAO</t>
        </is>
      </c>
      <c r="D278" t="inlineStr">
        <is>
          <t>ORG</t>
        </is>
      </c>
      <c r="E278" t="inlineStr">
        <is>
          <t>Confagricoltura</t>
        </is>
      </c>
      <c r="F278" t="inlineStr">
        <is>
          <t>https://www.anga.it/</t>
        </is>
      </c>
      <c r="G278" t="inlineStr">
        <is>
          <t>http://www.anga.it/</t>
        </is>
      </c>
      <c r="H278" t="inlineStr">
        <is>
          <t>https://www.confagricoltura.it/ita/network-confagricoltura/sistema-confagricoltura/giovani-di-confagricoltura-anga</t>
        </is>
      </c>
      <c r="I278" t="n">
        <v>200</v>
      </c>
      <c r="J278" t="inlineStr">
        <is>
          <t>text/html</t>
        </is>
      </c>
      <c r="K278" t="n">
        <v>1</v>
      </c>
      <c r="L278" t="b">
        <v>1</v>
      </c>
      <c r="M278" t="b">
        <v>1</v>
      </c>
      <c r="N278" t="inlineStr">
        <is>
          <t>PROVED_DIRECT</t>
        </is>
      </c>
      <c r="O278" t="inlineStr">
        <is>
          <t>SIM</t>
        </is>
      </c>
      <c r="P278" t="inlineStr">
        <is>
          <t>SIM — dominio .it e conteudo em italiano</t>
        </is>
      </c>
      <c r="Q278" t="inlineStr">
        <is>
          <t>Giovani di Confagricoltura - ANGA, Sistema Confagricoltura | Confagricoltura</t>
        </is>
      </c>
      <c r="R278" t="inlineStr">
        <is>
          <t>sonda HTTP read-only (GET limitado, payload nao preservado) + cadeia TLS completada por AIA</t>
        </is>
      </c>
      <c r="S278" t="inlineStr">
        <is>
          <t>2026-09-14T11:24:26Z</t>
        </is>
      </c>
      <c r="T278" t="inlineStr">
        <is>
          <t>PASS</t>
        </is>
      </c>
      <c r="U278" t="inlineStr"/>
      <c r="V278" t="inlineStr">
        <is>
          <t>T8;T12</t>
        </is>
      </c>
      <c r="W278" t="inlineStr">
        <is>
          <t>NAZIONALE</t>
        </is>
      </c>
      <c r="X278" t="inlineStr"/>
      <c r="Y278" t="inlineStr">
        <is>
          <t>giovani agricoltori</t>
        </is>
      </c>
      <c r="Z278" t="inlineStr">
        <is>
          <t>titulo da pagina: Giovani di Confagricoltura - ANGA, Sistema Confagricoltura | Confagric</t>
        </is>
      </c>
      <c r="AA278" t="inlineStr">
        <is>
          <t>meta description: Approfondisci di più su Giovani di Confagricoltura - ANGA di Confagric</t>
        </is>
      </c>
      <c r="AB278" t="inlineStr">
        <is>
          <t>CONFIRMA</t>
        </is>
      </c>
      <c r="AC278" t="inlineStr">
        <is>
          <t>SIM</t>
        </is>
      </c>
      <c r="AE278" t="inlineStr">
        <is>
          <t>VIA_CURL_TLS_FALLBACK</t>
        </is>
      </c>
      <c r="AF278" t="inlineStr">
        <is>
          <t>handshake TLS recusado; o endereco HTTP serve a associacao</t>
        </is>
      </c>
    </row>
    <row r="279">
      <c r="A279" t="inlineStr">
        <is>
          <t>IT-DISC-2026-09-14-0278</t>
        </is>
      </c>
      <c r="B279" t="inlineStr">
        <is>
          <t>Agrofarma — Federchimica</t>
        </is>
      </c>
      <c r="C279" t="inlineStr">
        <is>
          <t>ORGANIZACAO</t>
        </is>
      </c>
      <c r="D279" t="inlineStr">
        <is>
          <t>ORG</t>
        </is>
      </c>
      <c r="E279" t="inlineStr">
        <is>
          <t>Federchimica Agrofarma</t>
        </is>
      </c>
      <c r="F279" t="inlineStr">
        <is>
          <t>https://agrofarma.federchimica.it/</t>
        </is>
      </c>
      <c r="G279" t="inlineStr">
        <is>
          <t>https://agrofarma.federchimica.it/</t>
        </is>
      </c>
      <c r="H279" t="inlineStr">
        <is>
          <t>https://agrofarma.federchimica.it/</t>
        </is>
      </c>
      <c r="I279" t="n">
        <v>200</v>
      </c>
      <c r="J279" t="inlineStr">
        <is>
          <t>text/html</t>
        </is>
      </c>
      <c r="K279" t="n">
        <v>0</v>
      </c>
      <c r="L279" t="b">
        <v>1</v>
      </c>
      <c r="M279" t="b">
        <v>1</v>
      </c>
      <c r="N279" t="inlineStr">
        <is>
          <t>PROVED_DIRECT</t>
        </is>
      </c>
      <c r="O279" t="inlineStr">
        <is>
          <t>SIM</t>
        </is>
      </c>
      <c r="P279" t="inlineStr">
        <is>
          <t>SIM — dominio .it e conteudo em italiano</t>
        </is>
      </c>
      <c r="Q279" t="inlineStr">
        <is>
          <t>Home page</t>
        </is>
      </c>
      <c r="R279" t="inlineStr">
        <is>
          <t>sonda HTTP read-only (GET limitado, payload nao preservado)</t>
        </is>
      </c>
      <c r="S279" t="inlineStr">
        <is>
          <t>2026-09-14T11:04:37Z</t>
        </is>
      </c>
      <c r="T279" t="inlineStr">
        <is>
          <t>PASS</t>
        </is>
      </c>
      <c r="U279" t="inlineStr"/>
      <c r="V279" t="inlineStr">
        <is>
          <t>T9;T10;T4</t>
        </is>
      </c>
      <c r="W279" t="inlineStr">
        <is>
          <t>NAZIONALE</t>
        </is>
      </c>
      <c r="X279" t="inlineStr"/>
      <c r="Y279" t="inlineStr">
        <is>
          <t>agrofarmaci;industria;regolatorio</t>
        </is>
      </c>
      <c r="Z279" t="inlineStr">
        <is>
          <t>titulo da pagina: Home page</t>
        </is>
      </c>
      <c r="AA279" t="inlineStr">
        <is>
          <t>dominio institucional do dono</t>
        </is>
      </c>
      <c r="AB279" t="inlineStr">
        <is>
          <t>nao sorteada</t>
        </is>
      </c>
      <c r="AC279" t="inlineStr">
        <is>
          <t>nao sorteada</t>
        </is>
      </c>
      <c r="AE279" t="inlineStr"/>
      <c r="AF279" t="inlineStr"/>
    </row>
    <row r="280">
      <c r="A280" t="inlineStr">
        <is>
          <t>IT-DISC-2026-09-14-0279</t>
        </is>
      </c>
      <c r="B280" t="inlineStr">
        <is>
          <t>Alleanza delle Cooperative Italiane Agroalimentare</t>
        </is>
      </c>
      <c r="C280" t="inlineStr">
        <is>
          <t>ORGANIZACAO</t>
        </is>
      </c>
      <c r="D280" t="inlineStr">
        <is>
          <t>ORG</t>
        </is>
      </c>
      <c r="E280" t="inlineStr">
        <is>
          <t>Alleanza Cooperative</t>
        </is>
      </c>
      <c r="F280" t="inlineStr">
        <is>
          <t>https://www.alleanzacooperative.it/</t>
        </is>
      </c>
      <c r="G280" t="inlineStr">
        <is>
          <t>https://www.alleanzacooperative.it/</t>
        </is>
      </c>
      <c r="H280" t="inlineStr">
        <is>
          <t>https://www.alleanzacooperative.it/</t>
        </is>
      </c>
      <c r="I280" t="n">
        <v>200</v>
      </c>
      <c r="J280" t="inlineStr">
        <is>
          <t>text/html</t>
        </is>
      </c>
      <c r="K280" t="n">
        <v>0</v>
      </c>
      <c r="L280" t="b">
        <v>1</v>
      </c>
      <c r="M280" t="b">
        <v>1</v>
      </c>
      <c r="N280" t="inlineStr">
        <is>
          <t>PROVED_DIRECT</t>
        </is>
      </c>
      <c r="O280" t="inlineStr">
        <is>
          <t>SIM</t>
        </is>
      </c>
      <c r="P280" t="inlineStr">
        <is>
          <t>SIM — dominio .it e conteudo em italiano</t>
        </is>
      </c>
      <c r="Q280" t="inlineStr">
        <is>
          <t>Alleanza Cooperative Italiane</t>
        </is>
      </c>
      <c r="R280" t="inlineStr">
        <is>
          <t>sonda HTTP read-only (GET limitado, payload nao preservado)</t>
        </is>
      </c>
      <c r="S280" t="inlineStr">
        <is>
          <t>2026-09-14T11:04:37Z</t>
        </is>
      </c>
      <c r="T280" t="inlineStr">
        <is>
          <t>PASS</t>
        </is>
      </c>
      <c r="U280" t="inlineStr"/>
      <c r="V280" t="inlineStr">
        <is>
          <t>T10;T12</t>
        </is>
      </c>
      <c r="W280" t="inlineStr">
        <is>
          <t>NAZIONALE</t>
        </is>
      </c>
      <c r="X280" t="inlineStr"/>
      <c r="Y280" t="inlineStr">
        <is>
          <t>cooperative</t>
        </is>
      </c>
      <c r="Z280" t="inlineStr">
        <is>
          <t>titulo da pagina: Alleanza Cooperative Italiane</t>
        </is>
      </c>
      <c r="AA280" t="inlineStr">
        <is>
          <t>dominio institucional do dono</t>
        </is>
      </c>
      <c r="AB280" t="inlineStr">
        <is>
          <t>CONFIRMA</t>
        </is>
      </c>
      <c r="AC280" t="inlineStr">
        <is>
          <t>SIM</t>
        </is>
      </c>
      <c r="AE280" t="inlineStr"/>
      <c r="AF280" t="inlineStr"/>
    </row>
    <row r="281">
      <c r="A281" t="inlineStr">
        <is>
          <t>IT-DISC-2026-09-14-0280</t>
        </is>
      </c>
      <c r="B281" t="inlineStr">
        <is>
          <t>Assofertilizzanti — Federchimica</t>
        </is>
      </c>
      <c r="C281" t="inlineStr">
        <is>
          <t>ORGANIZACAO</t>
        </is>
      </c>
      <c r="D281" t="inlineStr">
        <is>
          <t>ORG</t>
        </is>
      </c>
      <c r="E281" t="inlineStr">
        <is>
          <t>Federchimica</t>
        </is>
      </c>
      <c r="F281" t="inlineStr">
        <is>
          <t>https://assofertilizzanti.federchimica.it/</t>
        </is>
      </c>
      <c r="G281" t="inlineStr">
        <is>
          <t>https://assofertilizzanti.federchimica.it/</t>
        </is>
      </c>
      <c r="H281" t="inlineStr">
        <is>
          <t>https://assofertilizzanti.federchimica.it/</t>
        </is>
      </c>
      <c r="I281" t="n">
        <v>200</v>
      </c>
      <c r="J281" t="inlineStr">
        <is>
          <t>text/html</t>
        </is>
      </c>
      <c r="K281" t="n">
        <v>0</v>
      </c>
      <c r="L281" t="b">
        <v>1</v>
      </c>
      <c r="M281" t="b">
        <v>1</v>
      </c>
      <c r="N281" t="inlineStr">
        <is>
          <t>PROVED_DIRECT</t>
        </is>
      </c>
      <c r="O281" t="inlineStr">
        <is>
          <t>SIM</t>
        </is>
      </c>
      <c r="P281" t="inlineStr">
        <is>
          <t>SIM — dominio .it e conteudo em italiano</t>
        </is>
      </c>
      <c r="Q281" t="inlineStr">
        <is>
          <t>Home</t>
        </is>
      </c>
      <c r="R281" t="inlineStr">
        <is>
          <t>sonda HTTP read-only (GET limitado, payload nao preservado)</t>
        </is>
      </c>
      <c r="S281" t="inlineStr">
        <is>
          <t>2026-09-14T11:04:38Z</t>
        </is>
      </c>
      <c r="T281" t="inlineStr">
        <is>
          <t>PASS</t>
        </is>
      </c>
      <c r="U281" t="inlineStr"/>
      <c r="V281" t="inlineStr">
        <is>
          <t>T10;T1</t>
        </is>
      </c>
      <c r="W281" t="inlineStr">
        <is>
          <t>NAZIONALE</t>
        </is>
      </c>
      <c r="X281" t="inlineStr"/>
      <c r="Y281" t="inlineStr">
        <is>
          <t>fertilizzanti;nutrizione</t>
        </is>
      </c>
      <c r="Z281" t="inlineStr">
        <is>
          <t>titulo da pagina: Home</t>
        </is>
      </c>
      <c r="AA281" t="inlineStr">
        <is>
          <t>dominio institucional do dono</t>
        </is>
      </c>
      <c r="AB281" t="inlineStr">
        <is>
          <t>nao sorteada</t>
        </is>
      </c>
      <c r="AC281" t="inlineStr">
        <is>
          <t>nao sorteada</t>
        </is>
      </c>
      <c r="AE281" t="inlineStr"/>
      <c r="AF281" t="inlineStr"/>
    </row>
    <row r="282">
      <c r="A282" t="inlineStr">
        <is>
          <t>IT-DISC-2026-09-14-0281</t>
        </is>
      </c>
      <c r="B282" t="inlineStr">
        <is>
          <t>Assosementi</t>
        </is>
      </c>
      <c r="C282" t="inlineStr">
        <is>
          <t>ORGANIZACAO</t>
        </is>
      </c>
      <c r="D282" t="inlineStr">
        <is>
          <t>ORG</t>
        </is>
      </c>
      <c r="E282" t="inlineStr">
        <is>
          <t>Assosementi</t>
        </is>
      </c>
      <c r="F282" t="inlineStr">
        <is>
          <t>https://www.sementi.it/</t>
        </is>
      </c>
      <c r="G282" t="inlineStr">
        <is>
          <t>https://www.sementi.it/</t>
        </is>
      </c>
      <c r="H282" t="inlineStr">
        <is>
          <t>https://www.sementi.it/</t>
        </is>
      </c>
      <c r="I282" t="n">
        <v>200</v>
      </c>
      <c r="J282" t="inlineStr">
        <is>
          <t>text/html</t>
        </is>
      </c>
      <c r="K282" t="n">
        <v>0</v>
      </c>
      <c r="L282" t="b">
        <v>1</v>
      </c>
      <c r="M282" t="b">
        <v>1</v>
      </c>
      <c r="N282" t="inlineStr">
        <is>
          <t>PROVED_DIRECT</t>
        </is>
      </c>
      <c r="O282" t="inlineStr">
        <is>
          <t>SIM</t>
        </is>
      </c>
      <c r="P282" t="inlineStr">
        <is>
          <t>SIM — dominio .it e conteudo em italiano</t>
        </is>
      </c>
      <c r="Q282" t="inlineStr">
        <is>
          <t>Associazione Italiana Sementieri e Vivaisti - Assosementi</t>
        </is>
      </c>
      <c r="R282" t="inlineStr">
        <is>
          <t>sonda HTTP read-only (GET limitado, payload nao preservado)</t>
        </is>
      </c>
      <c r="S282" t="inlineStr">
        <is>
          <t>2026-09-14T11:04:37Z</t>
        </is>
      </c>
      <c r="T282" t="inlineStr">
        <is>
          <t>PASS</t>
        </is>
      </c>
      <c r="U282" t="inlineStr"/>
      <c r="V282" t="inlineStr">
        <is>
          <t>T1;T10</t>
        </is>
      </c>
      <c r="W282" t="inlineStr">
        <is>
          <t>NAZIONALE</t>
        </is>
      </c>
      <c r="X282" t="inlineStr"/>
      <c r="Y282" t="inlineStr">
        <is>
          <t>sementi;varieta</t>
        </is>
      </c>
      <c r="Z282" t="inlineStr">
        <is>
          <t>titulo da pagina: Associazione Italiana Sementieri e Vivaisti - Assosementi</t>
        </is>
      </c>
      <c r="AA282" t="inlineStr">
        <is>
          <t>dominio institucional do dono</t>
        </is>
      </c>
      <c r="AB282" t="inlineStr">
        <is>
          <t>nao sorteada</t>
        </is>
      </c>
      <c r="AC282" t="inlineStr">
        <is>
          <t>nao sorteada</t>
        </is>
      </c>
      <c r="AE282" t="inlineStr"/>
      <c r="AF282" t="inlineStr"/>
    </row>
    <row r="283">
      <c r="A283" t="inlineStr">
        <is>
          <t>IT-DISC-2026-09-14-0282</t>
        </is>
      </c>
      <c r="B283" t="inlineStr">
        <is>
          <t>CIA — Agricoltori Italiani</t>
        </is>
      </c>
      <c r="C283" t="inlineStr">
        <is>
          <t>ORGANIZACAO</t>
        </is>
      </c>
      <c r="D283" t="inlineStr">
        <is>
          <t>ORG</t>
        </is>
      </c>
      <c r="E283" t="inlineStr">
        <is>
          <t>CIA</t>
        </is>
      </c>
      <c r="F283" t="inlineStr">
        <is>
          <t>https://www.cia.it/</t>
        </is>
      </c>
      <c r="G283" t="inlineStr">
        <is>
          <t>https://www.cia.it/</t>
        </is>
      </c>
      <c r="H283" t="inlineStr">
        <is>
          <t>https://www.cia.it/</t>
        </is>
      </c>
      <c r="I283" t="n">
        <v>200</v>
      </c>
      <c r="J283" t="inlineStr">
        <is>
          <t>text/html</t>
        </is>
      </c>
      <c r="K283" t="n">
        <v>0</v>
      </c>
      <c r="L283" t="b">
        <v>1</v>
      </c>
      <c r="M283" t="b">
        <v>1</v>
      </c>
      <c r="N283" t="inlineStr">
        <is>
          <t>PROVED_DIRECT</t>
        </is>
      </c>
      <c r="O283" t="inlineStr">
        <is>
          <t>SIM</t>
        </is>
      </c>
      <c r="P283" t="inlineStr">
        <is>
          <t>SIM — dominio .it e conteudo em italiano</t>
        </is>
      </c>
      <c r="Q283" t="inlineStr">
        <is>
          <t>CIA - Agricoltori Italiani
        -
            Home</t>
        </is>
      </c>
      <c r="R283" t="inlineStr">
        <is>
          <t>sonda HTTP read-only (GET limitado, payload nao preservado)</t>
        </is>
      </c>
      <c r="S283" t="inlineStr">
        <is>
          <t>2026-09-14T11:04:35Z</t>
        </is>
      </c>
      <c r="T283" t="inlineStr">
        <is>
          <t>PASS</t>
        </is>
      </c>
      <c r="U283" t="inlineStr"/>
      <c r="V283" t="inlineStr">
        <is>
          <t>T12;T7</t>
        </is>
      </c>
      <c r="W283" t="inlineStr">
        <is>
          <t>NAZIONALE</t>
        </is>
      </c>
      <c r="X283" t="inlineStr"/>
      <c r="Y283" t="inlineStr">
        <is>
          <t>organizzazione agricola;policy</t>
        </is>
      </c>
      <c r="Z283" t="inlineStr">
        <is>
          <t>titulo da pagina: CIA - Agricoltori Italiani
        -
            Hom</t>
        </is>
      </c>
      <c r="AA283" t="inlineStr">
        <is>
          <t>dominio institucional do dono</t>
        </is>
      </c>
      <c r="AB283" t="inlineStr">
        <is>
          <t>nao sorteada</t>
        </is>
      </c>
      <c r="AC283" t="inlineStr">
        <is>
          <t>SIM</t>
        </is>
      </c>
      <c r="AE283" t="inlineStr"/>
      <c r="AF283" t="inlineStr"/>
    </row>
    <row r="284">
      <c r="A284" t="inlineStr">
        <is>
          <t>IT-DISC-2026-09-14-0283</t>
        </is>
      </c>
      <c r="B284" t="inlineStr">
        <is>
          <t>CNR — Consiglio Nazionale delle Ricerche</t>
        </is>
      </c>
      <c r="C284" t="inlineStr">
        <is>
          <t>ORGANIZACAO</t>
        </is>
      </c>
      <c r="D284" t="inlineStr">
        <is>
          <t>ORG</t>
        </is>
      </c>
      <c r="E284" t="inlineStr">
        <is>
          <t>CNR</t>
        </is>
      </c>
      <c r="F284" t="inlineStr">
        <is>
          <t>https://www.cnr.it/</t>
        </is>
      </c>
      <c r="G284" t="inlineStr">
        <is>
          <t>https://www.cnr.it/</t>
        </is>
      </c>
      <c r="H284" t="inlineStr">
        <is>
          <t>https://www.cnr.it/</t>
        </is>
      </c>
      <c r="I284" t="n">
        <v>200</v>
      </c>
      <c r="J284" t="inlineStr">
        <is>
          <t>text/html</t>
        </is>
      </c>
      <c r="K284" t="n">
        <v>0</v>
      </c>
      <c r="L284" t="b">
        <v>1</v>
      </c>
      <c r="M284" t="b">
        <v>1</v>
      </c>
      <c r="N284" t="inlineStr">
        <is>
          <t>PROVED_DIRECT</t>
        </is>
      </c>
      <c r="O284" t="inlineStr">
        <is>
          <t>SIM</t>
        </is>
      </c>
      <c r="P284" t="inlineStr">
        <is>
          <t>SIM — dominio .it e conteudo em italiano</t>
        </is>
      </c>
      <c r="Q284" t="inlineStr">
        <is>
          <t>Home | Consiglio Nazionale delle Ricerche</t>
        </is>
      </c>
      <c r="R284" t="inlineStr">
        <is>
          <t>sonda HTTP read-only (GET limitado, payload nao preservado)</t>
        </is>
      </c>
      <c r="S284" t="inlineStr">
        <is>
          <t>2026-09-14T11:04:31Z</t>
        </is>
      </c>
      <c r="T284" t="inlineStr">
        <is>
          <t>PASS</t>
        </is>
      </c>
      <c r="U284" t="inlineStr"/>
      <c r="V284" t="inlineStr">
        <is>
          <t>T5;T6</t>
        </is>
      </c>
      <c r="W284" t="inlineStr">
        <is>
          <t>NAZIONALE</t>
        </is>
      </c>
      <c r="X284" t="inlineStr"/>
      <c r="Y284" t="inlineStr">
        <is>
          <t>ricerca;istituti</t>
        </is>
      </c>
      <c r="Z284" t="inlineStr">
        <is>
          <t>titulo da pagina: Home | Consiglio Nazionale delle Ricerche</t>
        </is>
      </c>
      <c r="AA284" t="inlineStr">
        <is>
          <t>dominio institucional do dono</t>
        </is>
      </c>
      <c r="AB284" t="inlineStr">
        <is>
          <t>CONFIRMA</t>
        </is>
      </c>
      <c r="AC284" t="inlineStr">
        <is>
          <t>nao sorteada</t>
        </is>
      </c>
      <c r="AE284" t="inlineStr"/>
      <c r="AF284" t="inlineStr"/>
    </row>
    <row r="285">
      <c r="A285" t="inlineStr">
        <is>
          <t>IT-DISC-2026-09-14-0284</t>
        </is>
      </c>
      <c r="B285" t="inlineStr">
        <is>
          <t>CONAF — Consiglio Ordine Nazionale Dottori Agronomi e Forestali</t>
        </is>
      </c>
      <c r="C285" t="inlineStr">
        <is>
          <t>ORGANIZACAO</t>
        </is>
      </c>
      <c r="D285" t="inlineStr">
        <is>
          <t>ORG</t>
        </is>
      </c>
      <c r="E285" t="inlineStr">
        <is>
          <t>CONAF</t>
        </is>
      </c>
      <c r="F285" t="inlineStr">
        <is>
          <t>https://www.conaf.it/</t>
        </is>
      </c>
      <c r="G285" t="inlineStr">
        <is>
          <t>https://www.conaf.it/</t>
        </is>
      </c>
      <c r="H285" t="inlineStr">
        <is>
          <t>https://www.conaf.it/</t>
        </is>
      </c>
      <c r="I285" t="n">
        <v>200</v>
      </c>
      <c r="J285" t="inlineStr">
        <is>
          <t>text/html</t>
        </is>
      </c>
      <c r="K285" t="n">
        <v>0</v>
      </c>
      <c r="L285" t="b">
        <v>1</v>
      </c>
      <c r="M285" t="b">
        <v>1</v>
      </c>
      <c r="N285" t="inlineStr">
        <is>
          <t>PROVED_DIRECT</t>
        </is>
      </c>
      <c r="O285" t="inlineStr">
        <is>
          <t>SIM</t>
        </is>
      </c>
      <c r="P285" t="inlineStr">
        <is>
          <t>SIM — dominio .it e conteudo em italiano</t>
        </is>
      </c>
      <c r="Q285" t="inlineStr">
        <is>
          <t>Home Page - CONAF</t>
        </is>
      </c>
      <c r="R285" t="inlineStr">
        <is>
          <t>sonda HTTP read-only (GET limitado, payload nao preservado)</t>
        </is>
      </c>
      <c r="S285" t="inlineStr">
        <is>
          <t>2026-09-14T11:04:33Z</t>
        </is>
      </c>
      <c r="T285" t="inlineStr">
        <is>
          <t>PASS</t>
        </is>
      </c>
      <c r="U285" t="inlineStr"/>
      <c r="V285" t="inlineStr">
        <is>
          <t>T7;T12</t>
        </is>
      </c>
      <c r="W285" t="inlineStr">
        <is>
          <t>NAZIONALE</t>
        </is>
      </c>
      <c r="X285" t="inlineStr"/>
      <c r="Y285" t="inlineStr">
        <is>
          <t>agronomi;ordine professionale</t>
        </is>
      </c>
      <c r="Z285" t="inlineStr">
        <is>
          <t>titulo da pagina: Home Page - CONAF</t>
        </is>
      </c>
      <c r="AA285" t="inlineStr">
        <is>
          <t>dominio institucional do dono</t>
        </is>
      </c>
      <c r="AB285" t="inlineStr">
        <is>
          <t>nao sorteada</t>
        </is>
      </c>
      <c r="AC285" t="inlineStr">
        <is>
          <t>nao sorteada</t>
        </is>
      </c>
      <c r="AE285" t="inlineStr"/>
      <c r="AF285" t="inlineStr"/>
    </row>
    <row r="286">
      <c r="A286" t="inlineStr">
        <is>
          <t>IT-DISC-2026-09-14-0285</t>
        </is>
      </c>
      <c r="B286" t="inlineStr">
        <is>
          <t>Certis Belchim Italia</t>
        </is>
      </c>
      <c r="C286" t="inlineStr">
        <is>
          <t>ORGANIZACAO</t>
        </is>
      </c>
      <c r="D286" t="inlineStr">
        <is>
          <t>ORG</t>
        </is>
      </c>
      <c r="E286" t="inlineStr">
        <is>
          <t>Certis Belchim</t>
        </is>
      </c>
      <c r="F286" t="inlineStr">
        <is>
          <t>https://www.certisbelchim.it/</t>
        </is>
      </c>
      <c r="G286" t="inlineStr">
        <is>
          <t>https://www.certisbelchim.it/</t>
        </is>
      </c>
      <c r="H286" t="inlineStr">
        <is>
          <t>https://certisbelchim.it/</t>
        </is>
      </c>
      <c r="I286" t="n">
        <v>200</v>
      </c>
      <c r="J286" t="inlineStr">
        <is>
          <t>text/html</t>
        </is>
      </c>
      <c r="K286" t="n">
        <v>1</v>
      </c>
      <c r="L286" t="b">
        <v>1</v>
      </c>
      <c r="M286" t="b">
        <v>1</v>
      </c>
      <c r="N286" t="inlineStr">
        <is>
          <t>PROVED_DIRECT</t>
        </is>
      </c>
      <c r="O286" t="inlineStr">
        <is>
          <t>SIM</t>
        </is>
      </c>
      <c r="P286" t="inlineStr">
        <is>
          <t>SIM — dominio .it e conteudo em italiano</t>
        </is>
      </c>
      <c r="Q286" t="inlineStr">
        <is>
          <t>Certis Belchim &amp;#8211; Growing Together</t>
        </is>
      </c>
      <c r="R286" t="inlineStr">
        <is>
          <t>sonda HTTP read-only (GET limitado, payload nao preservado)</t>
        </is>
      </c>
      <c r="S286" t="inlineStr">
        <is>
          <t>2026-09-14T11:25:05Z</t>
        </is>
      </c>
      <c r="T286" t="inlineStr">
        <is>
          <t>PASS</t>
        </is>
      </c>
      <c r="U286" t="inlineStr"/>
      <c r="V286" t="inlineStr">
        <is>
          <t>T9;T10</t>
        </is>
      </c>
      <c r="W286" t="inlineStr">
        <is>
          <t>NAZIONALE</t>
        </is>
      </c>
      <c r="X286" t="inlineStr"/>
      <c r="Y286" t="inlineStr">
        <is>
          <t>agrofarmaci;concorrente</t>
        </is>
      </c>
      <c r="Z286" t="inlineStr">
        <is>
          <t>titulo da pagina: Certis Belchim &amp;#8211; Growing Together</t>
        </is>
      </c>
      <c r="AA286" t="inlineStr">
        <is>
          <t>meta description: &amp;quot;Lavorando assieme ti consentiamo di sviluppare un&amp;#039;agricoltu</t>
        </is>
      </c>
      <c r="AB286" t="inlineStr">
        <is>
          <t>nao sorteada</t>
        </is>
      </c>
      <c r="AC286" t="inlineStr">
        <is>
          <t>nao sorteada</t>
        </is>
      </c>
      <c r="AE286" t="inlineStr"/>
      <c r="AF286" t="inlineStr"/>
    </row>
    <row r="287">
      <c r="A287" t="inlineStr">
        <is>
          <t>IT-DISC-2026-09-14-0286</t>
        </is>
      </c>
      <c r="B287" t="inlineStr">
        <is>
          <t>Coldiretti</t>
        </is>
      </c>
      <c r="C287" t="inlineStr">
        <is>
          <t>ORGANIZACAO</t>
        </is>
      </c>
      <c r="D287" t="inlineStr">
        <is>
          <t>ORG</t>
        </is>
      </c>
      <c r="E287" t="inlineStr">
        <is>
          <t>Coldiretti</t>
        </is>
      </c>
      <c r="F287" t="inlineStr">
        <is>
          <t>https://www.coldiretti.it/</t>
        </is>
      </c>
      <c r="G287" t="inlineStr">
        <is>
          <t>https://www.coldiretti.it/</t>
        </is>
      </c>
      <c r="H287" t="inlineStr">
        <is>
          <t>https://www.coldiretti.it/</t>
        </is>
      </c>
      <c r="I287" t="n">
        <v>200</v>
      </c>
      <c r="J287" t="inlineStr">
        <is>
          <t>text/html</t>
        </is>
      </c>
      <c r="K287" t="n">
        <v>0</v>
      </c>
      <c r="L287" t="b">
        <v>1</v>
      </c>
      <c r="M287" t="b">
        <v>1</v>
      </c>
      <c r="N287" t="inlineStr">
        <is>
          <t>PROVED_DIRECT</t>
        </is>
      </c>
      <c r="O287" t="inlineStr">
        <is>
          <t>SIM</t>
        </is>
      </c>
      <c r="P287" t="inlineStr">
        <is>
          <t>SIM — dominio .it e conteudo em italiano</t>
        </is>
      </c>
      <c r="Q287" t="inlineStr">
        <is>
          <t>Coldiretti</t>
        </is>
      </c>
      <c r="R287" t="inlineStr">
        <is>
          <t>sonda HTTP read-only (GET limitado, payload nao preservado)</t>
        </is>
      </c>
      <c r="S287" t="inlineStr">
        <is>
          <t>2026-09-14T11:04:35Z</t>
        </is>
      </c>
      <c r="T287" t="inlineStr">
        <is>
          <t>PASS</t>
        </is>
      </c>
      <c r="U287" t="inlineStr"/>
      <c r="V287" t="inlineStr">
        <is>
          <t>T12;T7;T10</t>
        </is>
      </c>
      <c r="W287" t="inlineStr">
        <is>
          <t>NAZIONALE</t>
        </is>
      </c>
      <c r="X287" t="inlineStr"/>
      <c r="Y287" t="inlineStr">
        <is>
          <t>organizzazione agricola;policy</t>
        </is>
      </c>
      <c r="Z287" t="inlineStr">
        <is>
          <t>titulo da pagina: Coldiretti</t>
        </is>
      </c>
      <c r="AA287" t="inlineStr">
        <is>
          <t>meta description: Sito &amp;#8211; Coldiretti</t>
        </is>
      </c>
      <c r="AB287" t="inlineStr">
        <is>
          <t>nao sorteada</t>
        </is>
      </c>
      <c r="AC287" t="inlineStr">
        <is>
          <t>nao sorteada</t>
        </is>
      </c>
      <c r="AE287" t="inlineStr"/>
      <c r="AF287" t="inlineStr"/>
    </row>
    <row r="288">
      <c r="A288" t="inlineStr">
        <is>
          <t>IT-DISC-2026-09-14-0287</t>
        </is>
      </c>
      <c r="B288" t="inlineStr">
        <is>
          <t>Confagricoltura</t>
        </is>
      </c>
      <c r="C288" t="inlineStr">
        <is>
          <t>ORGANIZACAO</t>
        </is>
      </c>
      <c r="D288" t="inlineStr">
        <is>
          <t>ORG</t>
        </is>
      </c>
      <c r="E288" t="inlineStr">
        <is>
          <t>Confagricoltura</t>
        </is>
      </c>
      <c r="F288" t="inlineStr">
        <is>
          <t>https://www.confagricoltura.it/</t>
        </is>
      </c>
      <c r="G288" t="inlineStr">
        <is>
          <t>https://www.confagricoltura.it/</t>
        </is>
      </c>
      <c r="H288" t="inlineStr">
        <is>
          <t>https://www.confagricoltura.it/ita/</t>
        </is>
      </c>
      <c r="I288" t="n">
        <v>200</v>
      </c>
      <c r="J288" t="inlineStr">
        <is>
          <t>text/html</t>
        </is>
      </c>
      <c r="K288" t="n">
        <v>1</v>
      </c>
      <c r="L288" t="b">
        <v>1</v>
      </c>
      <c r="M288" t="b">
        <v>1</v>
      </c>
      <c r="N288" t="inlineStr">
        <is>
          <t>PROVED_DIRECT</t>
        </is>
      </c>
      <c r="O288" t="inlineStr">
        <is>
          <t>SIM</t>
        </is>
      </c>
      <c r="P288" t="inlineStr">
        <is>
          <t>SIM — dominio .it e conteudo em italiano</t>
        </is>
      </c>
      <c r="Q288" t="inlineStr">
        <is>
          <t>Confagricoltura - Confederazione Generale dell'Agricoltura Italiana</t>
        </is>
      </c>
      <c r="R288" t="inlineStr">
        <is>
          <t>sonda HTTP read-only (GET limitado, payload nao preservado) + cadeia TLS completada por AIA</t>
        </is>
      </c>
      <c r="S288" t="inlineStr">
        <is>
          <t>2026-09-14T11:04:35Z</t>
        </is>
      </c>
      <c r="T288" t="inlineStr">
        <is>
          <t>PASS</t>
        </is>
      </c>
      <c r="U288" t="inlineStr"/>
      <c r="V288" t="inlineStr">
        <is>
          <t>T12;T7;T10</t>
        </is>
      </c>
      <c r="W288" t="inlineStr">
        <is>
          <t>NAZIONALE</t>
        </is>
      </c>
      <c r="X288" t="inlineStr"/>
      <c r="Y288" t="inlineStr">
        <is>
          <t>organizzazione agricola;policy</t>
        </is>
      </c>
      <c r="Z288" t="inlineStr">
        <is>
          <t>titulo da pagina: Confagricoltura - Confederazione Generale dell'Agricoltura Italiana</t>
        </is>
      </c>
      <c r="AA288" t="inlineStr">
        <is>
          <t>meta description: Organizzazione agricola italiana, rappresenta e tutela le imprese asso</t>
        </is>
      </c>
      <c r="AB288" t="inlineStr">
        <is>
          <t>nao sorteada</t>
        </is>
      </c>
      <c r="AC288" t="inlineStr">
        <is>
          <t>SIM</t>
        </is>
      </c>
      <c r="AE288" t="inlineStr">
        <is>
          <t>VIA_CURL_TLS_FALLBACK</t>
        </is>
      </c>
      <c r="AF288" t="inlineStr"/>
    </row>
    <row r="289">
      <c r="A289" t="inlineStr">
        <is>
          <t>IT-DISC-2026-09-14-0288</t>
        </is>
      </c>
      <c r="B289" t="inlineStr">
        <is>
          <t>Confcooperative Fedagripesca</t>
        </is>
      </c>
      <c r="C289" t="inlineStr">
        <is>
          <t>ORGANIZACAO</t>
        </is>
      </c>
      <c r="D289" t="inlineStr">
        <is>
          <t>ORG</t>
        </is>
      </c>
      <c r="E289" t="inlineStr">
        <is>
          <t>Confcooperative</t>
        </is>
      </c>
      <c r="F289" t="inlineStr">
        <is>
          <t>https://www.fedagripesca.confcooperative.it/</t>
        </is>
      </c>
      <c r="G289" t="inlineStr">
        <is>
          <t>https://www.fedagripesca.confcooperative.it/</t>
        </is>
      </c>
      <c r="H289" t="inlineStr">
        <is>
          <t>https://www.agroalimentarepesca.confcooperative.it:443/</t>
        </is>
      </c>
      <c r="I289" t="n">
        <v>200</v>
      </c>
      <c r="J289" t="inlineStr">
        <is>
          <t>text/html</t>
        </is>
      </c>
      <c r="K289" t="n">
        <v>2</v>
      </c>
      <c r="L289" t="b">
        <v>1</v>
      </c>
      <c r="M289" t="b">
        <v>1</v>
      </c>
      <c r="N289" t="inlineStr">
        <is>
          <t>PROVED_DIRECT</t>
        </is>
      </c>
      <c r="O289" t="inlineStr">
        <is>
          <t>SIM</t>
        </is>
      </c>
      <c r="P289" t="inlineStr">
        <is>
          <t>SIM — dominio .it e conteudo em italiano</t>
        </is>
      </c>
      <c r="Q289" t="inlineStr">
        <is>
          <t>Home</t>
        </is>
      </c>
      <c r="R289" t="inlineStr">
        <is>
          <t>sonda HTTP read-only (GET limitado, payload nao preservado)</t>
        </is>
      </c>
      <c r="S289" t="inlineStr">
        <is>
          <t>2026-09-14T11:04:36Z</t>
        </is>
      </c>
      <c r="T289" t="inlineStr">
        <is>
          <t>PASS</t>
        </is>
      </c>
      <c r="U289" t="inlineStr"/>
      <c r="V289" t="inlineStr">
        <is>
          <t>T10;T7</t>
        </is>
      </c>
      <c r="W289" t="inlineStr">
        <is>
          <t>NAZIONALE</t>
        </is>
      </c>
      <c r="X289" t="inlineStr"/>
      <c r="Y289" t="inlineStr">
        <is>
          <t>cooperative agricole</t>
        </is>
      </c>
      <c r="Z289" t="inlineStr">
        <is>
          <t>titulo da pagina: Home</t>
        </is>
      </c>
      <c r="AA289" t="inlineStr">
        <is>
          <t>dominio institucional do dono</t>
        </is>
      </c>
      <c r="AB289" t="inlineStr">
        <is>
          <t>CONFIRMA</t>
        </is>
      </c>
      <c r="AC289" t="inlineStr">
        <is>
          <t>SIM</t>
        </is>
      </c>
      <c r="AE289" t="inlineStr"/>
      <c r="AF289" t="inlineStr"/>
    </row>
    <row r="290">
      <c r="A290" t="inlineStr">
        <is>
          <t>IT-DISC-2026-09-14-0289</t>
        </is>
      </c>
      <c r="B290" t="inlineStr">
        <is>
          <t>Consorzi Agrari d'Italia — CAI</t>
        </is>
      </c>
      <c r="C290" t="inlineStr">
        <is>
          <t>ORGANIZACAO</t>
        </is>
      </c>
      <c r="D290" t="inlineStr">
        <is>
          <t>ORG</t>
        </is>
      </c>
      <c r="E290" t="inlineStr">
        <is>
          <t>Consorzi Agrari d'Italia</t>
        </is>
      </c>
      <c r="F290" t="inlineStr">
        <is>
          <t>https://www.consorziagrariditalia.it/chi-siamo/</t>
        </is>
      </c>
      <c r="G290" t="inlineStr">
        <is>
          <t>https://www.consorziagrariditalia.it/chi-siamo/</t>
        </is>
      </c>
      <c r="H290" t="inlineStr">
        <is>
          <t>https://www.consorziagrariditalia.it/chi-siamo/</t>
        </is>
      </c>
      <c r="I290" t="n">
        <v>200</v>
      </c>
      <c r="J290" t="inlineStr">
        <is>
          <t>text/html</t>
        </is>
      </c>
      <c r="K290" t="n">
        <v>0</v>
      </c>
      <c r="L290" t="b">
        <v>1</v>
      </c>
      <c r="M290" t="b">
        <v>1</v>
      </c>
      <c r="N290" t="inlineStr">
        <is>
          <t>PROVED_DIRECT</t>
        </is>
      </c>
      <c r="O290" t="inlineStr">
        <is>
          <t>SIM</t>
        </is>
      </c>
      <c r="P290" t="inlineStr">
        <is>
          <t>SIM — dominio .it e conteudo em italiano</t>
        </is>
      </c>
      <c r="Q290" t="inlineStr">
        <is>
          <t>CAI</t>
        </is>
      </c>
      <c r="R290" t="inlineStr">
        <is>
          <t>sonda HTTP read-only (GET limitado, payload nao preservado)</t>
        </is>
      </c>
      <c r="S290" t="inlineStr">
        <is>
          <t>2026-09-14T11:25:13Z</t>
        </is>
      </c>
      <c r="T290" t="inlineStr">
        <is>
          <t>PASS</t>
        </is>
      </c>
      <c r="U290" t="inlineStr"/>
      <c r="V290" t="inlineStr">
        <is>
          <t>T7;T10</t>
        </is>
      </c>
      <c r="W290" t="inlineStr">
        <is>
          <t>NAZIONALE</t>
        </is>
      </c>
      <c r="X290" t="inlineStr"/>
      <c r="Y290" t="inlineStr">
        <is>
          <t>consorzio agrario;distribuzione</t>
        </is>
      </c>
      <c r="Z290" t="inlineStr">
        <is>
          <t>titulo da pagina: CAI</t>
        </is>
      </c>
      <c r="AA290" t="inlineStr">
        <is>
          <t>dominio institucional do dono</t>
        </is>
      </c>
      <c r="AB290" t="inlineStr">
        <is>
          <t>nao sorteada</t>
        </is>
      </c>
      <c r="AC290" t="inlineStr">
        <is>
          <t>nao sorteada</t>
        </is>
      </c>
      <c r="AE290" t="inlineStr"/>
      <c r="AF290" t="inlineStr"/>
    </row>
    <row r="291">
      <c r="A291" t="inlineStr">
        <is>
          <t>IT-DISC-2026-09-14-0290</t>
        </is>
      </c>
      <c r="B291" t="inlineStr">
        <is>
          <t>FederBio</t>
        </is>
      </c>
      <c r="C291" t="inlineStr">
        <is>
          <t>ORGANIZACAO</t>
        </is>
      </c>
      <c r="D291" t="inlineStr">
        <is>
          <t>ORG</t>
        </is>
      </c>
      <c r="E291" t="inlineStr">
        <is>
          <t>FederBio</t>
        </is>
      </c>
      <c r="F291" t="inlineStr">
        <is>
          <t>https://feder.bio/</t>
        </is>
      </c>
      <c r="G291" t="inlineStr">
        <is>
          <t>https://feder.bio/</t>
        </is>
      </c>
      <c r="H291" t="inlineStr">
        <is>
          <t>https://feder.bio/</t>
        </is>
      </c>
      <c r="I291" t="n">
        <v>200</v>
      </c>
      <c r="J291" t="inlineStr">
        <is>
          <t>text/html</t>
        </is>
      </c>
      <c r="K291" t="n">
        <v>0</v>
      </c>
      <c r="L291" t="b">
        <v>1</v>
      </c>
      <c r="M291" t="b">
        <v>1</v>
      </c>
      <c r="N291" t="inlineStr">
        <is>
          <t>PROVED_DIRECT</t>
        </is>
      </c>
      <c r="O291" t="inlineStr">
        <is>
          <t>SIM</t>
        </is>
      </c>
      <c r="P291" t="inlineStr">
        <is>
          <t>SIM — dono italiano identificado na pagina</t>
        </is>
      </c>
      <c r="Q291" t="inlineStr">
        <is>
          <t>FederBio. Il biologico italiano in movimento</t>
        </is>
      </c>
      <c r="R291" t="inlineStr">
        <is>
          <t>sonda HTTP read-only (GET limitado, payload nao preservado)</t>
        </is>
      </c>
      <c r="S291" t="inlineStr">
        <is>
          <t>2026-09-14T11:25:17Z</t>
        </is>
      </c>
      <c r="T291" t="inlineStr">
        <is>
          <t>PASS</t>
        </is>
      </c>
      <c r="U291" t="inlineStr"/>
      <c r="V291" t="inlineStr">
        <is>
          <t>T12;T1</t>
        </is>
      </c>
      <c r="W291" t="inlineStr">
        <is>
          <t>NAZIONALE</t>
        </is>
      </c>
      <c r="X291" t="inlineStr"/>
      <c r="Y291" t="inlineStr">
        <is>
          <t>agricoltura biologica;certificazione</t>
        </is>
      </c>
      <c r="Z291" t="inlineStr">
        <is>
          <t>titulo da pagina: FederBio. Il biologico italiano in movimento</t>
        </is>
      </c>
      <c r="AA291" t="inlineStr">
        <is>
          <t>meta description: FederBio è il riferimento per il mondo del biologico in Italia e l&amp;#03</t>
        </is>
      </c>
      <c r="AB291" t="inlineStr">
        <is>
          <t>nao sorteada</t>
        </is>
      </c>
      <c r="AC291" t="inlineStr">
        <is>
          <t>nao sorteada</t>
        </is>
      </c>
      <c r="AE291" t="inlineStr"/>
      <c r="AF291" t="inlineStr"/>
    </row>
    <row r="292">
      <c r="A292" t="inlineStr">
        <is>
          <t>IT-DISC-2026-09-14-0291</t>
        </is>
      </c>
      <c r="B292" t="inlineStr">
        <is>
          <t>FederUnacoma — Federazione Nazionale Costruttori Macchine per l'Agricoltura</t>
        </is>
      </c>
      <c r="C292" t="inlineStr">
        <is>
          <t>ORGANIZACAO</t>
        </is>
      </c>
      <c r="D292" t="inlineStr">
        <is>
          <t>ORG</t>
        </is>
      </c>
      <c r="E292" t="inlineStr">
        <is>
          <t>FederUnacoma</t>
        </is>
      </c>
      <c r="F292" t="inlineStr">
        <is>
          <t>https://www.federunacoma.it/</t>
        </is>
      </c>
      <c r="G292" t="inlineStr">
        <is>
          <t>https://www.federunacoma.it/</t>
        </is>
      </c>
      <c r="H292" t="inlineStr">
        <is>
          <t>https://www.federunacoma.it/it/index.php</t>
        </is>
      </c>
      <c r="I292" t="n">
        <v>200</v>
      </c>
      <c r="J292" t="inlineStr">
        <is>
          <t>text/html</t>
        </is>
      </c>
      <c r="K292" t="n">
        <v>1</v>
      </c>
      <c r="L292" t="b">
        <v>1</v>
      </c>
      <c r="M292" t="b">
        <v>1</v>
      </c>
      <c r="N292" t="inlineStr">
        <is>
          <t>PROVED_DIRECT</t>
        </is>
      </c>
      <c r="O292" t="inlineStr">
        <is>
          <t>SIM</t>
        </is>
      </c>
      <c r="P292" t="inlineStr">
        <is>
          <t>SIM — dominio .it e conteudo em italiano</t>
        </is>
      </c>
      <c r="Q292" t="inlineStr">
        <is>
          <t>FederUnacoma - Federazione Nazionale Costruttori Macchine Agricole</t>
        </is>
      </c>
      <c r="R292" t="inlineStr">
        <is>
          <t>sonda HTTP read-only (GET limitado, payload nao preservado)</t>
        </is>
      </c>
      <c r="S292" t="inlineStr">
        <is>
          <t>2026-09-14T11:25:04Z</t>
        </is>
      </c>
      <c r="T292" t="inlineStr">
        <is>
          <t>PASS</t>
        </is>
      </c>
      <c r="U292" t="inlineStr"/>
      <c r="V292" t="inlineStr">
        <is>
          <t>T10;T11</t>
        </is>
      </c>
      <c r="W292" t="inlineStr">
        <is>
          <t>NAZIONALE</t>
        </is>
      </c>
      <c r="X292" t="inlineStr"/>
      <c r="Y292" t="inlineStr">
        <is>
          <t>meccanizzazione;mercato macchine</t>
        </is>
      </c>
      <c r="Z292" t="inlineStr">
        <is>
          <t>titulo da pagina: FederUnacoma - Federazione Nazionale Costruttori Macchine Agricole</t>
        </is>
      </c>
      <c r="AA292" t="inlineStr">
        <is>
          <t>meta description: Array</t>
        </is>
      </c>
      <c r="AB292" t="inlineStr">
        <is>
          <t>nao sorteada</t>
        </is>
      </c>
      <c r="AC292" t="inlineStr">
        <is>
          <t>nao sorteada</t>
        </is>
      </c>
      <c r="AE292" t="inlineStr"/>
      <c r="AF292" t="inlineStr"/>
    </row>
    <row r="293">
      <c r="A293" t="inlineStr">
        <is>
          <t>IT-DISC-2026-09-14-0292</t>
        </is>
      </c>
      <c r="B293" t="inlineStr">
        <is>
          <t>Italia Olivicola</t>
        </is>
      </c>
      <c r="C293" t="inlineStr">
        <is>
          <t>ORGANIZACAO</t>
        </is>
      </c>
      <c r="D293" t="inlineStr">
        <is>
          <t>ORG</t>
        </is>
      </c>
      <c r="E293" t="inlineStr">
        <is>
          <t>Italia Olivicola Consorzio Nazionale</t>
        </is>
      </c>
      <c r="F293" t="inlineStr">
        <is>
          <t>https://www.italiaolivicola.it/</t>
        </is>
      </c>
      <c r="G293" t="inlineStr">
        <is>
          <t>https://www.italiaolivicola.it/</t>
        </is>
      </c>
      <c r="H293" t="inlineStr">
        <is>
          <t>https://www.italiaolivicola.it/</t>
        </is>
      </c>
      <c r="I293" t="n">
        <v>200</v>
      </c>
      <c r="J293" t="inlineStr">
        <is>
          <t>text/html</t>
        </is>
      </c>
      <c r="K293" t="n">
        <v>0</v>
      </c>
      <c r="L293" t="b">
        <v>1</v>
      </c>
      <c r="M293" t="b">
        <v>1</v>
      </c>
      <c r="N293" t="inlineStr">
        <is>
          <t>PROVED_DIRECT</t>
        </is>
      </c>
      <c r="O293" t="inlineStr">
        <is>
          <t>SIM</t>
        </is>
      </c>
      <c r="P293" t="inlineStr">
        <is>
          <t>SIM — dominio .it e conteudo em italiano</t>
        </is>
      </c>
      <c r="Q293" t="inlineStr">
        <is>
          <t>Italia Olivicola &amp;#8211; Consorzio Nazionale degli Olivicoltori</t>
        </is>
      </c>
      <c r="R293" t="inlineStr">
        <is>
          <t>sonda HTTP read-only (GET limitado, payload nao preservado)</t>
        </is>
      </c>
      <c r="S293" t="inlineStr">
        <is>
          <t>2026-09-14T11:25:19Z</t>
        </is>
      </c>
      <c r="T293" t="inlineStr">
        <is>
          <t>PASS</t>
        </is>
      </c>
      <c r="U293" t="inlineStr"/>
      <c r="V293" t="inlineStr">
        <is>
          <t>T1;T10</t>
        </is>
      </c>
      <c r="W293" t="inlineStr">
        <is>
          <t>NAZIONALE</t>
        </is>
      </c>
      <c r="X293" t="inlineStr"/>
      <c r="Y293" t="inlineStr">
        <is>
          <t>olivicoltura;OP</t>
        </is>
      </c>
      <c r="Z293" t="inlineStr">
        <is>
          <t>titulo da pagina: Italia Olivicola &amp;#8211; Consorzio Nazionale degli Olivicoltori</t>
        </is>
      </c>
      <c r="AA293" t="inlineStr">
        <is>
          <t>meta description: Consorzio Nazionale degli Olivicoltori</t>
        </is>
      </c>
      <c r="AB293" t="inlineStr">
        <is>
          <t>nao sorteada</t>
        </is>
      </c>
      <c r="AC293" t="inlineStr">
        <is>
          <t>nao sorteada</t>
        </is>
      </c>
      <c r="AE293" t="inlineStr"/>
      <c r="AF293" t="inlineStr"/>
    </row>
    <row r="294">
      <c r="A294" t="inlineStr">
        <is>
          <t>IT-DISC-2026-09-14-0293</t>
        </is>
      </c>
      <c r="B294" t="inlineStr">
        <is>
          <t>Italmopa — Associazione Industriali Mugnai d'Italia</t>
        </is>
      </c>
      <c r="C294" t="inlineStr">
        <is>
          <t>ORGANIZACAO</t>
        </is>
      </c>
      <c r="D294" t="inlineStr">
        <is>
          <t>ORG</t>
        </is>
      </c>
      <c r="E294" t="inlineStr">
        <is>
          <t>Italmopa</t>
        </is>
      </c>
      <c r="F294" t="inlineStr">
        <is>
          <t>https://www.italmopa.com/</t>
        </is>
      </c>
      <c r="G294" t="inlineStr">
        <is>
          <t>https://www.italmopa.com/</t>
        </is>
      </c>
      <c r="H294" t="inlineStr">
        <is>
          <t>https://italmopa.com/</t>
        </is>
      </c>
      <c r="I294" t="n">
        <v>200</v>
      </c>
      <c r="J294" t="inlineStr">
        <is>
          <t>text/html</t>
        </is>
      </c>
      <c r="K294" t="n">
        <v>1</v>
      </c>
      <c r="L294" t="b">
        <v>1</v>
      </c>
      <c r="M294" t="b">
        <v>1</v>
      </c>
      <c r="N294" t="inlineStr">
        <is>
          <t>PROVED_DIRECT</t>
        </is>
      </c>
      <c r="O294" t="inlineStr">
        <is>
          <t>SIM</t>
        </is>
      </c>
      <c r="P294" t="inlineStr">
        <is>
          <t>SIM — dono italiano identificado na pagina</t>
        </is>
      </c>
      <c r="Q294" t="inlineStr">
        <is>
          <t>Italmopa - Associazione Mugnai Industriali d&amp;#039;Italia</t>
        </is>
      </c>
      <c r="R294" t="inlineStr">
        <is>
          <t>sonda HTTP read-only (GET limitado, payload nao preservado)</t>
        </is>
      </c>
      <c r="S294" t="inlineStr">
        <is>
          <t>2026-09-14T11:04:39Z</t>
        </is>
      </c>
      <c r="T294" t="inlineStr">
        <is>
          <t>PASS</t>
        </is>
      </c>
      <c r="U294" t="inlineStr"/>
      <c r="V294" t="inlineStr">
        <is>
          <t>T10;T1</t>
        </is>
      </c>
      <c r="W294" t="inlineStr">
        <is>
          <t>NAZIONALE</t>
        </is>
      </c>
      <c r="X294" t="inlineStr">
        <is>
          <t>grano</t>
        </is>
      </c>
      <c r="Y294" t="inlineStr">
        <is>
          <t>grano;molini;mercato</t>
        </is>
      </c>
      <c r="Z294" t="inlineStr">
        <is>
          <t>titulo da pagina: Italmopa - Associazione Mugnai Industriali d&amp;#039;Italia</t>
        </is>
      </c>
      <c r="AA294" t="inlineStr">
        <is>
          <t>meta description: Italmopa è l&amp;#039;Associazione di categoria che rappresenta in Italia,</t>
        </is>
      </c>
      <c r="AB294" t="inlineStr">
        <is>
          <t>nao sorteada</t>
        </is>
      </c>
      <c r="AC294" t="inlineStr">
        <is>
          <t>nao sorteada</t>
        </is>
      </c>
      <c r="AE294" t="inlineStr"/>
      <c r="AF294" t="inlineStr"/>
    </row>
    <row r="295">
      <c r="A295" t="inlineStr">
        <is>
          <t>IT-DISC-2026-09-14-0294</t>
        </is>
      </c>
      <c r="B295" t="inlineStr">
        <is>
          <t>Koppert Italia</t>
        </is>
      </c>
      <c r="C295" t="inlineStr">
        <is>
          <t>ORGANIZACAO</t>
        </is>
      </c>
      <c r="D295" t="inlineStr">
        <is>
          <t>ORG</t>
        </is>
      </c>
      <c r="E295" t="inlineStr">
        <is>
          <t>Koppert Biological Systems</t>
        </is>
      </c>
      <c r="F295" t="inlineStr">
        <is>
          <t>https://www.koppert.it/</t>
        </is>
      </c>
      <c r="G295" t="inlineStr">
        <is>
          <t>https://www.koppert.it/</t>
        </is>
      </c>
      <c r="H295" t="inlineStr">
        <is>
          <t>https://www.koppert.it/</t>
        </is>
      </c>
      <c r="I295" t="n">
        <v>200</v>
      </c>
      <c r="J295" t="inlineStr">
        <is>
          <t>text/html</t>
        </is>
      </c>
      <c r="K295" t="n">
        <v>0</v>
      </c>
      <c r="L295" t="b">
        <v>1</v>
      </c>
      <c r="M295" t="b">
        <v>1</v>
      </c>
      <c r="N295" t="inlineStr">
        <is>
          <t>PROVED_DIRECT</t>
        </is>
      </c>
      <c r="O295" t="inlineStr">
        <is>
          <t>SIM</t>
        </is>
      </c>
      <c r="P295" t="inlineStr">
        <is>
          <t>SIM — dominio .it e conteudo em italiano</t>
        </is>
      </c>
      <c r="Q295" t="inlineStr">
        <is>
          <t xml:space="preserve">Koppert Italia | Protezione biologica delle colture | Impollinazione | Oltre 50 </t>
        </is>
      </c>
      <c r="R295" t="inlineStr">
        <is>
          <t>sonda HTTP read-only (GET limitado, payload nao preservado)</t>
        </is>
      </c>
      <c r="S295" t="inlineStr">
        <is>
          <t>2026-09-14T11:25:06Z</t>
        </is>
      </c>
      <c r="T295" t="inlineStr">
        <is>
          <t>PASS</t>
        </is>
      </c>
      <c r="U295" t="inlineStr"/>
      <c r="V295" t="inlineStr">
        <is>
          <t>T9;T3</t>
        </is>
      </c>
      <c r="W295" t="inlineStr">
        <is>
          <t>NAZIONALE</t>
        </is>
      </c>
      <c r="X295" t="inlineStr"/>
      <c r="Y295" t="inlineStr">
        <is>
          <t>biocontrollo;insetti utili</t>
        </is>
      </c>
      <c r="Z295" t="inlineStr">
        <is>
          <t>titulo da pagina: Koppert Italia | Protezione biologica delle colture | Impollinazione |</t>
        </is>
      </c>
      <c r="AA295" t="inlineStr">
        <is>
          <t>meta description: Siamo specializzati in soluzioni sostenibili per la protezione delle c</t>
        </is>
      </c>
      <c r="AB295" t="inlineStr">
        <is>
          <t>nao sorteada</t>
        </is>
      </c>
      <c r="AC295" t="inlineStr">
        <is>
          <t>nao sorteada</t>
        </is>
      </c>
      <c r="AE295" t="inlineStr"/>
      <c r="AF295" t="inlineStr"/>
    </row>
    <row r="296">
      <c r="A296" t="inlineStr">
        <is>
          <t>IT-DISC-2026-09-14-0295</t>
        </is>
      </c>
      <c r="B296" t="inlineStr">
        <is>
          <t>Legacoop Agroalimentare</t>
        </is>
      </c>
      <c r="C296" t="inlineStr">
        <is>
          <t>ORGANIZACAO</t>
        </is>
      </c>
      <c r="D296" t="inlineStr">
        <is>
          <t>ORG</t>
        </is>
      </c>
      <c r="E296" t="inlineStr">
        <is>
          <t>Legacoop</t>
        </is>
      </c>
      <c r="F296" t="inlineStr">
        <is>
          <t>https://www.legacoopagroalimentare.coop/</t>
        </is>
      </c>
      <c r="G296" t="inlineStr">
        <is>
          <t>https://www.legacoopagroalimentare.coop/</t>
        </is>
      </c>
      <c r="H296" t="inlineStr">
        <is>
          <t>http://www.legacoopagroalimentare.coop/index.html</t>
        </is>
      </c>
      <c r="I296" t="n">
        <v>200</v>
      </c>
      <c r="J296" t="inlineStr">
        <is>
          <t>text/html</t>
        </is>
      </c>
      <c r="K296" t="n">
        <v>1</v>
      </c>
      <c r="L296" t="b">
        <v>1</v>
      </c>
      <c r="M296" t="b">
        <v>1</v>
      </c>
      <c r="N296" t="inlineStr">
        <is>
          <t>PROVED_DIRECT</t>
        </is>
      </c>
      <c r="O296" t="inlineStr">
        <is>
          <t>SIM</t>
        </is>
      </c>
      <c r="P296" t="inlineStr">
        <is>
          <t>SIM — dono italiano identificado na pagina</t>
        </is>
      </c>
      <c r="Q296" t="inlineStr">
        <is>
          <t>Legacoop Agroalimentare</t>
        </is>
      </c>
      <c r="R296" t="inlineStr">
        <is>
          <t>sonda HTTP read-only (GET limitado, payload nao preservado)</t>
        </is>
      </c>
      <c r="S296" t="inlineStr">
        <is>
          <t>2026-09-14T11:04:36Z</t>
        </is>
      </c>
      <c r="T296" t="inlineStr">
        <is>
          <t>PASS</t>
        </is>
      </c>
      <c r="U296" t="inlineStr"/>
      <c r="V296" t="inlineStr">
        <is>
          <t>T10;T7</t>
        </is>
      </c>
      <c r="W296" t="inlineStr">
        <is>
          <t>NAZIONALE</t>
        </is>
      </c>
      <c r="X296" t="inlineStr"/>
      <c r="Y296" t="inlineStr">
        <is>
          <t>cooperative agroalimentari</t>
        </is>
      </c>
      <c r="Z296" t="inlineStr">
        <is>
          <t>titulo da pagina: Legacoop Agroalimentare</t>
        </is>
      </c>
      <c r="AA296" t="inlineStr">
        <is>
          <t>meta description: Legacoop Agroalimentare</t>
        </is>
      </c>
      <c r="AB296" t="inlineStr">
        <is>
          <t>nao sorteada</t>
        </is>
      </c>
      <c r="AC296" t="inlineStr">
        <is>
          <t>nao sorteada</t>
        </is>
      </c>
      <c r="AE296" t="inlineStr"/>
      <c r="AF296" t="inlineStr"/>
    </row>
    <row r="297">
      <c r="A297" t="inlineStr">
        <is>
          <t>IT-DISC-2026-09-14-0296</t>
        </is>
      </c>
      <c r="B297" t="inlineStr">
        <is>
          <t>SIA — Societa Italiana di Agronomia</t>
        </is>
      </c>
      <c r="C297" t="inlineStr">
        <is>
          <t>ORGANIZACAO</t>
        </is>
      </c>
      <c r="D297" t="inlineStr">
        <is>
          <t>ORG</t>
        </is>
      </c>
      <c r="E297" t="inlineStr">
        <is>
          <t>Societa Italiana di Agronomia</t>
        </is>
      </c>
      <c r="F297" t="inlineStr">
        <is>
          <t>https://www.siagr.it/</t>
        </is>
      </c>
      <c r="G297" t="inlineStr">
        <is>
          <t>https://www.siagr.it/</t>
        </is>
      </c>
      <c r="H297" t="inlineStr">
        <is>
          <t>https://siagr.it/</t>
        </is>
      </c>
      <c r="I297" t="n">
        <v>200</v>
      </c>
      <c r="J297" t="inlineStr">
        <is>
          <t>text/html</t>
        </is>
      </c>
      <c r="K297" t="n">
        <v>1</v>
      </c>
      <c r="L297" t="b">
        <v>1</v>
      </c>
      <c r="M297" t="b">
        <v>1</v>
      </c>
      <c r="N297" t="inlineStr">
        <is>
          <t>PROVED_BY_DOMAIN</t>
        </is>
      </c>
      <c r="O297" t="inlineStr">
        <is>
          <t>SIM</t>
        </is>
      </c>
      <c r="P297" t="inlineStr">
        <is>
          <t>SIM — dominio .it e conteudo em italiano</t>
        </is>
      </c>
      <c r="Q297" t="inlineStr">
        <is>
          <t>siagr</t>
        </is>
      </c>
      <c r="R297" t="inlineStr">
        <is>
          <t>sonda HTTP read-only (GET limitado, payload nao preservado)</t>
        </is>
      </c>
      <c r="S297" t="inlineStr">
        <is>
          <t>2026-09-14T11:04:34Z</t>
        </is>
      </c>
      <c r="T297" t="inlineStr">
        <is>
          <t>PASS</t>
        </is>
      </c>
      <c r="U297" t="inlineStr"/>
      <c r="V297" t="inlineStr">
        <is>
          <t>T1;T5</t>
        </is>
      </c>
      <c r="W297" t="inlineStr">
        <is>
          <t>NAZIONALE</t>
        </is>
      </c>
      <c r="X297" t="inlineStr"/>
      <c r="Y297" t="inlineStr">
        <is>
          <t>agronomia;congresso</t>
        </is>
      </c>
      <c r="Z297" t="inlineStr">
        <is>
          <t>titulo da pagina: siagr</t>
        </is>
      </c>
      <c r="AA297" t="inlineStr">
        <is>
          <t>dominio institucional do dono</t>
        </is>
      </c>
      <c r="AB297" t="inlineStr">
        <is>
          <t>nao sorteada</t>
        </is>
      </c>
      <c r="AC297" t="inlineStr">
        <is>
          <t>nao sorteada</t>
        </is>
      </c>
      <c r="AE297" t="inlineStr"/>
      <c r="AF297" t="inlineStr"/>
    </row>
    <row r="298">
      <c r="A298" t="inlineStr">
        <is>
          <t>IT-DISC-2026-09-14-0297</t>
        </is>
      </c>
      <c r="B298" t="inlineStr">
        <is>
          <t>SIMEI — Salone Internazionale Macchine per Enologia e Imbottigliamento</t>
        </is>
      </c>
      <c r="C298" t="inlineStr">
        <is>
          <t>ORGANIZACAO</t>
        </is>
      </c>
      <c r="D298" t="inlineStr">
        <is>
          <t>ORG</t>
        </is>
      </c>
      <c r="E298" t="inlineStr">
        <is>
          <t>Unione Italiana Vini</t>
        </is>
      </c>
      <c r="F298" t="inlineStr">
        <is>
          <t>https://www.simei.it/</t>
        </is>
      </c>
      <c r="G298" t="inlineStr">
        <is>
          <t>https://www.simei.it/</t>
        </is>
      </c>
      <c r="H298" t="inlineStr">
        <is>
          <t>https://www.simei.it/</t>
        </is>
      </c>
      <c r="I298" t="n">
        <v>200</v>
      </c>
      <c r="J298" t="inlineStr">
        <is>
          <t>text/html</t>
        </is>
      </c>
      <c r="K298" t="n">
        <v>0</v>
      </c>
      <c r="L298" t="b">
        <v>1</v>
      </c>
      <c r="M298" t="b">
        <v>1</v>
      </c>
      <c r="N298" t="inlineStr">
        <is>
          <t>PROVED_DIRECT</t>
        </is>
      </c>
      <c r="O298" t="inlineStr">
        <is>
          <t>SIM</t>
        </is>
      </c>
      <c r="P298" t="inlineStr">
        <is>
          <t>SIM — dominio .it e conteudo em italiano</t>
        </is>
      </c>
      <c r="Q298" t="inlineStr">
        <is>
          <t>SIMEI - Salone Internazionale Macchine per Enologia e Imbottigliamento</t>
        </is>
      </c>
      <c r="R298" t="inlineStr">
        <is>
          <t>sonda HTTP read-only (GET limitado, payload nao preservado)</t>
        </is>
      </c>
      <c r="S298" t="inlineStr">
        <is>
          <t>2026-09-14T11:25:03Z</t>
        </is>
      </c>
      <c r="T298" t="inlineStr">
        <is>
          <t>PASS</t>
        </is>
      </c>
      <c r="U298" t="inlineStr"/>
      <c r="V298" t="inlineStr">
        <is>
          <t>T11;T10</t>
        </is>
      </c>
      <c r="W298" t="inlineStr">
        <is>
          <t>NAZIONALE</t>
        </is>
      </c>
      <c r="X298" t="inlineStr"/>
      <c r="Y298" t="inlineStr">
        <is>
          <t>fiera enologia</t>
        </is>
      </c>
      <c r="Z298" t="inlineStr">
        <is>
          <t>titulo da pagina: SIMEI - Salone Internazionale Macchine per Enologia e Imbottigliamento</t>
        </is>
      </c>
      <c r="AA298" t="inlineStr">
        <is>
          <t>meta description: SIMEI &amp;#232; la pi&amp;#249; grande esposizione mondiale dove &amp;#232; possi</t>
        </is>
      </c>
      <c r="AB298" t="inlineStr">
        <is>
          <t>nao sorteada</t>
        </is>
      </c>
      <c r="AC298" t="inlineStr">
        <is>
          <t>nao sorteada</t>
        </is>
      </c>
      <c r="AE298" t="inlineStr"/>
      <c r="AF298" t="inlineStr"/>
    </row>
    <row r="299">
      <c r="A299" t="inlineStr">
        <is>
          <t>IT-DISC-2026-09-14-0298</t>
        </is>
      </c>
      <c r="B299" t="inlineStr">
        <is>
          <t>SIPaV — Societa Italiana di Patologia Vegetale</t>
        </is>
      </c>
      <c r="C299" t="inlineStr">
        <is>
          <t>ORGANIZACAO</t>
        </is>
      </c>
      <c r="D299" t="inlineStr">
        <is>
          <t>ORG</t>
        </is>
      </c>
      <c r="E299" t="inlineStr">
        <is>
          <t>SIPaV</t>
        </is>
      </c>
      <c r="F299" t="inlineStr">
        <is>
          <t>https://www.sipav.org/</t>
        </is>
      </c>
      <c r="G299" t="inlineStr">
        <is>
          <t>https://www.sipav.org/</t>
        </is>
      </c>
      <c r="H299" t="inlineStr">
        <is>
          <t>https://www.sipav.org/</t>
        </is>
      </c>
      <c r="I299" t="n">
        <v>200</v>
      </c>
      <c r="J299" t="inlineStr">
        <is>
          <t>text/html</t>
        </is>
      </c>
      <c r="K299" t="n">
        <v>0</v>
      </c>
      <c r="L299" t="b">
        <v>1</v>
      </c>
      <c r="M299" t="b">
        <v>1</v>
      </c>
      <c r="N299" t="inlineStr">
        <is>
          <t>PROVED_DIRECT</t>
        </is>
      </c>
      <c r="O299" t="inlineStr">
        <is>
          <t>SIM</t>
        </is>
      </c>
      <c r="P299" t="inlineStr">
        <is>
          <t>SIM — dono italiano identificado na pagina</t>
        </is>
      </c>
      <c r="Q299" t="inlineStr">
        <is>
          <t>SIPaV</t>
        </is>
      </c>
      <c r="R299" t="inlineStr">
        <is>
          <t>sonda HTTP read-only (GET limitado, payload nao preservado)</t>
        </is>
      </c>
      <c r="S299" t="inlineStr">
        <is>
          <t>2026-09-14T11:04:33Z</t>
        </is>
      </c>
      <c r="T299" t="inlineStr">
        <is>
          <t>PASS</t>
        </is>
      </c>
      <c r="U299" t="inlineStr"/>
      <c r="V299" t="inlineStr">
        <is>
          <t>T3;T5;T6</t>
        </is>
      </c>
      <c r="W299" t="inlineStr">
        <is>
          <t>NAZIONALE</t>
        </is>
      </c>
      <c r="X299" t="inlineStr"/>
      <c r="Y299" t="inlineStr">
        <is>
          <t>patologia vegetale;congresso</t>
        </is>
      </c>
      <c r="Z299" t="inlineStr">
        <is>
          <t>titulo da pagina: SIPaV</t>
        </is>
      </c>
      <c r="AA299" t="inlineStr">
        <is>
          <t>meta description: SIPaV</t>
        </is>
      </c>
      <c r="AB299" t="inlineStr">
        <is>
          <t>nao sorteada</t>
        </is>
      </c>
      <c r="AC299" t="inlineStr">
        <is>
          <t>nao sorteada</t>
        </is>
      </c>
      <c r="AE299" t="inlineStr"/>
      <c r="AF299" t="inlineStr"/>
    </row>
    <row r="300">
      <c r="A300" t="inlineStr">
        <is>
          <t>IT-DISC-2026-09-14-0299</t>
        </is>
      </c>
      <c r="B300" t="inlineStr">
        <is>
          <t>SOI — Societa di Ortoflorofrutticoltura Italiana</t>
        </is>
      </c>
      <c r="C300" t="inlineStr">
        <is>
          <t>ORGANIZACAO</t>
        </is>
      </c>
      <c r="D300" t="inlineStr">
        <is>
          <t>ORG</t>
        </is>
      </c>
      <c r="E300" t="inlineStr">
        <is>
          <t>SOI</t>
        </is>
      </c>
      <c r="F300" t="inlineStr">
        <is>
          <t>https://www.soihs.it/</t>
        </is>
      </c>
      <c r="G300" t="inlineStr">
        <is>
          <t>https://www.soihs.it/</t>
        </is>
      </c>
      <c r="H300" t="inlineStr">
        <is>
          <t>https://www.soihs.it/</t>
        </is>
      </c>
      <c r="I300" t="n">
        <v>200</v>
      </c>
      <c r="J300" t="inlineStr">
        <is>
          <t>text/html</t>
        </is>
      </c>
      <c r="K300" t="n">
        <v>0</v>
      </c>
      <c r="L300" t="b">
        <v>1</v>
      </c>
      <c r="M300" t="b">
        <v>1</v>
      </c>
      <c r="N300" t="inlineStr">
        <is>
          <t>PROVED_DIRECT</t>
        </is>
      </c>
      <c r="O300" t="inlineStr">
        <is>
          <t>SIM</t>
        </is>
      </c>
      <c r="P300" t="inlineStr">
        <is>
          <t>SIM — dominio .it e conteudo em italiano</t>
        </is>
      </c>
      <c r="Q300" t="inlineStr">
        <is>
          <t>SOI</t>
        </is>
      </c>
      <c r="R300" t="inlineStr">
        <is>
          <t>sonda HTTP read-only (GET limitado, payload nao preservado)</t>
        </is>
      </c>
      <c r="S300" t="inlineStr">
        <is>
          <t>2026-09-14T11:04:35Z</t>
        </is>
      </c>
      <c r="T300" t="inlineStr">
        <is>
          <t>PASS</t>
        </is>
      </c>
      <c r="U300" t="inlineStr"/>
      <c r="V300" t="inlineStr">
        <is>
          <t>T1;T5;T11</t>
        </is>
      </c>
      <c r="W300" t="inlineStr">
        <is>
          <t>NAZIONALE</t>
        </is>
      </c>
      <c r="X300" t="inlineStr">
        <is>
          <t>ortofrutta</t>
        </is>
      </c>
      <c r="Y300" t="inlineStr">
        <is>
          <t>ortofrutta;floricoltura;congressi</t>
        </is>
      </c>
      <c r="Z300" t="inlineStr">
        <is>
          <t>titulo da pagina: SOI</t>
        </is>
      </c>
      <c r="AA300" t="inlineStr">
        <is>
          <t>dominio institucional do dono</t>
        </is>
      </c>
      <c r="AB300" t="inlineStr">
        <is>
          <t>nao sorteada</t>
        </is>
      </c>
      <c r="AC300" t="inlineStr">
        <is>
          <t>SIM</t>
        </is>
      </c>
      <c r="AE300" t="inlineStr"/>
      <c r="AF300" t="inlineStr"/>
    </row>
    <row r="301">
      <c r="A301" t="inlineStr">
        <is>
          <t>IT-DISC-2026-09-14-0300</t>
        </is>
      </c>
      <c r="B301" t="inlineStr">
        <is>
          <t>Societa Entomologica Italiana</t>
        </is>
      </c>
      <c r="C301" t="inlineStr">
        <is>
          <t>ORGANIZACAO</t>
        </is>
      </c>
      <c r="D301" t="inlineStr">
        <is>
          <t>ORG</t>
        </is>
      </c>
      <c r="E301" t="inlineStr">
        <is>
          <t>SEI</t>
        </is>
      </c>
      <c r="F301" t="inlineStr">
        <is>
          <t>https://www.societaentomologicaitaliana.it/</t>
        </is>
      </c>
      <c r="G301" t="inlineStr">
        <is>
          <t>https://www.societaentomologicaitaliana.it/</t>
        </is>
      </c>
      <c r="H301" t="inlineStr">
        <is>
          <t>https://www.societaentomologicaitaliana.it/</t>
        </is>
      </c>
      <c r="I301" t="n">
        <v>200</v>
      </c>
      <c r="J301" t="inlineStr">
        <is>
          <t>text/html</t>
        </is>
      </c>
      <c r="K301" t="n">
        <v>0</v>
      </c>
      <c r="L301" t="b">
        <v>1</v>
      </c>
      <c r="M301" t="b">
        <v>1</v>
      </c>
      <c r="N301" t="inlineStr">
        <is>
          <t>PROVED_DIRECT</t>
        </is>
      </c>
      <c r="O301" t="inlineStr">
        <is>
          <t>SIM</t>
        </is>
      </c>
      <c r="P301" t="inlineStr">
        <is>
          <t>SIM — dominio .it e conteudo em italiano</t>
        </is>
      </c>
      <c r="Q301" t="inlineStr">
        <is>
          <t>Società Entomologica Italiana</t>
        </is>
      </c>
      <c r="R301" t="inlineStr">
        <is>
          <t>sonda HTTP read-only (GET limitado, payload nao preservado)</t>
        </is>
      </c>
      <c r="S301" t="inlineStr">
        <is>
          <t>2026-09-14T11:04:35Z</t>
        </is>
      </c>
      <c r="T301" t="inlineStr">
        <is>
          <t>PASS</t>
        </is>
      </c>
      <c r="U301" t="inlineStr"/>
      <c r="V301" t="inlineStr">
        <is>
          <t>T3;T5</t>
        </is>
      </c>
      <c r="W301" t="inlineStr">
        <is>
          <t>NAZIONALE</t>
        </is>
      </c>
      <c r="X301" t="inlineStr"/>
      <c r="Y301" t="inlineStr">
        <is>
          <t>entomologia;insetti</t>
        </is>
      </c>
      <c r="Z301" t="inlineStr">
        <is>
          <t>titulo da pagina: Società Entomologica Italiana</t>
        </is>
      </c>
      <c r="AA301" t="inlineStr">
        <is>
          <t>dominio institucional do dono</t>
        </is>
      </c>
      <c r="AB301" t="inlineStr">
        <is>
          <t>nao sorteada</t>
        </is>
      </c>
      <c r="AC301" t="inlineStr">
        <is>
          <t>nao sorteada</t>
        </is>
      </c>
      <c r="AE301" t="inlineStr"/>
      <c r="AF301" t="inlineStr"/>
    </row>
    <row r="302">
      <c r="A302" t="inlineStr">
        <is>
          <t>IT-DISC-2026-09-14-0301</t>
        </is>
      </c>
      <c r="B302" t="inlineStr">
        <is>
          <t>Unione Italiana Vini</t>
        </is>
      </c>
      <c r="C302" t="inlineStr">
        <is>
          <t>ORGANIZACAO</t>
        </is>
      </c>
      <c r="D302" t="inlineStr">
        <is>
          <t>ORG</t>
        </is>
      </c>
      <c r="E302" t="inlineStr">
        <is>
          <t>UIV</t>
        </is>
      </c>
      <c r="F302" t="inlineStr">
        <is>
          <t>https://www.uiv.it/</t>
        </is>
      </c>
      <c r="G302" t="inlineStr">
        <is>
          <t>https://www.uiv.it/</t>
        </is>
      </c>
      <c r="H302" t="inlineStr">
        <is>
          <t>https://www.unioneitalianavini.it</t>
        </is>
      </c>
      <c r="I302" t="n">
        <v>200</v>
      </c>
      <c r="J302" t="inlineStr">
        <is>
          <t>text/html</t>
        </is>
      </c>
      <c r="K302" t="n">
        <v>1</v>
      </c>
      <c r="L302" t="b">
        <v>1</v>
      </c>
      <c r="M302" t="b">
        <v>1</v>
      </c>
      <c r="N302" t="inlineStr">
        <is>
          <t>PROVED_DIRECT</t>
        </is>
      </c>
      <c r="O302" t="inlineStr">
        <is>
          <t>SIM</t>
        </is>
      </c>
      <c r="P302" t="inlineStr">
        <is>
          <t>SIM — dominio .it e conteudo em italiano</t>
        </is>
      </c>
      <c r="Q302" t="inlineStr">
        <is>
          <t>Unione Italiana Vini | Associazione delle imprese italiane del vino</t>
        </is>
      </c>
      <c r="R302" t="inlineStr">
        <is>
          <t>sonda HTTP read-only (GET limitado, payload nao preservado)</t>
        </is>
      </c>
      <c r="S302" t="inlineStr">
        <is>
          <t>2026-09-14T11:04:39Z</t>
        </is>
      </c>
      <c r="T302" t="inlineStr">
        <is>
          <t>PASS</t>
        </is>
      </c>
      <c r="U302" t="inlineStr"/>
      <c r="V302" t="inlineStr">
        <is>
          <t>T10;T1</t>
        </is>
      </c>
      <c r="W302" t="inlineStr">
        <is>
          <t>NAZIONALE</t>
        </is>
      </c>
      <c r="X302" t="inlineStr">
        <is>
          <t>vino</t>
        </is>
      </c>
      <c r="Y302" t="inlineStr">
        <is>
          <t>vino;mercato;export</t>
        </is>
      </c>
      <c r="Z302" t="inlineStr">
        <is>
          <t>titulo da pagina: Unione Italiana Vini | Associazione delle imprese italiane del vino</t>
        </is>
      </c>
      <c r="AA302" t="inlineStr">
        <is>
          <t>dominio institucional do dono</t>
        </is>
      </c>
      <c r="AB302" t="inlineStr">
        <is>
          <t>nao sorteada</t>
        </is>
      </c>
      <c r="AC302" t="inlineStr">
        <is>
          <t>nao sorteada</t>
        </is>
      </c>
      <c r="AE302" t="inlineStr"/>
      <c r="AF302" t="inlineStr"/>
    </row>
    <row r="303">
      <c r="A303" t="inlineStr">
        <is>
          <t>IT-DISC-2026-09-14-0302</t>
        </is>
      </c>
      <c r="B303" t="inlineStr">
        <is>
          <t>Consorzio di Tutela Nocciola Piemonte IGP</t>
        </is>
      </c>
      <c r="C303" t="inlineStr">
        <is>
          <t>ORGANIZACAO</t>
        </is>
      </c>
      <c r="D303" t="inlineStr">
        <is>
          <t>ORG</t>
        </is>
      </c>
      <c r="E303" t="inlineStr">
        <is>
          <t>Consorzio Nocciola Piemonte IGP</t>
        </is>
      </c>
      <c r="F303" t="inlineStr">
        <is>
          <t>https://www.nocciolapiemonteigp.it/</t>
        </is>
      </c>
      <c r="G303" t="inlineStr">
        <is>
          <t>https://www.nocciolapiemonteigp.it/</t>
        </is>
      </c>
      <c r="H303" t="inlineStr">
        <is>
          <t>https://www.marchesidicravanzana.com/</t>
        </is>
      </c>
      <c r="I303" t="n">
        <v>200</v>
      </c>
      <c r="J303" t="inlineStr">
        <is>
          <t>text/html</t>
        </is>
      </c>
      <c r="K303" t="n">
        <v>1</v>
      </c>
      <c r="L303" t="b">
        <v>1</v>
      </c>
      <c r="M303" t="b">
        <v>1</v>
      </c>
      <c r="N303" t="inlineStr">
        <is>
          <t>PROVED_DIRECT</t>
        </is>
      </c>
      <c r="O303" t="inlineStr">
        <is>
          <t>SIM</t>
        </is>
      </c>
      <c r="P303" t="inlineStr">
        <is>
          <t>SIM — dominio .it e conteudo em italiano</t>
        </is>
      </c>
      <c r="Q303" t="inlineStr">
        <is>
          <t>Creme di Nocciola Piemonte IGP | Marchesi di Cravanzana</t>
        </is>
      </c>
      <c r="R303" t="inlineStr">
        <is>
          <t>sonda HTTP read-only (GET limitado, payload nao preservado)</t>
        </is>
      </c>
      <c r="S303" t="inlineStr">
        <is>
          <t>2026-09-14T11:25:11Z</t>
        </is>
      </c>
      <c r="T303" t="inlineStr">
        <is>
          <t>PASS</t>
        </is>
      </c>
      <c r="U303" t="inlineStr"/>
      <c r="V303" t="inlineStr">
        <is>
          <t>T10;T1</t>
        </is>
      </c>
      <c r="W303" t="inlineStr">
        <is>
          <t>PIEMONTE</t>
        </is>
      </c>
      <c r="X303" t="inlineStr">
        <is>
          <t>nocciolo</t>
        </is>
      </c>
      <c r="Y303" t="inlineStr">
        <is>
          <t>nocciolo;IGP</t>
        </is>
      </c>
      <c r="Z303" t="inlineStr">
        <is>
          <t>titulo da pagina: Creme di Nocciola Piemonte IGP | Marchesi di Cravanzana</t>
        </is>
      </c>
      <c r="AA303" t="inlineStr">
        <is>
          <t>meta description: creme spalmabili, nocciole e preparati per dolci alla Nocciola Piemont</t>
        </is>
      </c>
      <c r="AB303" t="inlineStr">
        <is>
          <t>nao sorteada</t>
        </is>
      </c>
      <c r="AC303" t="inlineStr">
        <is>
          <t>nao sorteada</t>
        </is>
      </c>
      <c r="AE303" t="inlineStr"/>
      <c r="AF303" t="inlineStr"/>
    </row>
    <row r="304">
      <c r="A304" t="inlineStr">
        <is>
          <t>IT-DISC-2026-09-14-0303</t>
        </is>
      </c>
      <c r="B304" t="inlineStr">
        <is>
          <t>Agrilevante</t>
        </is>
      </c>
      <c r="C304" t="inlineStr">
        <is>
          <t>ORGANIZACAO</t>
        </is>
      </c>
      <c r="D304" t="inlineStr">
        <is>
          <t>ORG</t>
        </is>
      </c>
      <c r="E304" t="inlineStr">
        <is>
          <t>FederUnacoma</t>
        </is>
      </c>
      <c r="F304" t="inlineStr">
        <is>
          <t>https://www.agrilevante.eu/</t>
        </is>
      </c>
      <c r="G304" t="inlineStr">
        <is>
          <t>https://www.agrilevante.eu/</t>
        </is>
      </c>
      <c r="H304" t="inlineStr">
        <is>
          <t>https://www.agrilevante.eu/it/index.php</t>
        </is>
      </c>
      <c r="I304" t="n">
        <v>200</v>
      </c>
      <c r="J304" t="inlineStr">
        <is>
          <t>text/html</t>
        </is>
      </c>
      <c r="K304" t="n">
        <v>1</v>
      </c>
      <c r="L304" t="b">
        <v>1</v>
      </c>
      <c r="M304" t="b">
        <v>1</v>
      </c>
      <c r="N304" t="inlineStr">
        <is>
          <t>PROVED_DIRECT</t>
        </is>
      </c>
      <c r="O304" t="inlineStr">
        <is>
          <t>SIM</t>
        </is>
      </c>
      <c r="P304" t="inlineStr">
        <is>
          <t>SIM — dono italiano identificado na pagina</t>
        </is>
      </c>
      <c r="Q304" t="inlineStr">
        <is>
          <t>Agrilevante 2025 - Bari - Fiera - Esposizione Internazionale di Macchine, Impian</t>
        </is>
      </c>
      <c r="R304" t="inlineStr">
        <is>
          <t>sonda HTTP read-only (GET limitado, payload nao preservado)</t>
        </is>
      </c>
      <c r="S304" t="inlineStr">
        <is>
          <t>2026-09-14T11:25:03Z</t>
        </is>
      </c>
      <c r="T304" t="inlineStr">
        <is>
          <t>PASS</t>
        </is>
      </c>
      <c r="U304" t="inlineStr"/>
      <c r="V304" t="inlineStr">
        <is>
          <t>T11;T10</t>
        </is>
      </c>
      <c r="W304" t="inlineStr">
        <is>
          <t>PUGLIA</t>
        </is>
      </c>
      <c r="X304" t="inlineStr"/>
      <c r="Y304" t="inlineStr">
        <is>
          <t>fiera meccanizzazione mediterraneo</t>
        </is>
      </c>
      <c r="Z304" t="inlineStr">
        <is>
          <t>titulo da pagina: Agrilevante 2025 - Bari - Fiera - Esposizione Internazionale di Macchi</t>
        </is>
      </c>
      <c r="AA304" t="inlineStr">
        <is>
          <t>meta description: Agrilevante, Bari 5-8 ottobre 2023. L</t>
        </is>
      </c>
      <c r="AB304" t="inlineStr">
        <is>
          <t>nao sorteada</t>
        </is>
      </c>
      <c r="AC304" t="inlineStr">
        <is>
          <t>nao sorteada</t>
        </is>
      </c>
      <c r="AE304" t="inlineStr"/>
      <c r="AF304" t="inlineStr"/>
    </row>
    <row r="305">
      <c r="A305" t="inlineStr">
        <is>
          <t>IT-DISC-2026-09-14-0304</t>
        </is>
      </c>
      <c r="B305" t="inlineStr">
        <is>
          <t>Coldiretti Puglia</t>
        </is>
      </c>
      <c r="C305" t="inlineStr">
        <is>
          <t>ORGANIZACAO</t>
        </is>
      </c>
      <c r="D305" t="inlineStr">
        <is>
          <t>ORG</t>
        </is>
      </c>
      <c r="E305" t="inlineStr">
        <is>
          <t>Coldiretti</t>
        </is>
      </c>
      <c r="F305" t="inlineStr">
        <is>
          <t>https://puglia.coldiretti.it/</t>
        </is>
      </c>
      <c r="G305" t="inlineStr">
        <is>
          <t>https://puglia.coldiretti.it/</t>
        </is>
      </c>
      <c r="H305" t="inlineStr">
        <is>
          <t>https://puglia.coldiretti.it/</t>
        </is>
      </c>
      <c r="I305" t="n">
        <v>200</v>
      </c>
      <c r="J305" t="inlineStr">
        <is>
          <t>text/html</t>
        </is>
      </c>
      <c r="K305" t="n">
        <v>0</v>
      </c>
      <c r="L305" t="b">
        <v>1</v>
      </c>
      <c r="M305" t="b">
        <v>1</v>
      </c>
      <c r="N305" t="inlineStr">
        <is>
          <t>PROVED_DIRECT</t>
        </is>
      </c>
      <c r="O305" t="inlineStr">
        <is>
          <t>SIM</t>
        </is>
      </c>
      <c r="P305" t="inlineStr">
        <is>
          <t>SIM — dominio .it e conteudo em italiano</t>
        </is>
      </c>
      <c r="Q305" t="inlineStr">
        <is>
          <t>Coldiretti - PUGLIA</t>
        </is>
      </c>
      <c r="R305" t="inlineStr">
        <is>
          <t>sonda HTTP read-only (GET limitado, payload nao preservado)</t>
        </is>
      </c>
      <c r="S305" t="inlineStr">
        <is>
          <t>2026-09-14T11:25:16Z</t>
        </is>
      </c>
      <c r="T305" t="inlineStr">
        <is>
          <t>PASS</t>
        </is>
      </c>
      <c r="U305" t="inlineStr"/>
      <c r="V305" t="inlineStr">
        <is>
          <t>T12;T7</t>
        </is>
      </c>
      <c r="W305" t="inlineStr">
        <is>
          <t>PUGLIA</t>
        </is>
      </c>
      <c r="X305" t="inlineStr"/>
      <c r="Y305" t="inlineStr">
        <is>
          <t>organizzazione agricola regionale</t>
        </is>
      </c>
      <c r="Z305" t="inlineStr">
        <is>
          <t>titulo da pagina: Coldiretti - PUGLIA</t>
        </is>
      </c>
      <c r="AA305" t="inlineStr">
        <is>
          <t>meta description: Coltiviamo un grande amore. L&amp;#039;Italia</t>
        </is>
      </c>
      <c r="AB305" t="inlineStr">
        <is>
          <t>nao sorteada</t>
        </is>
      </c>
      <c r="AC305" t="inlineStr">
        <is>
          <t>nao sorteada</t>
        </is>
      </c>
      <c r="AE305" t="inlineStr"/>
      <c r="AF305" t="inlineStr"/>
    </row>
    <row r="306">
      <c r="A306" t="inlineStr">
        <is>
          <t>IT-DISC-2026-09-14-0305</t>
        </is>
      </c>
      <c r="B306" t="inlineStr">
        <is>
          <t>Consorzio Tutela Pecorino Romano</t>
        </is>
      </c>
      <c r="C306" t="inlineStr">
        <is>
          <t>ORGANIZACAO</t>
        </is>
      </c>
      <c r="D306" t="inlineStr">
        <is>
          <t>ORG</t>
        </is>
      </c>
      <c r="E306" t="inlineStr">
        <is>
          <t>Consorzio Pecorino Romano</t>
        </is>
      </c>
      <c r="F306" t="inlineStr">
        <is>
          <t>https://www.pecorinoromano.com/</t>
        </is>
      </c>
      <c r="G306" t="inlineStr">
        <is>
          <t>https://www.pecorinoromano.com/</t>
        </is>
      </c>
      <c r="H306" t="inlineStr">
        <is>
          <t>https://www.pecorinoromano.com/</t>
        </is>
      </c>
      <c r="I306" t="n">
        <v>200</v>
      </c>
      <c r="J306" t="inlineStr">
        <is>
          <t>text/html</t>
        </is>
      </c>
      <c r="K306" t="n">
        <v>0</v>
      </c>
      <c r="L306" t="b">
        <v>1</v>
      </c>
      <c r="M306" t="b">
        <v>1</v>
      </c>
      <c r="N306" t="inlineStr">
        <is>
          <t>PROVED_DIRECT</t>
        </is>
      </c>
      <c r="O306" t="inlineStr">
        <is>
          <t>SIM</t>
        </is>
      </c>
      <c r="P306" t="inlineStr">
        <is>
          <t>SIM — dono italiano identificado na pagina</t>
        </is>
      </c>
      <c r="Q306" t="inlineStr">
        <is>
          <t>Sito Ufficiale Consorzio per la tutela del Formaggio Pecorino Romano DOP</t>
        </is>
      </c>
      <c r="R306" t="inlineStr">
        <is>
          <t>sonda HTTP read-only (GET limitado, payload nao preservado)</t>
        </is>
      </c>
      <c r="S306" t="inlineStr">
        <is>
          <t>2026-09-14T11:25:11Z</t>
        </is>
      </c>
      <c r="T306" t="inlineStr">
        <is>
          <t>PASS</t>
        </is>
      </c>
      <c r="U306" t="inlineStr"/>
      <c r="V306" t="inlineStr">
        <is>
          <t>T10</t>
        </is>
      </c>
      <c r="W306" t="inlineStr">
        <is>
          <t>SARDEGNA</t>
        </is>
      </c>
      <c r="X306" t="inlineStr">
        <is>
          <t>vino</t>
        </is>
      </c>
      <c r="Y306" t="inlineStr">
        <is>
          <t>DOP;ovino</t>
        </is>
      </c>
      <c r="Z306" t="inlineStr">
        <is>
          <t>titulo da pagina: Sito Ufficiale Consorzio per la tutela del Formaggio Pecorino Romano D</t>
        </is>
      </c>
      <c r="AA306" t="inlineStr">
        <is>
          <t>meta description: l Pecorino Romano D.O.P. è un formaggio unico, naturale e nutriente, p</t>
        </is>
      </c>
      <c r="AB306" t="inlineStr">
        <is>
          <t>nao sorteada</t>
        </is>
      </c>
      <c r="AC306" t="inlineStr">
        <is>
          <t>nao sorteada</t>
        </is>
      </c>
      <c r="AE306" t="inlineStr"/>
      <c r="AF306" t="inlineStr"/>
    </row>
    <row r="307">
      <c r="A307" t="inlineStr">
        <is>
          <t>IT-DISC-2026-09-14-0306</t>
        </is>
      </c>
      <c r="B307" t="inlineStr">
        <is>
          <t>Coldiretti Sicilia</t>
        </is>
      </c>
      <c r="C307" t="inlineStr">
        <is>
          <t>ORGANIZACAO</t>
        </is>
      </c>
      <c r="D307" t="inlineStr">
        <is>
          <t>ORG</t>
        </is>
      </c>
      <c r="E307" t="inlineStr">
        <is>
          <t>Coldiretti</t>
        </is>
      </c>
      <c r="F307" t="inlineStr">
        <is>
          <t>https://sicilia.coldiretti.it/</t>
        </is>
      </c>
      <c r="G307" t="inlineStr">
        <is>
          <t>https://sicilia.coldiretti.it/</t>
        </is>
      </c>
      <c r="H307" t="inlineStr">
        <is>
          <t>https://sicilia.coldiretti.it/</t>
        </is>
      </c>
      <c r="I307" t="n">
        <v>200</v>
      </c>
      <c r="J307" t="inlineStr">
        <is>
          <t>text/html</t>
        </is>
      </c>
      <c r="K307" t="n">
        <v>0</v>
      </c>
      <c r="L307" t="b">
        <v>1</v>
      </c>
      <c r="M307" t="b">
        <v>1</v>
      </c>
      <c r="N307" t="inlineStr">
        <is>
          <t>PROVED_DIRECT</t>
        </is>
      </c>
      <c r="O307" t="inlineStr">
        <is>
          <t>SIM</t>
        </is>
      </c>
      <c r="P307" t="inlineStr">
        <is>
          <t>SIM — dominio .it e conteudo em italiano</t>
        </is>
      </c>
      <c r="Q307" t="inlineStr">
        <is>
          <t>Coldiretti - SICILIA</t>
        </is>
      </c>
      <c r="R307" t="inlineStr">
        <is>
          <t>sonda HTTP read-only (GET limitado, payload nao preservado)</t>
        </is>
      </c>
      <c r="S307" t="inlineStr">
        <is>
          <t>2026-09-14T11:25:16Z</t>
        </is>
      </c>
      <c r="T307" t="inlineStr">
        <is>
          <t>PASS</t>
        </is>
      </c>
      <c r="U307" t="inlineStr"/>
      <c r="V307" t="inlineStr">
        <is>
          <t>T12;T7</t>
        </is>
      </c>
      <c r="W307" t="inlineStr">
        <is>
          <t>SICILIA</t>
        </is>
      </c>
      <c r="X307" t="inlineStr"/>
      <c r="Y307" t="inlineStr">
        <is>
          <t>organizzazione agricola regionale</t>
        </is>
      </c>
      <c r="Z307" t="inlineStr">
        <is>
          <t>titulo da pagina: Coldiretti - SICILIA</t>
        </is>
      </c>
      <c r="AA307" t="inlineStr">
        <is>
          <t>meta description: Coltiviamo un grande amore. L&amp;#039;Italia</t>
        </is>
      </c>
      <c r="AB307" t="inlineStr">
        <is>
          <t>nao sorteada</t>
        </is>
      </c>
      <c r="AC307" t="inlineStr">
        <is>
          <t>SIM</t>
        </is>
      </c>
      <c r="AE307" t="inlineStr"/>
      <c r="AF307" t="inlineStr"/>
    </row>
    <row r="308">
      <c r="A308" t="inlineStr">
        <is>
          <t>IT-DISC-2026-09-14-0307</t>
        </is>
      </c>
      <c r="B308" t="inlineStr">
        <is>
          <t>Consorzio di Tutela Arancia Rossa di Sicilia IGP</t>
        </is>
      </c>
      <c r="C308" t="inlineStr">
        <is>
          <t>ORGANIZACAO</t>
        </is>
      </c>
      <c r="D308" t="inlineStr">
        <is>
          <t>ORG</t>
        </is>
      </c>
      <c r="E308" t="inlineStr">
        <is>
          <t>Consorzio Arancia Rossa di Sicilia</t>
        </is>
      </c>
      <c r="F308" t="inlineStr">
        <is>
          <t>https://www.tutelaaranciarossa.it/</t>
        </is>
      </c>
      <c r="G308" t="inlineStr">
        <is>
          <t>https://www.tutelaaranciarossa.it/</t>
        </is>
      </c>
      <c r="H308" t="inlineStr">
        <is>
          <t>https://www.tutelaaranciarossa.it/</t>
        </is>
      </c>
      <c r="I308" t="n">
        <v>200</v>
      </c>
      <c r="J308" t="inlineStr">
        <is>
          <t>text/html</t>
        </is>
      </c>
      <c r="K308" t="n">
        <v>0</v>
      </c>
      <c r="L308" t="b">
        <v>1</v>
      </c>
      <c r="M308" t="b">
        <v>1</v>
      </c>
      <c r="N308" t="inlineStr">
        <is>
          <t>PROVED_DIRECT</t>
        </is>
      </c>
      <c r="O308" t="inlineStr">
        <is>
          <t>SIM</t>
        </is>
      </c>
      <c r="P308" t="inlineStr">
        <is>
          <t>SIM — dominio .it e conteudo em italiano</t>
        </is>
      </c>
      <c r="Q308" t="inlineStr">
        <is>
          <t>Home - Tutela Arancia Rossa di Sicilia IGP</t>
        </is>
      </c>
      <c r="R308" t="inlineStr">
        <is>
          <t>sonda HTTP read-only (GET limitado, payload nao preservado)</t>
        </is>
      </c>
      <c r="S308" t="inlineStr">
        <is>
          <t>2026-09-14T11:25:11Z</t>
        </is>
      </c>
      <c r="T308" t="inlineStr">
        <is>
          <t>PASS</t>
        </is>
      </c>
      <c r="U308" t="inlineStr"/>
      <c r="V308" t="inlineStr">
        <is>
          <t>T10;T1</t>
        </is>
      </c>
      <c r="W308" t="inlineStr">
        <is>
          <t>SICILIA</t>
        </is>
      </c>
      <c r="X308" t="inlineStr">
        <is>
          <t>agrumi</t>
        </is>
      </c>
      <c r="Y308" t="inlineStr">
        <is>
          <t>agrumi;IGP</t>
        </is>
      </c>
      <c r="Z308" t="inlineStr">
        <is>
          <t>titulo da pagina: Home - Tutela Arancia Rossa di Sicilia IGP</t>
        </is>
      </c>
      <c r="AA308" t="inlineStr">
        <is>
          <t>dominio institucional do dono</t>
        </is>
      </c>
      <c r="AB308" t="inlineStr">
        <is>
          <t>nao sorteada</t>
        </is>
      </c>
      <c r="AC308" t="inlineStr">
        <is>
          <t>nao sorteada</t>
        </is>
      </c>
      <c r="AE308" t="inlineStr"/>
      <c r="AF308" t="inlineStr"/>
    </row>
    <row r="309">
      <c r="A309" t="inlineStr">
        <is>
          <t>IT-DISC-2026-09-14-0308</t>
        </is>
      </c>
      <c r="B309" t="inlineStr">
        <is>
          <t>Accademia dei Georgofili</t>
        </is>
      </c>
      <c r="C309" t="inlineStr">
        <is>
          <t>ORGANIZACAO</t>
        </is>
      </c>
      <c r="D309" t="inlineStr">
        <is>
          <t>ORG</t>
        </is>
      </c>
      <c r="E309" t="inlineStr">
        <is>
          <t>Accademia dei Georgofili</t>
        </is>
      </c>
      <c r="F309" t="inlineStr">
        <is>
          <t>https://www.georgofili.it/</t>
        </is>
      </c>
      <c r="G309" t="inlineStr">
        <is>
          <t>https://www.georgofili.it/</t>
        </is>
      </c>
      <c r="H309" t="inlineStr">
        <is>
          <t>https://www.georgofili.it/</t>
        </is>
      </c>
      <c r="I309" t="n">
        <v>200</v>
      </c>
      <c r="J309" t="inlineStr">
        <is>
          <t>text/html</t>
        </is>
      </c>
      <c r="K309" t="n">
        <v>0</v>
      </c>
      <c r="L309" t="b">
        <v>1</v>
      </c>
      <c r="M309" t="b">
        <v>1</v>
      </c>
      <c r="N309" t="inlineStr">
        <is>
          <t>PROVED_DIRECT</t>
        </is>
      </c>
      <c r="O309" t="inlineStr">
        <is>
          <t>SIM</t>
        </is>
      </c>
      <c r="P309" t="inlineStr">
        <is>
          <t>SIM — dominio .it e conteudo em italiano</t>
        </is>
      </c>
      <c r="Q309" t="inlineStr">
        <is>
          <t>Home Page | Georgofili</t>
        </is>
      </c>
      <c r="R309" t="inlineStr">
        <is>
          <t>sonda HTTP read-only (GET limitado, payload nao preservado)</t>
        </is>
      </c>
      <c r="S309" t="inlineStr">
        <is>
          <t>2026-09-14T11:04:33Z</t>
        </is>
      </c>
      <c r="T309" t="inlineStr">
        <is>
          <t>PASS</t>
        </is>
      </c>
      <c r="U309" t="inlineStr"/>
      <c r="V309" t="inlineStr">
        <is>
          <t>T5;T11;T12</t>
        </is>
      </c>
      <c r="W309" t="inlineStr">
        <is>
          <t>TOSCANA</t>
        </is>
      </c>
      <c r="X309" t="inlineStr"/>
      <c r="Y309" t="inlineStr">
        <is>
          <t>accademia;convegni;agricoltura</t>
        </is>
      </c>
      <c r="Z309" t="inlineStr">
        <is>
          <t>titulo da pagina: Home Page | Georgofili</t>
        </is>
      </c>
      <c r="AA309" t="inlineStr">
        <is>
          <t>meta description: Get Canvas to build powerful websites easily with the Highly Customiza</t>
        </is>
      </c>
      <c r="AB309" t="inlineStr">
        <is>
          <t>nao sorteada</t>
        </is>
      </c>
      <c r="AC309" t="inlineStr">
        <is>
          <t>nao sorteada</t>
        </is>
      </c>
      <c r="AE309" t="inlineStr"/>
      <c r="AF309" t="inlineStr"/>
    </row>
    <row r="310">
      <c r="A310" t="inlineStr">
        <is>
          <t>IT-DISC-2026-09-14-0309</t>
        </is>
      </c>
      <c r="B310" t="inlineStr">
        <is>
          <t>CIA Toscana</t>
        </is>
      </c>
      <c r="C310" t="inlineStr">
        <is>
          <t>ORGANIZACAO</t>
        </is>
      </c>
      <c r="D310" t="inlineStr">
        <is>
          <t>ORG</t>
        </is>
      </c>
      <c r="E310" t="inlineStr">
        <is>
          <t>CIA Agricoltori Italiani</t>
        </is>
      </c>
      <c r="F310" t="inlineStr">
        <is>
          <t>https://www.ciatoscana.eu/</t>
        </is>
      </c>
      <c r="G310" t="inlineStr">
        <is>
          <t>https://www.ciatoscana.eu/</t>
        </is>
      </c>
      <c r="H310" t="inlineStr">
        <is>
          <t>https://www.ciatoscana.eu/home/</t>
        </is>
      </c>
      <c r="I310" t="n">
        <v>200</v>
      </c>
      <c r="J310" t="inlineStr">
        <is>
          <t>text/html</t>
        </is>
      </c>
      <c r="K310" t="n">
        <v>1</v>
      </c>
      <c r="L310" t="b">
        <v>1</v>
      </c>
      <c r="M310" t="b">
        <v>1</v>
      </c>
      <c r="N310" t="inlineStr">
        <is>
          <t>PROVED_DIRECT</t>
        </is>
      </c>
      <c r="O310" t="inlineStr">
        <is>
          <t>SIM</t>
        </is>
      </c>
      <c r="P310" t="inlineStr">
        <is>
          <t>SIM — dono italiano identificado na pagina</t>
        </is>
      </c>
      <c r="Q310" t="inlineStr">
        <is>
          <t>Cia Toscana | Agricoltori italiani, agricoltura toscana | 2026</t>
        </is>
      </c>
      <c r="R310" t="inlineStr">
        <is>
          <t>sonda HTTP read-only (GET limitado, payload nao preservado)</t>
        </is>
      </c>
      <c r="S310" t="inlineStr">
        <is>
          <t>2026-09-14T11:25:20Z</t>
        </is>
      </c>
      <c r="T310" t="inlineStr">
        <is>
          <t>PASS</t>
        </is>
      </c>
      <c r="U310" t="inlineStr"/>
      <c r="V310" t="inlineStr">
        <is>
          <t>T12;T7</t>
        </is>
      </c>
      <c r="W310" t="inlineStr">
        <is>
          <t>TOSCANA</t>
        </is>
      </c>
      <c r="X310" t="inlineStr"/>
      <c r="Y310" t="inlineStr">
        <is>
          <t>organizzazione agricola regionale</t>
        </is>
      </c>
      <c r="Z310" t="inlineStr">
        <is>
          <t>titulo da pagina: Cia Toscana | Agricoltori italiani, agricoltura toscana | 2026</t>
        </is>
      </c>
      <c r="AA310" t="inlineStr">
        <is>
          <t>meta description: Confederazione italiana agricoltori. Informazioni e notizie sull&amp;#039;</t>
        </is>
      </c>
      <c r="AB310" t="inlineStr">
        <is>
          <t>nao sorteada</t>
        </is>
      </c>
      <c r="AC310" t="inlineStr">
        <is>
          <t>nao sorteada</t>
        </is>
      </c>
      <c r="AE310" t="inlineStr"/>
      <c r="AF310" t="inlineStr"/>
    </row>
    <row r="311">
      <c r="A311" t="inlineStr">
        <is>
          <t>IT-DISC-2026-09-14-0310</t>
        </is>
      </c>
      <c r="B311" t="inlineStr">
        <is>
          <t>Consorzio Vino Chianti Classico</t>
        </is>
      </c>
      <c r="C311" t="inlineStr">
        <is>
          <t>ORGANIZACAO</t>
        </is>
      </c>
      <c r="D311" t="inlineStr">
        <is>
          <t>ORG</t>
        </is>
      </c>
      <c r="E311" t="inlineStr">
        <is>
          <t>Consorzio Vino Chianti Classico</t>
        </is>
      </c>
      <c r="F311" t="inlineStr">
        <is>
          <t>https://www.chianticlassico.com/</t>
        </is>
      </c>
      <c r="G311" t="inlineStr">
        <is>
          <t>https://www.chianticlassico.com/</t>
        </is>
      </c>
      <c r="H311" t="inlineStr">
        <is>
          <t>https://www.chianticlassico.com/</t>
        </is>
      </c>
      <c r="I311" t="n">
        <v>200</v>
      </c>
      <c r="J311" t="inlineStr">
        <is>
          <t>text/html</t>
        </is>
      </c>
      <c r="K311" t="n">
        <v>0</v>
      </c>
      <c r="L311" t="b">
        <v>1</v>
      </c>
      <c r="M311" t="b">
        <v>1</v>
      </c>
      <c r="N311" t="inlineStr">
        <is>
          <t>PROVED_DIRECT</t>
        </is>
      </c>
      <c r="O311" t="inlineStr">
        <is>
          <t>SIM</t>
        </is>
      </c>
      <c r="P311" t="inlineStr">
        <is>
          <t>SIM — dono italiano identificado na pagina</t>
        </is>
      </c>
      <c r="Q311" t="inlineStr">
        <is>
          <t>Chianti Classico - Il primo territorio di vino</t>
        </is>
      </c>
      <c r="R311" t="inlineStr">
        <is>
          <t>sonda HTTP read-only (GET limitado, payload nao preservado)</t>
        </is>
      </c>
      <c r="S311" t="inlineStr">
        <is>
          <t>2026-09-14T11:25:09Z</t>
        </is>
      </c>
      <c r="T311" t="inlineStr">
        <is>
          <t>PASS</t>
        </is>
      </c>
      <c r="U311" t="inlineStr"/>
      <c r="V311" t="inlineStr">
        <is>
          <t>T10;T1</t>
        </is>
      </c>
      <c r="W311" t="inlineStr">
        <is>
          <t>TOSCANA</t>
        </is>
      </c>
      <c r="X311" t="inlineStr">
        <is>
          <t>vino</t>
        </is>
      </c>
      <c r="Y311" t="inlineStr">
        <is>
          <t>vino;DOCG;viticoltura</t>
        </is>
      </c>
      <c r="Z311" t="inlineStr">
        <is>
          <t>titulo da pagina: Chianti Classico - Il primo territorio di vino</t>
        </is>
      </c>
      <c r="AA311" t="inlineStr">
        <is>
          <t>meta description: Sito web ufficiale del Chianti Classico, il primo consorzio di vino in</t>
        </is>
      </c>
      <c r="AB311" t="inlineStr">
        <is>
          <t>CONFIRMA</t>
        </is>
      </c>
      <c r="AC311" t="inlineStr">
        <is>
          <t>nao sorteada</t>
        </is>
      </c>
      <c r="AE311" t="inlineStr"/>
      <c r="AF311" t="inlineStr"/>
    </row>
    <row r="312">
      <c r="A312" t="inlineStr">
        <is>
          <t>IT-DISC-2026-09-14-0311</t>
        </is>
      </c>
      <c r="B312" t="inlineStr">
        <is>
          <t>Consorzio del Vino Brunello di Montalcino</t>
        </is>
      </c>
      <c r="C312" t="inlineStr">
        <is>
          <t>ORGANIZACAO</t>
        </is>
      </c>
      <c r="D312" t="inlineStr">
        <is>
          <t>ORG</t>
        </is>
      </c>
      <c r="E312" t="inlineStr">
        <is>
          <t>Consorzio Brunello di Montalcino</t>
        </is>
      </c>
      <c r="F312" t="inlineStr">
        <is>
          <t>https://www.consorziobrunellodimontalcino.it/</t>
        </is>
      </c>
      <c r="G312" t="inlineStr">
        <is>
          <t>https://www.consorziobrunellodimontalcino.it/</t>
        </is>
      </c>
      <c r="H312" t="inlineStr">
        <is>
          <t>https://www.consorziobrunellodimontalcino.it/</t>
        </is>
      </c>
      <c r="I312" t="n">
        <v>200</v>
      </c>
      <c r="J312" t="inlineStr">
        <is>
          <t>text/html</t>
        </is>
      </c>
      <c r="K312" t="n">
        <v>0</v>
      </c>
      <c r="L312" t="b">
        <v>1</v>
      </c>
      <c r="M312" t="b">
        <v>1</v>
      </c>
      <c r="N312" t="inlineStr">
        <is>
          <t>PROVED_DIRECT</t>
        </is>
      </c>
      <c r="O312" t="inlineStr">
        <is>
          <t>SIM</t>
        </is>
      </c>
      <c r="P312" t="inlineStr">
        <is>
          <t>SIM — dominio .it e conteudo em italiano</t>
        </is>
      </c>
      <c r="Q312" t="inlineStr">
        <is>
          <t>Consorzio del vino Brunello di Montalcino Montalcino</t>
        </is>
      </c>
      <c r="R312" t="inlineStr">
        <is>
          <t>sonda HTTP read-only (GET limitado, payload nao preservado)</t>
        </is>
      </c>
      <c r="S312" t="inlineStr">
        <is>
          <t>2026-09-14T11:25:09Z</t>
        </is>
      </c>
      <c r="T312" t="inlineStr">
        <is>
          <t>PASS</t>
        </is>
      </c>
      <c r="U312" t="inlineStr"/>
      <c r="V312" t="inlineStr">
        <is>
          <t>T10;T1</t>
        </is>
      </c>
      <c r="W312" t="inlineStr">
        <is>
          <t>TOSCANA</t>
        </is>
      </c>
      <c r="X312" t="inlineStr">
        <is>
          <t>vino</t>
        </is>
      </c>
      <c r="Y312" t="inlineStr">
        <is>
          <t>vino;DOCG</t>
        </is>
      </c>
      <c r="Z312" t="inlineStr">
        <is>
          <t>titulo da pagina: Consorzio del vino Brunello di Montalcino Montalcino</t>
        </is>
      </c>
      <c r="AA312" t="inlineStr">
        <is>
          <t>dominio institucional do dono</t>
        </is>
      </c>
      <c r="AB312" t="inlineStr">
        <is>
          <t>nao sorteada</t>
        </is>
      </c>
      <c r="AC312" t="inlineStr">
        <is>
          <t>nao sorteada</t>
        </is>
      </c>
      <c r="AE312" t="inlineStr"/>
      <c r="AF312" t="inlineStr"/>
    </row>
    <row r="313">
      <c r="A313" t="inlineStr">
        <is>
          <t>IT-DISC-2026-09-14-0312</t>
        </is>
      </c>
      <c r="B313" t="inlineStr">
        <is>
          <t>Georgofili — Accademia dei Georgofili (portale .net)</t>
        </is>
      </c>
      <c r="C313" t="inlineStr">
        <is>
          <t>ORGANIZACAO</t>
        </is>
      </c>
      <c r="D313" t="inlineStr">
        <is>
          <t>ORG</t>
        </is>
      </c>
      <c r="E313" t="inlineStr">
        <is>
          <t>Accademia dei Georgofili</t>
        </is>
      </c>
      <c r="F313" t="inlineStr">
        <is>
          <t>https://www.georgofili.net/</t>
        </is>
      </c>
      <c r="G313" t="inlineStr">
        <is>
          <t>https://www.georgofili.net/</t>
        </is>
      </c>
      <c r="H313" t="inlineStr">
        <is>
          <t>https://www.georgofili.net/</t>
        </is>
      </c>
      <c r="I313" t="n">
        <v>200</v>
      </c>
      <c r="J313" t="inlineStr">
        <is>
          <t>text/html</t>
        </is>
      </c>
      <c r="K313" t="n">
        <v>0</v>
      </c>
      <c r="L313" t="b">
        <v>1</v>
      </c>
      <c r="M313" t="b">
        <v>1</v>
      </c>
      <c r="N313" t="inlineStr">
        <is>
          <t>PROVED_DIRECT</t>
        </is>
      </c>
      <c r="O313" t="inlineStr">
        <is>
          <t>SIM</t>
        </is>
      </c>
      <c r="P313" t="inlineStr">
        <is>
          <t>SIM — dono italiano identificado na pagina</t>
        </is>
      </c>
      <c r="Q313" t="inlineStr">
        <is>
          <t>Home Page - Accademia dei Georgofili</t>
        </is>
      </c>
      <c r="R313" t="inlineStr">
        <is>
          <t>sonda HTTP read-only (GET limitado, payload nao preservado)</t>
        </is>
      </c>
      <c r="S313" t="inlineStr">
        <is>
          <t>2026-09-14T11:22:28Z</t>
        </is>
      </c>
      <c r="T313" t="inlineStr">
        <is>
          <t>PASS</t>
        </is>
      </c>
      <c r="U313" t="inlineStr"/>
      <c r="V313" t="inlineStr">
        <is>
          <t>T5;T11</t>
        </is>
      </c>
      <c r="W313" t="inlineStr">
        <is>
          <t>TOSCANA</t>
        </is>
      </c>
      <c r="X313" t="inlineStr"/>
      <c r="Y313" t="inlineStr">
        <is>
          <t>accademia;pubblicazioni</t>
        </is>
      </c>
      <c r="Z313" t="inlineStr">
        <is>
          <t>titulo da pagina: Home Page - Accademia dei Georgofili</t>
        </is>
      </c>
      <c r="AA313" t="inlineStr">
        <is>
          <t>dominio institucional do dono</t>
        </is>
      </c>
      <c r="AB313" t="inlineStr">
        <is>
          <t>nao sorteada</t>
        </is>
      </c>
      <c r="AC313" t="inlineStr">
        <is>
          <t>nao sorteada</t>
        </is>
      </c>
      <c r="AE313" t="inlineStr"/>
      <c r="AF313" t="inlineStr"/>
    </row>
    <row r="314">
      <c r="A314" t="inlineStr">
        <is>
          <t>IT-DISC-2026-09-14-0313</t>
        </is>
      </c>
      <c r="B314" t="inlineStr">
        <is>
          <t>Interpoma</t>
        </is>
      </c>
      <c r="C314" t="inlineStr">
        <is>
          <t>ORGANIZACAO</t>
        </is>
      </c>
      <c r="D314" t="inlineStr">
        <is>
          <t>ORG</t>
        </is>
      </c>
      <c r="E314" t="inlineStr">
        <is>
          <t>Fiera Bolzano</t>
        </is>
      </c>
      <c r="F314" t="inlineStr">
        <is>
          <t>https://www.interpoma.it/</t>
        </is>
      </c>
      <c r="G314" t="inlineStr">
        <is>
          <t>https://www.interpoma.it/</t>
        </is>
      </c>
      <c r="H314" t="inlineStr">
        <is>
          <t>https://www.fierabolzano.it/it/interpoma/</t>
        </is>
      </c>
      <c r="I314" t="n">
        <v>200</v>
      </c>
      <c r="J314" t="inlineStr">
        <is>
          <t>text/html</t>
        </is>
      </c>
      <c r="K314" t="n">
        <v>3</v>
      </c>
      <c r="L314" t="b">
        <v>1</v>
      </c>
      <c r="M314" t="b">
        <v>1</v>
      </c>
      <c r="N314" t="inlineStr">
        <is>
          <t>PROVED_DIRECT</t>
        </is>
      </c>
      <c r="O314" t="inlineStr">
        <is>
          <t>SIM</t>
        </is>
      </c>
      <c r="P314" t="inlineStr">
        <is>
          <t>SIM — dominio .it e conteudo em italiano</t>
        </is>
      </c>
      <c r="Q314" t="inlineStr">
        <is>
          <t>Interpoma Fiera Bolzano</t>
        </is>
      </c>
      <c r="R314" t="inlineStr">
        <is>
          <t>sonda HTTP read-only (GET limitado, payload nao preservado)</t>
        </is>
      </c>
      <c r="S314" t="inlineStr">
        <is>
          <t>2026-09-14T11:25:03Z</t>
        </is>
      </c>
      <c r="T314" t="inlineStr">
        <is>
          <t>PASS</t>
        </is>
      </c>
      <c r="U314" t="inlineStr"/>
      <c r="V314" t="inlineStr">
        <is>
          <t>T11;T1</t>
        </is>
      </c>
      <c r="W314" t="inlineStr">
        <is>
          <t>TRENTINO-ALTO ADIGE</t>
        </is>
      </c>
      <c r="X314" t="inlineStr">
        <is>
          <t>melo</t>
        </is>
      </c>
      <c r="Y314" t="inlineStr">
        <is>
          <t>fiera melo;frutticoltura</t>
        </is>
      </c>
      <c r="Z314" t="inlineStr">
        <is>
          <t>titulo da pagina: Interpoma Fiera Bolzano</t>
        </is>
      </c>
      <c r="AA314" t="inlineStr">
        <is>
          <t>meta description: L&amp;#039;unica fiera internazionale dedicata esclusivamente al mondo del</t>
        </is>
      </c>
      <c r="AB314" t="inlineStr">
        <is>
          <t>nao sorteada</t>
        </is>
      </c>
      <c r="AC314" t="inlineStr">
        <is>
          <t>nao sorteada</t>
        </is>
      </c>
      <c r="AE314" t="inlineStr"/>
      <c r="AF314" t="inlineStr"/>
    </row>
    <row r="315">
      <c r="A315" t="inlineStr">
        <is>
          <t>IT-DISC-2026-09-14-0314</t>
        </is>
      </c>
      <c r="B315" t="inlineStr">
        <is>
          <t>Agriumbria</t>
        </is>
      </c>
      <c r="C315" t="inlineStr">
        <is>
          <t>ORGANIZACAO</t>
        </is>
      </c>
      <c r="D315" t="inlineStr">
        <is>
          <t>ORG</t>
        </is>
      </c>
      <c r="E315" t="inlineStr">
        <is>
          <t>Umbriafiere</t>
        </is>
      </c>
      <c r="F315" t="inlineStr">
        <is>
          <t>https://www.agriumbria.eu/</t>
        </is>
      </c>
      <c r="G315" t="inlineStr">
        <is>
          <t>https://www.agriumbria.eu/</t>
        </is>
      </c>
      <c r="H315" t="inlineStr">
        <is>
          <t>https://www.agriumbria.eu/</t>
        </is>
      </c>
      <c r="I315" t="n">
        <v>200</v>
      </c>
      <c r="J315" t="inlineStr">
        <is>
          <t>text/html</t>
        </is>
      </c>
      <c r="K315" t="n">
        <v>0</v>
      </c>
      <c r="L315" t="b">
        <v>1</v>
      </c>
      <c r="M315" t="b">
        <v>1</v>
      </c>
      <c r="N315" t="inlineStr">
        <is>
          <t>PROVED_DIRECT</t>
        </is>
      </c>
      <c r="O315" t="inlineStr">
        <is>
          <t>SIM</t>
        </is>
      </c>
      <c r="P315" t="inlineStr">
        <is>
          <t>SIM — dono italiano identificado na pagina</t>
        </is>
      </c>
      <c r="Q315" t="inlineStr">
        <is>
          <t>Agriumbria
 Mostra Nazionale Agricoltura Zootecnia Alimentazione</t>
        </is>
      </c>
      <c r="R315" t="inlineStr">
        <is>
          <t>sonda HTTP read-only (GET limitado, payload nao preservado)</t>
        </is>
      </c>
      <c r="S315" t="inlineStr">
        <is>
          <t>2026-09-14T11:25:03Z</t>
        </is>
      </c>
      <c r="T315" t="inlineStr">
        <is>
          <t>PASS</t>
        </is>
      </c>
      <c r="U315" t="inlineStr"/>
      <c r="V315" t="inlineStr">
        <is>
          <t>T11;T1</t>
        </is>
      </c>
      <c r="W315" t="inlineStr">
        <is>
          <t>UMBRIA</t>
        </is>
      </c>
      <c r="X315" t="inlineStr"/>
      <c r="Y315" t="inlineStr">
        <is>
          <t>fiera agricoltura;zootecnia</t>
        </is>
      </c>
      <c r="Z315" t="inlineStr">
        <is>
          <t>titulo da pagina: Agriumbria
 Mostra Nazionale Agricoltura Zootecnia Alimentazione</t>
        </is>
      </c>
      <c r="AA315" t="inlineStr">
        <is>
          <t>meta description: Agriumbria 27-29 Marzo 2026 - Mostra Nazionale Agricoltura Zootecnia A</t>
        </is>
      </c>
      <c r="AB315" t="inlineStr">
        <is>
          <t>nao sorteada</t>
        </is>
      </c>
      <c r="AC315" t="inlineStr">
        <is>
          <t>nao sorteada</t>
        </is>
      </c>
      <c r="AE315" t="inlineStr"/>
      <c r="AF315" t="inlineStr"/>
    </row>
    <row r="316">
      <c r="A316" t="inlineStr">
        <is>
          <t>IT-DISC-2026-09-14-0315</t>
        </is>
      </c>
      <c r="B316" t="inlineStr">
        <is>
          <t>Institut Agricole Regional — Aosta</t>
        </is>
      </c>
      <c r="C316" t="inlineStr">
        <is>
          <t>ORGANIZACAO</t>
        </is>
      </c>
      <c r="D316" t="inlineStr">
        <is>
          <t>ORG</t>
        </is>
      </c>
      <c r="E316" t="inlineStr">
        <is>
          <t>Institut Agricole Regional</t>
        </is>
      </c>
      <c r="F316" t="inlineStr">
        <is>
          <t>https://www.iaraosta.it/</t>
        </is>
      </c>
      <c r="G316" t="inlineStr">
        <is>
          <t>https://www.iaraosta.it/</t>
        </is>
      </c>
      <c r="H316" t="inlineStr">
        <is>
          <t>https://www.iaraosta.it/</t>
        </is>
      </c>
      <c r="I316" t="n">
        <v>200</v>
      </c>
      <c r="J316" t="inlineStr">
        <is>
          <t>text/html</t>
        </is>
      </c>
      <c r="K316" t="n">
        <v>0</v>
      </c>
      <c r="L316" t="b">
        <v>1</v>
      </c>
      <c r="M316" t="b">
        <v>1</v>
      </c>
      <c r="N316" t="inlineStr">
        <is>
          <t>PROVED_DIRECT</t>
        </is>
      </c>
      <c r="O316" t="inlineStr">
        <is>
          <t>SIM</t>
        </is>
      </c>
      <c r="P316" t="inlineStr">
        <is>
          <t>SIM — dominio .it e conteudo em italiano</t>
        </is>
      </c>
      <c r="Q316" t="inlineStr">
        <is>
          <t>Institut Agricole Aosta</t>
        </is>
      </c>
      <c r="R316" t="inlineStr">
        <is>
          <t>sonda HTTP read-only (GET limitado, payload nao preservado)</t>
        </is>
      </c>
      <c r="S316" t="inlineStr">
        <is>
          <t>2026-09-14T11:04:46Z</t>
        </is>
      </c>
      <c r="T316" t="inlineStr">
        <is>
          <t>PASS</t>
        </is>
      </c>
      <c r="U316" t="inlineStr"/>
      <c r="V316" t="inlineStr">
        <is>
          <t>T5;T1;T7</t>
        </is>
      </c>
      <c r="W316" t="inlineStr">
        <is>
          <t>VALLE D'AOSTA</t>
        </is>
      </c>
      <c r="X316" t="inlineStr"/>
      <c r="Y316" t="inlineStr">
        <is>
          <t>ricerca;formazione;viticoltura alpina</t>
        </is>
      </c>
      <c r="Z316" t="inlineStr">
        <is>
          <t>titulo da pagina: Institut Agricole Aosta</t>
        </is>
      </c>
      <c r="AA316" t="inlineStr">
        <is>
          <t>dominio institucional do dono</t>
        </is>
      </c>
      <c r="AB316" t="inlineStr">
        <is>
          <t>nao sorteada</t>
        </is>
      </c>
      <c r="AC316" t="inlineStr">
        <is>
          <t>nao sorteada</t>
        </is>
      </c>
      <c r="AE316" t="inlineStr"/>
      <c r="AF316" t="inlineStr"/>
    </row>
    <row r="317">
      <c r="A317" t="inlineStr">
        <is>
          <t>IT-DISC-2026-09-14-0316</t>
        </is>
      </c>
      <c r="B317" t="inlineStr">
        <is>
          <t>Coldiretti Veneto</t>
        </is>
      </c>
      <c r="C317" t="inlineStr">
        <is>
          <t>ORGANIZACAO</t>
        </is>
      </c>
      <c r="D317" t="inlineStr">
        <is>
          <t>ORG</t>
        </is>
      </c>
      <c r="E317" t="inlineStr">
        <is>
          <t>Coldiretti</t>
        </is>
      </c>
      <c r="F317" t="inlineStr">
        <is>
          <t>https://veneto.coldiretti.it/</t>
        </is>
      </c>
      <c r="G317" t="inlineStr">
        <is>
          <t>https://veneto.coldiretti.it/</t>
        </is>
      </c>
      <c r="H317" t="inlineStr">
        <is>
          <t>https://veneto.coldiretti.it/</t>
        </is>
      </c>
      <c r="I317" t="n">
        <v>200</v>
      </c>
      <c r="J317" t="inlineStr">
        <is>
          <t>text/html</t>
        </is>
      </c>
      <c r="K317" t="n">
        <v>0</v>
      </c>
      <c r="L317" t="b">
        <v>1</v>
      </c>
      <c r="M317" t="b">
        <v>1</v>
      </c>
      <c r="N317" t="inlineStr">
        <is>
          <t>PROVED_DIRECT</t>
        </is>
      </c>
      <c r="O317" t="inlineStr">
        <is>
          <t>SIM</t>
        </is>
      </c>
      <c r="P317" t="inlineStr">
        <is>
          <t>SIM — dominio .it e conteudo em italiano</t>
        </is>
      </c>
      <c r="Q317" t="inlineStr">
        <is>
          <t>Coldiretti - VENETO</t>
        </is>
      </c>
      <c r="R317" t="inlineStr">
        <is>
          <t>sonda HTTP read-only (GET limitado, payload nao preservado)</t>
        </is>
      </c>
      <c r="S317" t="inlineStr">
        <is>
          <t>2026-09-14T11:25:16Z</t>
        </is>
      </c>
      <c r="T317" t="inlineStr">
        <is>
          <t>PASS</t>
        </is>
      </c>
      <c r="U317" t="inlineStr"/>
      <c r="V317" t="inlineStr">
        <is>
          <t>T12;T7</t>
        </is>
      </c>
      <c r="W317" t="inlineStr">
        <is>
          <t>VENETO</t>
        </is>
      </c>
      <c r="X317" t="inlineStr"/>
      <c r="Y317" t="inlineStr">
        <is>
          <t>organizzazione agricola regionale</t>
        </is>
      </c>
      <c r="Z317" t="inlineStr">
        <is>
          <t>titulo da pagina: Coldiretti - VENETO</t>
        </is>
      </c>
      <c r="AA317" t="inlineStr">
        <is>
          <t>meta description: Coltiviamo un grande amore. L&amp;#039;Italia</t>
        </is>
      </c>
      <c r="AB317" t="inlineStr">
        <is>
          <t>nao sorteada</t>
        </is>
      </c>
      <c r="AC317" t="inlineStr">
        <is>
          <t>nao sorteada</t>
        </is>
      </c>
      <c r="AE317" t="inlineStr"/>
      <c r="AF317" t="inlineStr"/>
    </row>
    <row r="318">
      <c r="A318" t="inlineStr">
        <is>
          <t>IT-DISC-2026-09-14-0317</t>
        </is>
      </c>
      <c r="B318" t="inlineStr">
        <is>
          <t>Consorzio Tutela Prosecco DOC</t>
        </is>
      </c>
      <c r="C318" t="inlineStr">
        <is>
          <t>ORGANIZACAO</t>
        </is>
      </c>
      <c r="D318" t="inlineStr">
        <is>
          <t>ORG</t>
        </is>
      </c>
      <c r="E318" t="inlineStr">
        <is>
          <t>Consorzio Tutela Prosecco DOC</t>
        </is>
      </c>
      <c r="F318" t="inlineStr">
        <is>
          <t>https://www.prosecco.it/</t>
        </is>
      </c>
      <c r="G318" t="inlineStr">
        <is>
          <t>https://www.prosecco.it/</t>
        </is>
      </c>
      <c r="H318" t="inlineStr">
        <is>
          <t>https://www.prosecco.it/it/</t>
        </is>
      </c>
      <c r="I318" t="n">
        <v>200</v>
      </c>
      <c r="J318" t="inlineStr">
        <is>
          <t>text/html</t>
        </is>
      </c>
      <c r="K318" t="n">
        <v>1</v>
      </c>
      <c r="L318" t="b">
        <v>1</v>
      </c>
      <c r="M318" t="b">
        <v>1</v>
      </c>
      <c r="N318" t="inlineStr">
        <is>
          <t>PROVED_DIRECT</t>
        </is>
      </c>
      <c r="O318" t="inlineStr">
        <is>
          <t>SIM</t>
        </is>
      </c>
      <c r="P318" t="inlineStr">
        <is>
          <t>SIM — dominio .it e conteudo em italiano</t>
        </is>
      </c>
      <c r="Q318" t="inlineStr">
        <is>
          <t>Home - Prosecco.it — Conegliano Valdobbiadene DOCG</t>
        </is>
      </c>
      <c r="R318" t="inlineStr">
        <is>
          <t>sonda HTTP read-only (GET limitado, payload nao preservado)</t>
        </is>
      </c>
      <c r="S318" t="inlineStr">
        <is>
          <t>2026-09-14T11:25:10Z</t>
        </is>
      </c>
      <c r="T318" t="inlineStr">
        <is>
          <t>PASS</t>
        </is>
      </c>
      <c r="U318" t="inlineStr"/>
      <c r="V318" t="inlineStr">
        <is>
          <t>T10;T1</t>
        </is>
      </c>
      <c r="W318" t="inlineStr">
        <is>
          <t>VENETO</t>
        </is>
      </c>
      <c r="X318" t="inlineStr">
        <is>
          <t>vino</t>
        </is>
      </c>
      <c r="Y318" t="inlineStr">
        <is>
          <t>vino;DOC;viticoltura</t>
        </is>
      </c>
      <c r="Z318" t="inlineStr">
        <is>
          <t>titulo da pagina: Home - Prosecco.it — Conegliano Valdobbiadene DOCG</t>
        </is>
      </c>
      <c r="AA318" t="inlineStr">
        <is>
          <t>meta description: Vino, cultura e viticoltura eroica: scopri le terre del Conegliano Val</t>
        </is>
      </c>
      <c r="AB318" t="inlineStr">
        <is>
          <t>nao sorteada</t>
        </is>
      </c>
      <c r="AC318" t="inlineStr">
        <is>
          <t>nao sorteada</t>
        </is>
      </c>
      <c r="AE318" t="inlineStr"/>
      <c r="AF318" t="inlineStr"/>
    </row>
    <row r="319">
      <c r="A319" t="inlineStr">
        <is>
          <t>IT-DISC-2026-09-14-0318</t>
        </is>
      </c>
      <c r="B319" t="inlineStr">
        <is>
          <t>Consorzio Tutela Vini Valpolicella</t>
        </is>
      </c>
      <c r="C319" t="inlineStr">
        <is>
          <t>ORGANIZACAO</t>
        </is>
      </c>
      <c r="D319" t="inlineStr">
        <is>
          <t>ORG</t>
        </is>
      </c>
      <c r="E319" t="inlineStr">
        <is>
          <t>Consorzio Tutela Vini Valpolicella</t>
        </is>
      </c>
      <c r="F319" t="inlineStr">
        <is>
          <t>https://www.consorziovalpolicella.it/</t>
        </is>
      </c>
      <c r="G319" t="inlineStr">
        <is>
          <t>https://www.consorziovalpolicella.it/</t>
        </is>
      </c>
      <c r="H319" t="inlineStr">
        <is>
          <t>https://landing.consorziovalpolicella.it/</t>
        </is>
      </c>
      <c r="I319" t="n">
        <v>200</v>
      </c>
      <c r="J319" t="inlineStr">
        <is>
          <t>text/html</t>
        </is>
      </c>
      <c r="K319" t="n">
        <v>1</v>
      </c>
      <c r="L319" t="b">
        <v>1</v>
      </c>
      <c r="M319" t="b">
        <v>1</v>
      </c>
      <c r="N319" t="inlineStr">
        <is>
          <t>PROVED_DIRECT</t>
        </is>
      </c>
      <c r="O319" t="inlineStr">
        <is>
          <t>SIM</t>
        </is>
      </c>
      <c r="P319" t="inlineStr">
        <is>
          <t>SIM — dominio .it e conteudo em italiano</t>
        </is>
      </c>
      <c r="Q319" t="inlineStr">
        <is>
          <t>Consorzio della Valpolicella - Landing</t>
        </is>
      </c>
      <c r="R319" t="inlineStr">
        <is>
          <t>sonda HTTP read-only (GET limitado, payload nao preservado)</t>
        </is>
      </c>
      <c r="S319" t="inlineStr">
        <is>
          <t>2026-09-14T11:25:09Z</t>
        </is>
      </c>
      <c r="T319" t="inlineStr">
        <is>
          <t>PASS</t>
        </is>
      </c>
      <c r="U319" t="inlineStr"/>
      <c r="V319" t="inlineStr">
        <is>
          <t>T10;T1</t>
        </is>
      </c>
      <c r="W319" t="inlineStr">
        <is>
          <t>VENETO</t>
        </is>
      </c>
      <c r="X319" t="inlineStr">
        <is>
          <t>vino</t>
        </is>
      </c>
      <c r="Y319" t="inlineStr">
        <is>
          <t>vino;DOC;viticoltura</t>
        </is>
      </c>
      <c r="Z319" t="inlineStr">
        <is>
          <t>titulo da pagina: Consorzio della Valpolicella - Landing</t>
        </is>
      </c>
      <c r="AA319" t="inlineStr">
        <is>
          <t>meta description: Consorzio della Valpolicella - meta description landing page</t>
        </is>
      </c>
      <c r="AB319" t="inlineStr">
        <is>
          <t>nao sorteada</t>
        </is>
      </c>
      <c r="AC319" t="inlineStr">
        <is>
          <t>nao sorteada</t>
        </is>
      </c>
      <c r="AE319" t="inlineStr"/>
      <c r="AF319" t="inlineStr"/>
    </row>
    <row r="320">
      <c r="A320" t="inlineStr">
        <is>
          <t>IT-DISC-2026-09-14-0319</t>
        </is>
      </c>
      <c r="B320" t="inlineStr">
        <is>
          <t>Consorzio di Bonifica Piave</t>
        </is>
      </c>
      <c r="C320" t="inlineStr">
        <is>
          <t>ORGANIZACAO</t>
        </is>
      </c>
      <c r="D320" t="inlineStr">
        <is>
          <t>ORG</t>
        </is>
      </c>
      <c r="E320" t="inlineStr">
        <is>
          <t>Consorzio di Bonifica Piave</t>
        </is>
      </c>
      <c r="F320" t="inlineStr">
        <is>
          <t>https://www.consorziopiave.it/</t>
        </is>
      </c>
      <c r="G320" t="inlineStr">
        <is>
          <t>https://www.consorziopiave.it/</t>
        </is>
      </c>
      <c r="H320" t="inlineStr">
        <is>
          <t>https://consorziopiave.it/</t>
        </is>
      </c>
      <c r="I320" t="n">
        <v>200</v>
      </c>
      <c r="J320" t="inlineStr">
        <is>
          <t>text/html</t>
        </is>
      </c>
      <c r="K320" t="n">
        <v>1</v>
      </c>
      <c r="L320" t="b">
        <v>1</v>
      </c>
      <c r="M320" t="b">
        <v>1</v>
      </c>
      <c r="N320" t="inlineStr">
        <is>
          <t>PROVED_DIRECT</t>
        </is>
      </c>
      <c r="O320" t="inlineStr">
        <is>
          <t>SIM</t>
        </is>
      </c>
      <c r="P320" t="inlineStr">
        <is>
          <t>SIM — dominio .it e conteudo em italiano</t>
        </is>
      </c>
      <c r="Q320" t="inlineStr">
        <is>
          <t>Consorzio Piave &amp;#8211; Il Consorzio di bonifica Piave si occupa della difesa id</t>
        </is>
      </c>
      <c r="R320" t="inlineStr">
        <is>
          <t>sonda HTTP read-only (GET limitado, payload nao preservado)</t>
        </is>
      </c>
      <c r="S320" t="inlineStr">
        <is>
          <t>2026-09-14T11:25:14Z</t>
        </is>
      </c>
      <c r="T320" t="inlineStr">
        <is>
          <t>PASS</t>
        </is>
      </c>
      <c r="U320" t="inlineStr"/>
      <c r="V320" t="inlineStr">
        <is>
          <t>T2;T1</t>
        </is>
      </c>
      <c r="W320" t="inlineStr">
        <is>
          <t>VENETO</t>
        </is>
      </c>
      <c r="X320" t="inlineStr"/>
      <c r="Y320" t="inlineStr">
        <is>
          <t>irrigazione;acqua</t>
        </is>
      </c>
      <c r="Z320" t="inlineStr">
        <is>
          <t>titulo da pagina: Consorzio Piave &amp;#8211; Il Consorzio di bonifica Piave si occupa della</t>
        </is>
      </c>
      <c r="AA320" t="inlineStr">
        <is>
          <t>meta description: Chi siamo     Quasi 600 anni ci dividono da quando il bisogno di acqua</t>
        </is>
      </c>
      <c r="AB320" t="inlineStr">
        <is>
          <t>nao sorteada</t>
        </is>
      </c>
      <c r="AC320" t="inlineStr">
        <is>
          <t>nao sorteada</t>
        </is>
      </c>
      <c r="AE320" t="inlineStr"/>
      <c r="AF320" t="inlineStr"/>
    </row>
    <row r="321">
      <c r="A321" t="inlineStr">
        <is>
          <t>IT-DISC-2026-09-14-0320</t>
        </is>
      </c>
      <c r="B321" t="inlineStr">
        <is>
          <t>Serbios</t>
        </is>
      </c>
      <c r="C321" t="inlineStr">
        <is>
          <t>ORGANIZACAO</t>
        </is>
      </c>
      <c r="D321" t="inlineStr">
        <is>
          <t>ORG</t>
        </is>
      </c>
      <c r="E321" t="inlineStr">
        <is>
          <t>Serbios</t>
        </is>
      </c>
      <c r="F321" t="inlineStr">
        <is>
          <t>https://www.serbios.it/</t>
        </is>
      </c>
      <c r="G321" t="inlineStr">
        <is>
          <t>https://www.serbios.it/</t>
        </is>
      </c>
      <c r="H321" t="inlineStr">
        <is>
          <t>https://www.serbios.it/</t>
        </is>
      </c>
      <c r="I321" t="n">
        <v>200</v>
      </c>
      <c r="J321" t="inlineStr">
        <is>
          <t>text/html</t>
        </is>
      </c>
      <c r="K321" t="n">
        <v>0</v>
      </c>
      <c r="L321" t="b">
        <v>1</v>
      </c>
      <c r="M321" t="b">
        <v>1</v>
      </c>
      <c r="N321" t="inlineStr">
        <is>
          <t>PROVED_DIRECT</t>
        </is>
      </c>
      <c r="O321" t="inlineStr">
        <is>
          <t>SIM</t>
        </is>
      </c>
      <c r="P321" t="inlineStr">
        <is>
          <t>SIM — dominio .it e conteudo em italiano</t>
        </is>
      </c>
      <c r="Q321" t="inlineStr">
        <is>
          <t>Homepage | Serbios Greenexta Group</t>
        </is>
      </c>
      <c r="R321" t="inlineStr">
        <is>
          <t>sonda HTTP read-only (GET limitado, payload nao preservado)</t>
        </is>
      </c>
      <c r="S321" t="inlineStr">
        <is>
          <t>2026-09-14T11:25:07Z</t>
        </is>
      </c>
      <c r="T321" t="inlineStr">
        <is>
          <t>PASS</t>
        </is>
      </c>
      <c r="U321" t="inlineStr"/>
      <c r="V321" t="inlineStr">
        <is>
          <t>T9;T3</t>
        </is>
      </c>
      <c r="W321" t="inlineStr">
        <is>
          <t>VENETO</t>
        </is>
      </c>
      <c r="X321" t="inlineStr"/>
      <c r="Y321" t="inlineStr">
        <is>
          <t>biocontrollo;fitosanitari</t>
        </is>
      </c>
      <c r="Z321" t="inlineStr">
        <is>
          <t>titulo da pagina: Homepage | Serbios Greenexta Group</t>
        </is>
      </c>
      <c r="AA321" t="inlineStr">
        <is>
          <t>meta description: Scopri i nostri prodotti per il biocontrollo e le strategie per la dif</t>
        </is>
      </c>
      <c r="AB321" t="inlineStr">
        <is>
          <t>nao sorteada</t>
        </is>
      </c>
      <c r="AC321" t="inlineStr">
        <is>
          <t>nao sorteada</t>
        </is>
      </c>
      <c r="AE321" t="inlineStr"/>
      <c r="AF321" t="inlineStr"/>
    </row>
    <row r="322">
      <c r="A322" t="inlineStr">
        <is>
          <t>IT-DISC-2026-09-14-0321</t>
        </is>
      </c>
      <c r="B322" t="inlineStr">
        <is>
          <t>Vinitaly</t>
        </is>
      </c>
      <c r="C322" t="inlineStr">
        <is>
          <t>ORGANIZACAO</t>
        </is>
      </c>
      <c r="D322" t="inlineStr">
        <is>
          <t>ORG</t>
        </is>
      </c>
      <c r="E322" t="inlineStr">
        <is>
          <t>Veronafiere</t>
        </is>
      </c>
      <c r="F322" t="inlineStr">
        <is>
          <t>https://www.vinitaly.com/</t>
        </is>
      </c>
      <c r="G322" t="inlineStr">
        <is>
          <t>https://www.vinitaly.com/</t>
        </is>
      </c>
      <c r="H322" t="inlineStr">
        <is>
          <t>https://www.vinitaly.com/</t>
        </is>
      </c>
      <c r="I322" t="n">
        <v>200</v>
      </c>
      <c r="J322" t="inlineStr">
        <is>
          <t>text/html</t>
        </is>
      </c>
      <c r="K322" t="n">
        <v>0</v>
      </c>
      <c r="L322" t="b">
        <v>1</v>
      </c>
      <c r="M322" t="b">
        <v>1</v>
      </c>
      <c r="N322" t="inlineStr">
        <is>
          <t>PROVED_DIRECT</t>
        </is>
      </c>
      <c r="O322" t="inlineStr">
        <is>
          <t>SIM</t>
        </is>
      </c>
      <c r="P322" t="inlineStr">
        <is>
          <t>SIM — dono italiano identificado na pagina</t>
        </is>
      </c>
      <c r="Q322" t="inlineStr">
        <is>
          <t>Vinitaly 2027 | 11 - 14 aprile</t>
        </is>
      </c>
      <c r="R322" t="inlineStr">
        <is>
          <t>sonda HTTP read-only (GET limitado, payload nao preservado)</t>
        </is>
      </c>
      <c r="S322" t="inlineStr">
        <is>
          <t>2026-09-14T11:25:02Z</t>
        </is>
      </c>
      <c r="T322" t="inlineStr">
        <is>
          <t>PASS</t>
        </is>
      </c>
      <c r="U322" t="inlineStr"/>
      <c r="V322" t="inlineStr">
        <is>
          <t>T11;T10</t>
        </is>
      </c>
      <c r="W322" t="inlineStr">
        <is>
          <t>VENETO</t>
        </is>
      </c>
      <c r="X322" t="inlineStr">
        <is>
          <t>vino</t>
        </is>
      </c>
      <c r="Y322" t="inlineStr">
        <is>
          <t>fiera vino</t>
        </is>
      </c>
      <c r="Z322" t="inlineStr">
        <is>
          <t>titulo da pagina: Vinitaly 2027 | 11 - 14 aprile</t>
        </is>
      </c>
      <c r="AA322" t="inlineStr">
        <is>
          <t>meta description: Vinitaly, il salone internazionale del vino e dei distillati, si svolg</t>
        </is>
      </c>
      <c r="AB322" t="inlineStr">
        <is>
          <t>nao sorteada</t>
        </is>
      </c>
      <c r="AC322" t="inlineStr">
        <is>
          <t>nao sorteada</t>
        </is>
      </c>
      <c r="AE322" t="inlineStr"/>
      <c r="AF322" t="inlineStr"/>
    </row>
    <row r="323">
      <c r="A323" t="inlineStr">
        <is>
          <t>IT-DISC-2026-09-14-0322</t>
        </is>
      </c>
      <c r="B323" t="inlineStr">
        <is>
          <t>Consorzio Tutela Vini d'Abruzzo — Youtube ufficiale</t>
        </is>
      </c>
      <c r="C323" t="inlineStr">
        <is>
          <t>YOUTUBE</t>
        </is>
      </c>
      <c r="D323" t="inlineStr">
        <is>
          <t>ORG</t>
        </is>
      </c>
      <c r="E323" t="inlineStr">
        <is>
          <t>Consorzio Tutela Vini d'Abruzzo</t>
        </is>
      </c>
      <c r="F323" t="inlineStr">
        <is>
          <t>https://www.youtube.com/@VinidAbruzzo</t>
        </is>
      </c>
      <c r="G323" t="inlineStr">
        <is>
          <t>https://www.youtube.com/@VinidAbruzzo</t>
        </is>
      </c>
      <c r="H323" t="inlineStr">
        <is>
          <t>https://www.youtube.com/@VinidAbruzzo</t>
        </is>
      </c>
      <c r="I323" t="n">
        <v>200</v>
      </c>
      <c r="J323" t="inlineStr">
        <is>
          <t>text/html</t>
        </is>
      </c>
      <c r="K323" t="n">
        <v>0</v>
      </c>
      <c r="L323" t="b">
        <v>1</v>
      </c>
      <c r="M323" t="b">
        <v>1</v>
      </c>
      <c r="N323" t="inlineStr">
        <is>
          <t>PROVED_BY_OWNER_SITE</t>
        </is>
      </c>
      <c r="O323" t="inlineStr">
        <is>
          <t>SIM</t>
        </is>
      </c>
      <c r="P323" t="inlineStr">
        <is>
          <t>SIM — declarado por dono italiano no proprio site</t>
        </is>
      </c>
      <c r="Q323" t="inlineStr">
        <is>
          <t>https://www.vinidabruzzo.it/</t>
        </is>
      </c>
      <c r="R323" t="inlineStr">
        <is>
          <t>sonda HTTP read-only (GET limitado, payload nao preservado) + id estavel da plataforma extraido de og:/canonical + declaracao do perfil no site oficial do dono (rota publica, secao 10)</t>
        </is>
      </c>
      <c r="S323" t="inlineStr">
        <is>
          <t>2026-09-14T11:25:45Z</t>
        </is>
      </c>
      <c r="T323" t="inlineStr">
        <is>
          <t>PASS</t>
        </is>
      </c>
      <c r="U323" t="inlineStr"/>
      <c r="V323" t="inlineStr">
        <is>
          <t>T10;T1</t>
        </is>
      </c>
      <c r="W323" t="inlineStr">
        <is>
          <t>ABRUZZO</t>
        </is>
      </c>
      <c r="X323" t="inlineStr">
        <is>
          <t>vino</t>
        </is>
      </c>
      <c r="Y323" t="inlineStr">
        <is>
          <t>vino;DOC</t>
        </is>
      </c>
      <c r="Z323" t="inlineStr">
        <is>
          <t>platform_id UCJi1Vrelq8obdmS_UXP3T2g</t>
        </is>
      </c>
      <c r="AA323" t="inlineStr">
        <is>
          <t>site oficial do dono: https://www.vinidabruzzo.it/</t>
        </is>
      </c>
      <c r="AB323" t="inlineStr">
        <is>
          <t>nao sorteada</t>
        </is>
      </c>
      <c r="AC323" t="inlineStr">
        <is>
          <t>nao sorteada</t>
        </is>
      </c>
      <c r="AD323" t="inlineStr">
        <is>
          <t>UCJi1Vrelq8obdmS_UXP3T2g</t>
        </is>
      </c>
      <c r="AE323" t="inlineStr"/>
      <c r="AF323" t="inlineStr"/>
    </row>
    <row r="324">
      <c r="A324" t="inlineStr">
        <is>
          <t>IT-DISC-2026-09-14-0323</t>
        </is>
      </c>
      <c r="B324" t="inlineStr">
        <is>
          <t>Valagro — Youtube ufficiale</t>
        </is>
      </c>
      <c r="C324" t="inlineStr">
        <is>
          <t>YOUTUBE</t>
        </is>
      </c>
      <c r="D324" t="inlineStr">
        <is>
          <t>ORG</t>
        </is>
      </c>
      <c r="E324" t="inlineStr">
        <is>
          <t>Valagro — Syngenta Group</t>
        </is>
      </c>
      <c r="F324" t="inlineStr">
        <is>
          <t>https://www.youtube.com/@syngenta</t>
        </is>
      </c>
      <c r="G324" t="inlineStr">
        <is>
          <t>https://www.youtube.com/@syngenta</t>
        </is>
      </c>
      <c r="H324" t="inlineStr">
        <is>
          <t>https://www.youtube.com/@syngenta</t>
        </is>
      </c>
      <c r="I324" t="n">
        <v>200</v>
      </c>
      <c r="J324" t="inlineStr">
        <is>
          <t>text/html</t>
        </is>
      </c>
      <c r="K324" t="n">
        <v>0</v>
      </c>
      <c r="L324" t="b">
        <v>1</v>
      </c>
      <c r="M324" t="b">
        <v>1</v>
      </c>
      <c r="N324" t="inlineStr">
        <is>
          <t>PROVED_BY_OWNER_SITE</t>
        </is>
      </c>
      <c r="O324" t="inlineStr">
        <is>
          <t>SIM</t>
        </is>
      </c>
      <c r="P324" t="inlineStr">
        <is>
          <t>SIM — declarado por dono italiano no proprio site</t>
        </is>
      </c>
      <c r="Q324" t="inlineStr">
        <is>
          <t>https://www.valagro.com/it/</t>
        </is>
      </c>
      <c r="R324" t="inlineStr">
        <is>
          <t>sonda HTTP read-only (GET limitado, payload nao preservado) + id estavel da plataforma extraido de og:/canonical + declaracao do perfil no site oficial do dono (rota publica, secao 10)</t>
        </is>
      </c>
      <c r="S324" t="inlineStr">
        <is>
          <t>2026-09-14T11:25:41Z</t>
        </is>
      </c>
      <c r="T324" t="inlineStr">
        <is>
          <t>PASS</t>
        </is>
      </c>
      <c r="U324" t="inlineStr"/>
      <c r="V324" t="inlineStr">
        <is>
          <t>T9;T10</t>
        </is>
      </c>
      <c r="W324" t="inlineStr">
        <is>
          <t>ABRUZZO</t>
        </is>
      </c>
      <c r="X324" t="inlineStr"/>
      <c r="Y324" t="inlineStr">
        <is>
          <t>biostimolanti;nutrizione</t>
        </is>
      </c>
      <c r="Z324" t="inlineStr">
        <is>
          <t>platform_id UCrH6tAf1fxYyrhxW5erXd9A</t>
        </is>
      </c>
      <c r="AA324" t="inlineStr">
        <is>
          <t>site oficial do dono: https://www.valagro.com/it/</t>
        </is>
      </c>
      <c r="AB324" t="inlineStr">
        <is>
          <t>nao sorteada</t>
        </is>
      </c>
      <c r="AC324" t="inlineStr">
        <is>
          <t>SIM</t>
        </is>
      </c>
      <c r="AD324" t="inlineStr">
        <is>
          <t>UCrH6tAf1fxYyrhxW5erXd9A</t>
        </is>
      </c>
      <c r="AE324" t="inlineStr"/>
      <c r="AF324" t="inlineStr"/>
    </row>
    <row r="325">
      <c r="A325" t="inlineStr">
        <is>
          <t>IT-DISC-2026-09-14-0324</t>
        </is>
      </c>
      <c r="B325" t="inlineStr">
        <is>
          <t>ARSAC Calabria — Azienda Regionale per lo Sviluppo dell'Agricoltura Calabrese — Youtube ufficiale</t>
        </is>
      </c>
      <c r="C325" t="inlineStr">
        <is>
          <t>YOUTUBE</t>
        </is>
      </c>
      <c r="D325" t="inlineStr">
        <is>
          <t>ORG</t>
        </is>
      </c>
      <c r="E325" t="inlineStr">
        <is>
          <t>Regione Calabria</t>
        </is>
      </c>
      <c r="F325" t="inlineStr">
        <is>
          <t>https://www.youtube.com/channel/UCEg22ii3Awy6eyRybNqO-8Q</t>
        </is>
      </c>
      <c r="G325" t="inlineStr">
        <is>
          <t>https://www.youtube.com/channel/UCEg22ii3Awy6eyRybNqO-8Q</t>
        </is>
      </c>
      <c r="H325" t="inlineStr">
        <is>
          <t>https://www.youtube.com/channel/UCEg22ii3Awy6eyRybNqO-8Q</t>
        </is>
      </c>
      <c r="I325" t="n">
        <v>200</v>
      </c>
      <c r="J325" t="inlineStr">
        <is>
          <t>text/html</t>
        </is>
      </c>
      <c r="K325" t="n">
        <v>0</v>
      </c>
      <c r="L325" t="b">
        <v>1</v>
      </c>
      <c r="M325" t="b">
        <v>1</v>
      </c>
      <c r="N325" t="inlineStr">
        <is>
          <t>PROVED_BY_OWNER_SITE</t>
        </is>
      </c>
      <c r="O325" t="inlineStr">
        <is>
          <t>SIM</t>
        </is>
      </c>
      <c r="P325" t="inlineStr">
        <is>
          <t>SIM — declarado por dono italiano no proprio site</t>
        </is>
      </c>
      <c r="Q325" t="inlineStr">
        <is>
          <t>https://www.arsac.calabria.it/</t>
        </is>
      </c>
      <c r="R325" t="inlineStr">
        <is>
          <t>sonda HTTP read-only (GET limitado, payload nao preservado) + id estavel da plataforma extraido de og:/canonical + declaracao do perfil no site oficial do dono (rota publica, secao 10)</t>
        </is>
      </c>
      <c r="S325" t="inlineStr">
        <is>
          <t>2026-09-14T11:25:28Z</t>
        </is>
      </c>
      <c r="T325" t="inlineStr">
        <is>
          <t>PASS</t>
        </is>
      </c>
      <c r="U325" t="inlineStr"/>
      <c r="V325" t="inlineStr">
        <is>
          <t>T1;T7;T3</t>
        </is>
      </c>
      <c r="W325" t="inlineStr">
        <is>
          <t>CALABRIA</t>
        </is>
      </c>
      <c r="X325" t="inlineStr"/>
      <c r="Y325" t="inlineStr">
        <is>
          <t>assistenza tecnica;divulgazione;fitosanitario</t>
        </is>
      </c>
      <c r="Z325" t="inlineStr">
        <is>
          <t>platform_id UCEg22ii3Awy6eyRybNqO-8Q</t>
        </is>
      </c>
      <c r="AA325" t="inlineStr">
        <is>
          <t>site oficial do dono: https://www.arsac.calabria.it/</t>
        </is>
      </c>
      <c r="AB325" t="inlineStr">
        <is>
          <t>nao sorteada</t>
        </is>
      </c>
      <c r="AC325" t="inlineStr">
        <is>
          <t>nao sorteada</t>
        </is>
      </c>
      <c r="AD325" t="inlineStr">
        <is>
          <t>UCEg22ii3Awy6eyRybNqO-8Q</t>
        </is>
      </c>
      <c r="AE325" t="inlineStr"/>
      <c r="AF325" t="inlineStr"/>
    </row>
    <row r="326">
      <c r="A326" t="inlineStr">
        <is>
          <t>IT-DISC-2026-09-14-0325</t>
        </is>
      </c>
      <c r="B326" t="inlineStr">
        <is>
          <t>CNR ISAFOM — Istituto per i Sistemi Agricoli e Forestali del Mediterraneo — Youtube ufficiale</t>
        </is>
      </c>
      <c r="C326" t="inlineStr">
        <is>
          <t>YOUTUBE</t>
        </is>
      </c>
      <c r="D326" t="inlineStr">
        <is>
          <t>ORG</t>
        </is>
      </c>
      <c r="E326" t="inlineStr">
        <is>
          <t>CNR</t>
        </is>
      </c>
      <c r="F326" t="inlineStr">
        <is>
          <t>https://www.youtube.com/channel/UCOiX7jy7G-NMPtaA9QaNQrg</t>
        </is>
      </c>
      <c r="G326" t="inlineStr">
        <is>
          <t>https://www.youtube.com/channel/UCOiX7jy7G-NMPtaA9QaNQrg</t>
        </is>
      </c>
      <c r="H326" t="inlineStr">
        <is>
          <t>https://www.youtube.com/channel/UCOiX7jy7G-NMPtaA9QaNQrg</t>
        </is>
      </c>
      <c r="I326" t="n">
        <v>200</v>
      </c>
      <c r="J326" t="inlineStr">
        <is>
          <t>text/html</t>
        </is>
      </c>
      <c r="K326" t="n">
        <v>0</v>
      </c>
      <c r="L326" t="b">
        <v>1</v>
      </c>
      <c r="M326" t="b">
        <v>1</v>
      </c>
      <c r="N326" t="inlineStr">
        <is>
          <t>PROVED_BY_OWNER_SITE</t>
        </is>
      </c>
      <c r="O326" t="inlineStr">
        <is>
          <t>SIM</t>
        </is>
      </c>
      <c r="P326" t="inlineStr">
        <is>
          <t>SIM — declarado por dono italiano no proprio site</t>
        </is>
      </c>
      <c r="Q326" t="inlineStr">
        <is>
          <t>https://www.isafom.cnr.it/</t>
        </is>
      </c>
      <c r="R326" t="inlineStr">
        <is>
          <t>sonda HTTP read-only (GET limitado, payload nao preservado) + id estavel da plataforma extraido de og:/canonical + declaracao do perfil no site oficial do dono (rota publica, secao 10)</t>
        </is>
      </c>
      <c r="S326" t="inlineStr">
        <is>
          <t>2026-09-14T11:25:22Z</t>
        </is>
      </c>
      <c r="T326" t="inlineStr">
        <is>
          <t>PASS</t>
        </is>
      </c>
      <c r="U326" t="inlineStr"/>
      <c r="V326" t="inlineStr">
        <is>
          <t>T2;T1;T5</t>
        </is>
      </c>
      <c r="W326" t="inlineStr">
        <is>
          <t>CAMPANIA</t>
        </is>
      </c>
      <c r="X326" t="inlineStr"/>
      <c r="Y326" t="inlineStr">
        <is>
          <t>agrosistemi mediterranei;acqua;suolo</t>
        </is>
      </c>
      <c r="Z326" t="inlineStr">
        <is>
          <t>platform_id UCOiX7jy7G-NMPtaA9QaNQrg</t>
        </is>
      </c>
      <c r="AA326" t="inlineStr">
        <is>
          <t>site oficial do dono: https://www.isafom.cnr.it/</t>
        </is>
      </c>
      <c r="AB326" t="inlineStr">
        <is>
          <t>nao sorteada</t>
        </is>
      </c>
      <c r="AC326" t="inlineStr">
        <is>
          <t>nao sorteada</t>
        </is>
      </c>
      <c r="AD326" t="inlineStr">
        <is>
          <t>UCOiX7jy7G-NMPtaA9QaNQrg</t>
        </is>
      </c>
      <c r="AE326" t="inlineStr"/>
      <c r="AF326" t="inlineStr"/>
    </row>
    <row r="327">
      <c r="A327" t="inlineStr">
        <is>
          <t>IT-DISC-2026-09-14-0326</t>
        </is>
      </c>
      <c r="B327" t="inlineStr">
        <is>
          <t>UNINA Dipartimento di Agraria — Portici — Youtube ufficiale</t>
        </is>
      </c>
      <c r="C327" t="inlineStr">
        <is>
          <t>YOUTUBE</t>
        </is>
      </c>
      <c r="D327" t="inlineStr">
        <is>
          <t>ORG</t>
        </is>
      </c>
      <c r="E327" t="inlineStr">
        <is>
          <t>Universita di Napoli Federico II</t>
        </is>
      </c>
      <c r="F327" t="inlineStr">
        <is>
          <t>https://www.youtube.com/channel/UC3HdHdHUZomg1l3K_UWv9PQ</t>
        </is>
      </c>
      <c r="G327" t="inlineStr">
        <is>
          <t>https://www.youtube.com/channel/UC3HdHdHUZomg1l3K_UWv9PQ</t>
        </is>
      </c>
      <c r="H327" t="inlineStr">
        <is>
          <t>https://www.youtube.com/channel/UC3HdHdHUZomg1l3K_UWv9PQ</t>
        </is>
      </c>
      <c r="I327" t="n">
        <v>200</v>
      </c>
      <c r="J327" t="inlineStr">
        <is>
          <t>text/html</t>
        </is>
      </c>
      <c r="K327" t="n">
        <v>0</v>
      </c>
      <c r="L327" t="b">
        <v>1</v>
      </c>
      <c r="M327" t="b">
        <v>1</v>
      </c>
      <c r="N327" t="inlineStr">
        <is>
          <t>PROVED_BY_OWNER_SITE</t>
        </is>
      </c>
      <c r="O327" t="inlineStr">
        <is>
          <t>SIM</t>
        </is>
      </c>
      <c r="P327" t="inlineStr">
        <is>
          <t>SIM — declarado por dono italiano no proprio site</t>
        </is>
      </c>
      <c r="Q327" t="inlineStr">
        <is>
          <t>https://www.agraria.unina.it/</t>
        </is>
      </c>
      <c r="R327" t="inlineStr">
        <is>
          <t>sonda HTTP read-only (GET limitado, payload nao preservado) + id estavel da plataforma extraido de og:/canonical + declaracao do perfil no site oficial do dono (rota publica, secao 10)</t>
        </is>
      </c>
      <c r="S327" t="inlineStr">
        <is>
          <t>2026-09-14T11:25:34Z</t>
        </is>
      </c>
      <c r="T327" t="inlineStr">
        <is>
          <t>PASS</t>
        </is>
      </c>
      <c r="U327" t="inlineStr"/>
      <c r="V327" t="inlineStr">
        <is>
          <t>T5;T6;T3</t>
        </is>
      </c>
      <c r="W327" t="inlineStr">
        <is>
          <t>CAMPANIA</t>
        </is>
      </c>
      <c r="X327" t="inlineStr"/>
      <c r="Y327" t="inlineStr">
        <is>
          <t>agraria;entomologia;patologia</t>
        </is>
      </c>
      <c r="Z327" t="inlineStr">
        <is>
          <t>platform_id UC3HdHdHUZomg1l3K_UWv9PQ</t>
        </is>
      </c>
      <c r="AA327" t="inlineStr">
        <is>
          <t>site oficial do dono: https://www.agraria.unina.it/</t>
        </is>
      </c>
      <c r="AB327" t="inlineStr">
        <is>
          <t>CONFIRMA</t>
        </is>
      </c>
      <c r="AC327" t="inlineStr">
        <is>
          <t>nao sorteada</t>
        </is>
      </c>
      <c r="AD327" t="inlineStr">
        <is>
          <t>UC3HdHdHUZomg1l3K_UWv9PQ</t>
        </is>
      </c>
      <c r="AE327" t="inlineStr"/>
      <c r="AF327" t="inlineStr"/>
    </row>
    <row r="328">
      <c r="A328" t="inlineStr">
        <is>
          <t>IT-DISC-2026-09-14-0327</t>
        </is>
      </c>
      <c r="B328" t="inlineStr">
        <is>
          <t>AgroNotizie — canale YouTube</t>
        </is>
      </c>
      <c r="C328" t="inlineStr">
        <is>
          <t>YOUTUBE</t>
        </is>
      </c>
      <c r="D328" t="inlineStr">
        <is>
          <t>ORG</t>
        </is>
      </c>
      <c r="E328" t="inlineStr">
        <is>
          <t>Image Line</t>
        </is>
      </c>
      <c r="F328" t="inlineStr">
        <is>
          <t>https://www.youtube.com/@AgroNotizie</t>
        </is>
      </c>
      <c r="G328" t="inlineStr">
        <is>
          <t>https://www.youtube.com/@AgroNotizie</t>
        </is>
      </c>
      <c r="H328" t="inlineStr">
        <is>
          <t>https://www.youtube.com/@AgroNotizie</t>
        </is>
      </c>
      <c r="I328" t="n">
        <v>200</v>
      </c>
      <c r="J328" t="inlineStr">
        <is>
          <t>text/html</t>
        </is>
      </c>
      <c r="K328" t="n">
        <v>0</v>
      </c>
      <c r="L328" t="b">
        <v>1</v>
      </c>
      <c r="M328" t="b">
        <v>1</v>
      </c>
      <c r="N328" t="inlineStr">
        <is>
          <t>PROVED_DIRECT_PLATFORM_ID</t>
        </is>
      </c>
      <c r="O328" t="inlineStr">
        <is>
          <t>SIM</t>
        </is>
      </c>
      <c r="P328" t="inlineStr">
        <is>
          <t>SIM — dono italiano identificado na pagina</t>
        </is>
      </c>
      <c r="Q328" t="inlineStr">
        <is>
          <t>agronotizie - YouTube</t>
        </is>
      </c>
      <c r="R328" t="inlineStr">
        <is>
          <t>sonda HTTP read-only (GET limitado, payload nao preservado) + id estavel da plataforma extraido de og:/canonical</t>
        </is>
      </c>
      <c r="S328" t="inlineStr">
        <is>
          <t>2026-09-14T11:22:27Z</t>
        </is>
      </c>
      <c r="T328" t="inlineStr">
        <is>
          <t>PASS</t>
        </is>
      </c>
      <c r="U328" t="inlineStr"/>
      <c r="V328" t="inlineStr">
        <is>
          <t>T8;T3;T1</t>
        </is>
      </c>
      <c r="W328" t="inlineStr">
        <is>
          <t>EMILIA-ROMAGNA</t>
        </is>
      </c>
      <c r="X328" t="inlineStr"/>
      <c r="Y328" t="inlineStr">
        <is>
          <t>notizie agricole;tecnica</t>
        </is>
      </c>
      <c r="Z328" t="inlineStr">
        <is>
          <t>platform_id UC5lOJg4v2kFjMunah3fL23g</t>
        </is>
      </c>
      <c r="AA328" t="inlineStr">
        <is>
          <t>meta description: Condividi i tuoi video con gli amici, i familiari e il mondo intero</t>
        </is>
      </c>
      <c r="AB328" t="inlineStr">
        <is>
          <t>nao sorteada</t>
        </is>
      </c>
      <c r="AC328" t="inlineStr">
        <is>
          <t>nao sorteada</t>
        </is>
      </c>
      <c r="AD328" t="inlineStr">
        <is>
          <t>UC5lOJg4v2kFjMunah3fL23g</t>
        </is>
      </c>
      <c r="AE328" t="inlineStr"/>
      <c r="AF328" t="inlineStr"/>
    </row>
    <row r="329">
      <c r="A329" t="inlineStr">
        <is>
          <t>IT-DISC-2026-09-14-0328</t>
        </is>
      </c>
      <c r="B329" t="inlineStr">
        <is>
          <t>CRPV — Centro Ricerche Produzioni Vegetali — Youtube ufficiale</t>
        </is>
      </c>
      <c r="C329" t="inlineStr">
        <is>
          <t>YOUTUBE</t>
        </is>
      </c>
      <c r="D329" t="inlineStr">
        <is>
          <t>ORG</t>
        </is>
      </c>
      <c r="E329" t="inlineStr">
        <is>
          <t>CRPV</t>
        </is>
      </c>
      <c r="F329" t="inlineStr">
        <is>
          <t>https://www.youtube.com/@rinovaricerche</t>
        </is>
      </c>
      <c r="G329" t="inlineStr">
        <is>
          <t>https://www.youtube.com/@rinovaricerche</t>
        </is>
      </c>
      <c r="H329" t="inlineStr">
        <is>
          <t>https://www.youtube.com/@rinovaricerche</t>
        </is>
      </c>
      <c r="I329" t="n">
        <v>200</v>
      </c>
      <c r="J329" t="inlineStr">
        <is>
          <t>text/html</t>
        </is>
      </c>
      <c r="K329" t="n">
        <v>0</v>
      </c>
      <c r="L329" t="b">
        <v>1</v>
      </c>
      <c r="M329" t="b">
        <v>1</v>
      </c>
      <c r="N329" t="inlineStr">
        <is>
          <t>PROVED_BY_OWNER_SITE</t>
        </is>
      </c>
      <c r="O329" t="inlineStr">
        <is>
          <t>SIM</t>
        </is>
      </c>
      <c r="P329" t="inlineStr">
        <is>
          <t>SIM — declarado por dono italiano no proprio site</t>
        </is>
      </c>
      <c r="Q329" t="inlineStr">
        <is>
          <t>https://www.crpv.it/</t>
        </is>
      </c>
      <c r="R329" t="inlineStr">
        <is>
          <t>sonda HTTP read-only (GET limitado, payload nao preservado) + id estavel da plataforma extraido de og:/canonical + declaracao do perfil no site oficial do dono (rota publica, secao 10)</t>
        </is>
      </c>
      <c r="S329" t="inlineStr">
        <is>
          <t>2026-09-14T11:25:36Z</t>
        </is>
      </c>
      <c r="T329" t="inlineStr">
        <is>
          <t>PASS</t>
        </is>
      </c>
      <c r="U329" t="inlineStr"/>
      <c r="V329" t="inlineStr">
        <is>
          <t>T5;T3;T1</t>
        </is>
      </c>
      <c r="W329" t="inlineStr">
        <is>
          <t>EMILIA-ROMAGNA</t>
        </is>
      </c>
      <c r="X329" t="inlineStr">
        <is>
          <t>ortofrutta</t>
        </is>
      </c>
      <c r="Y329" t="inlineStr">
        <is>
          <t>sperimentazione;ortofrutta;difesa</t>
        </is>
      </c>
      <c r="Z329" t="inlineStr">
        <is>
          <t>platform_id UCH-UMwlZXbrOb3RrL2GejMA</t>
        </is>
      </c>
      <c r="AA329" t="inlineStr">
        <is>
          <t>site oficial do dono: https://www.crpv.it/</t>
        </is>
      </c>
      <c r="AB329" t="inlineStr">
        <is>
          <t>nao sorteada</t>
        </is>
      </c>
      <c r="AC329" t="inlineStr">
        <is>
          <t>nao sorteada</t>
        </is>
      </c>
      <c r="AD329" t="inlineStr">
        <is>
          <t>UCH-UMwlZXbrOb3RrL2GejMA</t>
        </is>
      </c>
      <c r="AE329" t="inlineStr"/>
      <c r="AF329" t="inlineStr"/>
    </row>
    <row r="330">
      <c r="A330" t="inlineStr">
        <is>
          <t>IT-DISC-2026-09-14-0329</t>
        </is>
      </c>
      <c r="B330" t="inlineStr">
        <is>
          <t>Cantina Sociale Cooperativa Riunite e CIV — Youtube ufficiale</t>
        </is>
      </c>
      <c r="C330" t="inlineStr">
        <is>
          <t>YOUTUBE</t>
        </is>
      </c>
      <c r="D330" t="inlineStr">
        <is>
          <t>ORG</t>
        </is>
      </c>
      <c r="E330" t="inlineStr">
        <is>
          <t>Riunite &amp; CIV</t>
        </is>
      </c>
      <c r="F330" t="inlineStr">
        <is>
          <t>https://www.youtube.com/channel/UCHm8wgnyeNFP2luUq_lMPMg</t>
        </is>
      </c>
      <c r="G330" t="inlineStr">
        <is>
          <t>https://www.youtube.com/channel/UCHm8wgnyeNFP2luUq_lMPMg</t>
        </is>
      </c>
      <c r="H330" t="inlineStr">
        <is>
          <t>https://www.youtube.com/channel/UCHm8wgnyeNFP2luUq_lMPMg</t>
        </is>
      </c>
      <c r="I330" t="n">
        <v>200</v>
      </c>
      <c r="J330" t="inlineStr">
        <is>
          <t>text/html</t>
        </is>
      </c>
      <c r="K330" t="n">
        <v>0</v>
      </c>
      <c r="L330" t="b">
        <v>1</v>
      </c>
      <c r="M330" t="b">
        <v>1</v>
      </c>
      <c r="N330" t="inlineStr">
        <is>
          <t>PROVED_BY_OWNER_SITE</t>
        </is>
      </c>
      <c r="O330" t="inlineStr">
        <is>
          <t>SIM</t>
        </is>
      </c>
      <c r="P330" t="inlineStr">
        <is>
          <t>SIM — declarado por dono italiano no proprio site</t>
        </is>
      </c>
      <c r="Q330" t="inlineStr">
        <is>
          <t>https://www.riuniteciv.com/</t>
        </is>
      </c>
      <c r="R330" t="inlineStr">
        <is>
          <t>sonda HTTP read-only (GET limitado, payload nao preservado) + id estavel da plataforma extraido de og:/canonical + declaracao do perfil no site oficial do dono (rota publica, secao 10)</t>
        </is>
      </c>
      <c r="S330" t="inlineStr">
        <is>
          <t>2026-09-14T11:25:44Z</t>
        </is>
      </c>
      <c r="T330" t="inlineStr">
        <is>
          <t>PASS</t>
        </is>
      </c>
      <c r="U330" t="inlineStr"/>
      <c r="V330" t="inlineStr">
        <is>
          <t>T10;T1</t>
        </is>
      </c>
      <c r="W330" t="inlineStr">
        <is>
          <t>EMILIA-ROMAGNA</t>
        </is>
      </c>
      <c r="X330" t="inlineStr"/>
      <c r="Y330" t="inlineStr">
        <is>
          <t>cooperativa vitivinicola</t>
        </is>
      </c>
      <c r="Z330" t="inlineStr">
        <is>
          <t>platform_id UCHm8wgnyeNFP2luUq_lMPMg</t>
        </is>
      </c>
      <c r="AA330" t="inlineStr">
        <is>
          <t>site oficial do dono: https://www.riuniteciv.com/</t>
        </is>
      </c>
      <c r="AB330" t="inlineStr">
        <is>
          <t>nao sorteada</t>
        </is>
      </c>
      <c r="AC330" t="inlineStr">
        <is>
          <t>nao sorteada</t>
        </is>
      </c>
      <c r="AD330" t="inlineStr">
        <is>
          <t>UCHm8wgnyeNFP2luUq_lMPMg</t>
        </is>
      </c>
      <c r="AE330" t="inlineStr"/>
      <c r="AF330" t="inlineStr"/>
    </row>
    <row r="331">
      <c r="A331" t="inlineStr">
        <is>
          <t>IT-DISC-2026-09-14-0330</t>
        </is>
      </c>
      <c r="B331" t="inlineStr">
        <is>
          <t>Cifo — Youtube ufficiale</t>
        </is>
      </c>
      <c r="C331" t="inlineStr">
        <is>
          <t>YOUTUBE</t>
        </is>
      </c>
      <c r="D331" t="inlineStr">
        <is>
          <t>ORG</t>
        </is>
      </c>
      <c r="E331" t="inlineStr">
        <is>
          <t>Cifo</t>
        </is>
      </c>
      <c r="F331" t="inlineStr">
        <is>
          <t>https://www.youtube.com/user/cifospa</t>
        </is>
      </c>
      <c r="G331" t="inlineStr">
        <is>
          <t>https://www.youtube.com/user/cifospa</t>
        </is>
      </c>
      <c r="H331" t="inlineStr">
        <is>
          <t>https://www.youtube.com/user/cifospa</t>
        </is>
      </c>
      <c r="I331" t="n">
        <v>200</v>
      </c>
      <c r="J331" t="inlineStr">
        <is>
          <t>text/html</t>
        </is>
      </c>
      <c r="K331" t="n">
        <v>0</v>
      </c>
      <c r="L331" t="b">
        <v>1</v>
      </c>
      <c r="M331" t="b">
        <v>1</v>
      </c>
      <c r="N331" t="inlineStr">
        <is>
          <t>PROVED_BY_OWNER_SITE</t>
        </is>
      </c>
      <c r="O331" t="inlineStr">
        <is>
          <t>SIM</t>
        </is>
      </c>
      <c r="P331" t="inlineStr">
        <is>
          <t>SIM — declarado por dono italiano no proprio site</t>
        </is>
      </c>
      <c r="Q331" t="inlineStr">
        <is>
          <t>https://www.cifo.it/</t>
        </is>
      </c>
      <c r="R331" t="inlineStr">
        <is>
          <t>sonda HTTP read-only (GET limitado, payload nao preservado) + id estavel da plataforma extraido de og:/canonical + declaracao do perfil no site oficial do dono (rota publica, secao 10)</t>
        </is>
      </c>
      <c r="S331" t="inlineStr">
        <is>
          <t>2026-09-14T11:25:42Z</t>
        </is>
      </c>
      <c r="T331" t="inlineStr">
        <is>
          <t>PASS</t>
        </is>
      </c>
      <c r="U331" t="inlineStr"/>
      <c r="V331" t="inlineStr">
        <is>
          <t>T9;T10</t>
        </is>
      </c>
      <c r="W331" t="inlineStr">
        <is>
          <t>EMILIA-ROMAGNA</t>
        </is>
      </c>
      <c r="X331" t="inlineStr"/>
      <c r="Y331" t="inlineStr">
        <is>
          <t>nutrizione vegetale</t>
        </is>
      </c>
      <c r="Z331" t="inlineStr">
        <is>
          <t>platform_id UC4A5UdkaIvcbaA7z1mz-YdA</t>
        </is>
      </c>
      <c r="AA331" t="inlineStr">
        <is>
          <t>site oficial do dono: https://www.cifo.it/</t>
        </is>
      </c>
      <c r="AB331" t="inlineStr">
        <is>
          <t>nao sorteada</t>
        </is>
      </c>
      <c r="AC331" t="inlineStr">
        <is>
          <t>nao sorteada</t>
        </is>
      </c>
      <c r="AD331" t="inlineStr">
        <is>
          <t>UC4A5UdkaIvcbaA7z1mz-YdA</t>
        </is>
      </c>
      <c r="AE331" t="inlineStr"/>
      <c r="AF331" t="inlineStr"/>
    </row>
    <row r="332">
      <c r="A332" t="inlineStr">
        <is>
          <t>IT-DISC-2026-09-14-0331</t>
        </is>
      </c>
      <c r="B332" t="inlineStr">
        <is>
          <t>Conserve Italia — Youtube ufficiale</t>
        </is>
      </c>
      <c r="C332" t="inlineStr">
        <is>
          <t>YOUTUBE</t>
        </is>
      </c>
      <c r="D332" t="inlineStr">
        <is>
          <t>ORG</t>
        </is>
      </c>
      <c r="E332" t="inlineStr">
        <is>
          <t>Conserve Italia</t>
        </is>
      </c>
      <c r="F332" t="inlineStr">
        <is>
          <t>https://www.youtube.com/channel/UCB3cnpKOvT56elhTKE7cjSg</t>
        </is>
      </c>
      <c r="G332" t="inlineStr">
        <is>
          <t>https://www.youtube.com/channel/UCB3cnpKOvT56elhTKE7cjSg</t>
        </is>
      </c>
      <c r="H332" t="inlineStr">
        <is>
          <t>https://www.youtube.com/channel/UCB3cnpKOvT56elhTKE7cjSg</t>
        </is>
      </c>
      <c r="I332" t="n">
        <v>200</v>
      </c>
      <c r="J332" t="inlineStr">
        <is>
          <t>text/html</t>
        </is>
      </c>
      <c r="K332" t="n">
        <v>0</v>
      </c>
      <c r="L332" t="b">
        <v>1</v>
      </c>
      <c r="M332" t="b">
        <v>1</v>
      </c>
      <c r="N332" t="inlineStr">
        <is>
          <t>PROVED_BY_OWNER_SITE</t>
        </is>
      </c>
      <c r="O332" t="inlineStr">
        <is>
          <t>SIM</t>
        </is>
      </c>
      <c r="P332" t="inlineStr">
        <is>
          <t>SIM — declarado por dono italiano no proprio site</t>
        </is>
      </c>
      <c r="Q332" t="inlineStr">
        <is>
          <t>https://www.conserveitalia.it/</t>
        </is>
      </c>
      <c r="R332" t="inlineStr">
        <is>
          <t>sonda HTTP read-only (GET limitado, payload nao preservado) + id estavel da plataforma extraido de og:/canonical + declaracao do perfil no site oficial do dono (rota publica, secao 10)</t>
        </is>
      </c>
      <c r="S332" t="inlineStr">
        <is>
          <t>2026-09-14T11:25:44Z</t>
        </is>
      </c>
      <c r="T332" t="inlineStr">
        <is>
          <t>PASS</t>
        </is>
      </c>
      <c r="U332" t="inlineStr"/>
      <c r="V332" t="inlineStr">
        <is>
          <t>T10;T1</t>
        </is>
      </c>
      <c r="W332" t="inlineStr">
        <is>
          <t>EMILIA-ROMAGNA</t>
        </is>
      </c>
      <c r="X332" t="inlineStr"/>
      <c r="Y332" t="inlineStr">
        <is>
          <t>cooperativa;trasformazione</t>
        </is>
      </c>
      <c r="Z332" t="inlineStr">
        <is>
          <t>platform_id UCB3cnpKOvT56elhTKE7cjSg</t>
        </is>
      </c>
      <c r="AA332" t="inlineStr">
        <is>
          <t>site oficial do dono: https://www.conserveitalia.it/</t>
        </is>
      </c>
      <c r="AB332" t="inlineStr">
        <is>
          <t>nao sorteada</t>
        </is>
      </c>
      <c r="AC332" t="inlineStr">
        <is>
          <t>SIM</t>
        </is>
      </c>
      <c r="AD332" t="inlineStr">
        <is>
          <t>UCB3cnpKOvT56elhTKE7cjSg</t>
        </is>
      </c>
      <c r="AE332" t="inlineStr"/>
      <c r="AF332" t="inlineStr"/>
    </row>
    <row r="333">
      <c r="A333" t="inlineStr">
        <is>
          <t>IT-DISC-2026-09-14-0332</t>
        </is>
      </c>
      <c r="B333" t="inlineStr">
        <is>
          <t>Fondazione per l'Agricoltura F.lli Navarra — Youtube ufficiale</t>
        </is>
      </c>
      <c r="C333" t="inlineStr">
        <is>
          <t>YOUTUBE</t>
        </is>
      </c>
      <c r="D333" t="inlineStr">
        <is>
          <t>ORG</t>
        </is>
      </c>
      <c r="E333" t="inlineStr">
        <is>
          <t>Fondazione Navarra</t>
        </is>
      </c>
      <c r="F333" t="inlineStr">
        <is>
          <t>https://www.youtube.com/@fondazionenavarra_Ferrara</t>
        </is>
      </c>
      <c r="G333" t="inlineStr">
        <is>
          <t>https://www.youtube.com/@fondazionenavarra_Ferrara</t>
        </is>
      </c>
      <c r="H333" t="inlineStr">
        <is>
          <t>https://www.youtube.com/@fondazionenavarra_Ferrara</t>
        </is>
      </c>
      <c r="I333" t="n">
        <v>200</v>
      </c>
      <c r="J333" t="inlineStr">
        <is>
          <t>text/html</t>
        </is>
      </c>
      <c r="K333" t="n">
        <v>0</v>
      </c>
      <c r="L333" t="b">
        <v>1</v>
      </c>
      <c r="M333" t="b">
        <v>1</v>
      </c>
      <c r="N333" t="inlineStr">
        <is>
          <t>PROVED_BY_OWNER_SITE</t>
        </is>
      </c>
      <c r="O333" t="inlineStr">
        <is>
          <t>SIM</t>
        </is>
      </c>
      <c r="P333" t="inlineStr">
        <is>
          <t>SIM — declarado por dono italiano no proprio site</t>
        </is>
      </c>
      <c r="Q333" t="inlineStr">
        <is>
          <t>https://www.fondazionenavarra.it/</t>
        </is>
      </c>
      <c r="R333" t="inlineStr">
        <is>
          <t>sonda HTTP read-only (GET limitado, payload nao preservado) + id estavel da plataforma extraido de og:/canonical + declaracao do perfil no site oficial do dono (rota publica, secao 10)</t>
        </is>
      </c>
      <c r="S333" t="inlineStr">
        <is>
          <t>2026-09-14T11:25:37Z</t>
        </is>
      </c>
      <c r="T333" t="inlineStr">
        <is>
          <t>PASS</t>
        </is>
      </c>
      <c r="U333" t="inlineStr"/>
      <c r="V333" t="inlineStr">
        <is>
          <t>T5;T1</t>
        </is>
      </c>
      <c r="W333" t="inlineStr">
        <is>
          <t>EMILIA-ROMAGNA</t>
        </is>
      </c>
      <c r="X333" t="inlineStr"/>
      <c r="Y333" t="inlineStr">
        <is>
          <t>frutticoltura;sperimentazione</t>
        </is>
      </c>
      <c r="Z333" t="inlineStr">
        <is>
          <t>platform_id UCm-f74uymvl9TOLWqf6GOpA</t>
        </is>
      </c>
      <c r="AA333" t="inlineStr">
        <is>
          <t>site oficial do dono: https://www.fondazionenavarra.it/</t>
        </is>
      </c>
      <c r="AB333" t="inlineStr">
        <is>
          <t>CONFIRMA</t>
        </is>
      </c>
      <c r="AC333" t="inlineStr">
        <is>
          <t>nao sorteada</t>
        </is>
      </c>
      <c r="AD333" t="inlineStr">
        <is>
          <t>UCm-f74uymvl9TOLWqf6GOpA</t>
        </is>
      </c>
      <c r="AE333" t="inlineStr"/>
      <c r="AF333" t="inlineStr"/>
    </row>
    <row r="334">
      <c r="A334" t="inlineStr">
        <is>
          <t>IT-DISC-2026-09-14-0333</t>
        </is>
      </c>
      <c r="B334" t="inlineStr">
        <is>
          <t>Granarolo — Youtube ufficiale</t>
        </is>
      </c>
      <c r="C334" t="inlineStr">
        <is>
          <t>YOUTUBE</t>
        </is>
      </c>
      <c r="D334" t="inlineStr">
        <is>
          <t>ORG</t>
        </is>
      </c>
      <c r="E334" t="inlineStr">
        <is>
          <t>Granarolo</t>
        </is>
      </c>
      <c r="F334" t="inlineStr">
        <is>
          <t>https://www.youtube.com/channel/UCQX-qwzhBwwJaIFcLL3RI2w</t>
        </is>
      </c>
      <c r="G334" t="inlineStr">
        <is>
          <t>https://www.youtube.com/channel/UCQX-qwzhBwwJaIFcLL3RI2w</t>
        </is>
      </c>
      <c r="H334" t="inlineStr">
        <is>
          <t>https://www.youtube.com/channel/UCQX-qwzhBwwJaIFcLL3RI2w</t>
        </is>
      </c>
      <c r="I334" t="n">
        <v>200</v>
      </c>
      <c r="J334" t="inlineStr">
        <is>
          <t>text/html</t>
        </is>
      </c>
      <c r="K334" t="n">
        <v>0</v>
      </c>
      <c r="L334" t="b">
        <v>1</v>
      </c>
      <c r="M334" t="b">
        <v>1</v>
      </c>
      <c r="N334" t="inlineStr">
        <is>
          <t>PROVED_BY_OWNER_SITE</t>
        </is>
      </c>
      <c r="O334" t="inlineStr">
        <is>
          <t>SIM</t>
        </is>
      </c>
      <c r="P334" t="inlineStr">
        <is>
          <t>SIM — declarado por dono italiano no proprio site</t>
        </is>
      </c>
      <c r="Q334" t="inlineStr">
        <is>
          <t>https://www.granarolo.it/</t>
        </is>
      </c>
      <c r="R334" t="inlineStr">
        <is>
          <t>sonda HTTP read-only (GET limitado, payload nao preservado) + id estavel da plataforma extraido de og:/canonical + declaracao do perfil no site oficial do dono (rota publica, secao 10)</t>
        </is>
      </c>
      <c r="S334" t="inlineStr">
        <is>
          <t>2026-09-14T11:25:44Z</t>
        </is>
      </c>
      <c r="T334" t="inlineStr">
        <is>
          <t>PASS</t>
        </is>
      </c>
      <c r="U334" t="inlineStr"/>
      <c r="V334" t="inlineStr">
        <is>
          <t>T10</t>
        </is>
      </c>
      <c r="W334" t="inlineStr">
        <is>
          <t>EMILIA-ROMAGNA</t>
        </is>
      </c>
      <c r="X334" t="inlineStr">
        <is>
          <t>latte</t>
        </is>
      </c>
      <c r="Y334" t="inlineStr">
        <is>
          <t>latte;filiera</t>
        </is>
      </c>
      <c r="Z334" t="inlineStr">
        <is>
          <t>platform_id UCQX-qwzhBwwJaIFcLL3RI2w</t>
        </is>
      </c>
      <c r="AA334" t="inlineStr">
        <is>
          <t>site oficial do dono: https://www.granarolo.it/</t>
        </is>
      </c>
      <c r="AB334" t="inlineStr">
        <is>
          <t>nao sorteada</t>
        </is>
      </c>
      <c r="AC334" t="inlineStr">
        <is>
          <t>nao sorteada</t>
        </is>
      </c>
      <c r="AD334" t="inlineStr">
        <is>
          <t>UCQX-qwzhBwwJaIFcLL3RI2w</t>
        </is>
      </c>
      <c r="AE334" t="inlineStr"/>
      <c r="AF334" t="inlineStr"/>
    </row>
    <row r="335">
      <c r="A335" t="inlineStr">
        <is>
          <t>IT-DISC-2026-09-14-0334</t>
        </is>
      </c>
      <c r="B335" t="inlineStr">
        <is>
          <t>Macfrut — Youtube ufficiale</t>
        </is>
      </c>
      <c r="C335" t="inlineStr">
        <is>
          <t>YOUTUBE</t>
        </is>
      </c>
      <c r="D335" t="inlineStr">
        <is>
          <t>ORG</t>
        </is>
      </c>
      <c r="E335" t="inlineStr">
        <is>
          <t>Cesena Fiera</t>
        </is>
      </c>
      <c r="F335" t="inlineStr">
        <is>
          <t>https://www.youtube.com/channel/UCS-EXLzpmRwcnJNsm9SWJdA</t>
        </is>
      </c>
      <c r="G335" t="inlineStr">
        <is>
          <t>https://www.youtube.com/channel/UCS-EXLzpmRwcnJNsm9SWJdA</t>
        </is>
      </c>
      <c r="H335" t="inlineStr">
        <is>
          <t>https://www.youtube.com/channel/UCS-EXLzpmRwcnJNsm9SWJdA</t>
        </is>
      </c>
      <c r="I335" t="n">
        <v>200</v>
      </c>
      <c r="J335" t="inlineStr">
        <is>
          <t>text/html</t>
        </is>
      </c>
      <c r="K335" t="n">
        <v>0</v>
      </c>
      <c r="L335" t="b">
        <v>1</v>
      </c>
      <c r="M335" t="b">
        <v>1</v>
      </c>
      <c r="N335" t="inlineStr">
        <is>
          <t>PROVED_BY_OWNER_SITE</t>
        </is>
      </c>
      <c r="O335" t="inlineStr">
        <is>
          <t>SIM</t>
        </is>
      </c>
      <c r="P335" t="inlineStr">
        <is>
          <t>SIM — declarado por dono italiano no proprio site</t>
        </is>
      </c>
      <c r="Q335" t="inlineStr">
        <is>
          <t>https://www.macfrut.com/</t>
        </is>
      </c>
      <c r="R335" t="inlineStr">
        <is>
          <t>sonda HTTP read-only (GET limitado, payload nao preservado) + id estavel da plataforma extraido de og:/canonical + declaracao do perfil no site oficial do dono (rota publica, secao 10)</t>
        </is>
      </c>
      <c r="S335" t="inlineStr">
        <is>
          <t>2026-09-14T11:25:39Z</t>
        </is>
      </c>
      <c r="T335" t="inlineStr">
        <is>
          <t>PASS</t>
        </is>
      </c>
      <c r="U335" t="inlineStr"/>
      <c r="V335" t="inlineStr">
        <is>
          <t>T11;T10</t>
        </is>
      </c>
      <c r="W335" t="inlineStr">
        <is>
          <t>EMILIA-ROMAGNA</t>
        </is>
      </c>
      <c r="X335" t="inlineStr">
        <is>
          <t>ortofrutta</t>
        </is>
      </c>
      <c r="Y335" t="inlineStr">
        <is>
          <t>fiera ortofrutta</t>
        </is>
      </c>
      <c r="Z335" t="inlineStr">
        <is>
          <t>platform_id UCS-EXLzpmRwcnJNsm9SWJdA</t>
        </is>
      </c>
      <c r="AA335" t="inlineStr">
        <is>
          <t>site oficial do dono: https://www.macfrut.com/</t>
        </is>
      </c>
      <c r="AB335" t="inlineStr">
        <is>
          <t>nao sorteada</t>
        </is>
      </c>
      <c r="AC335" t="inlineStr">
        <is>
          <t>nao sorteada</t>
        </is>
      </c>
      <c r="AD335" t="inlineStr">
        <is>
          <t>UCS-EXLzpmRwcnJNsm9SWJdA</t>
        </is>
      </c>
      <c r="AE335" t="inlineStr"/>
      <c r="AF335" t="inlineStr"/>
    </row>
    <row r="336">
      <c r="A336" t="inlineStr">
        <is>
          <t>IT-DISC-2026-09-14-0335</t>
        </is>
      </c>
      <c r="B336" t="inlineStr">
        <is>
          <t>Terra e Vita — Edagricole — Youtube ufficiale</t>
        </is>
      </c>
      <c r="C336" t="inlineStr">
        <is>
          <t>YOUTUBE</t>
        </is>
      </c>
      <c r="D336" t="inlineStr">
        <is>
          <t>ORG</t>
        </is>
      </c>
      <c r="E336" t="inlineStr">
        <is>
          <t>Edagricole — New Business Media</t>
        </is>
      </c>
      <c r="F336" t="inlineStr">
        <is>
          <t>https://www.youtube.com/channel/UCrCabYjtyqdzu1zXo95o7Jw</t>
        </is>
      </c>
      <c r="G336" t="inlineStr">
        <is>
          <t>https://www.youtube.com/channel/UCrCabYjtyqdzu1zXo95o7Jw</t>
        </is>
      </c>
      <c r="H336" t="inlineStr">
        <is>
          <t>https://www.youtube.com/channel/UCrCabYjtyqdzu1zXo95o7Jw</t>
        </is>
      </c>
      <c r="I336" t="n">
        <v>200</v>
      </c>
      <c r="J336" t="inlineStr">
        <is>
          <t>text/html</t>
        </is>
      </c>
      <c r="K336" t="n">
        <v>0</v>
      </c>
      <c r="L336" t="b">
        <v>1</v>
      </c>
      <c r="M336" t="b">
        <v>1</v>
      </c>
      <c r="N336" t="inlineStr">
        <is>
          <t>PROVED_BY_OWNER_SITE</t>
        </is>
      </c>
      <c r="O336" t="inlineStr">
        <is>
          <t>SIM</t>
        </is>
      </c>
      <c r="P336" t="inlineStr">
        <is>
          <t>SIM — declarado por dono italiano no proprio site</t>
        </is>
      </c>
      <c r="Q336" t="inlineStr">
        <is>
          <t>https://terraevita.edagricole.it/</t>
        </is>
      </c>
      <c r="R336" t="inlineStr">
        <is>
          <t>sonda HTTP read-only (GET limitado, payload nao preservado) + id estavel da plataforma extraido de og:/canonical + declaracao do perfil no site oficial do dono (rota publica, secao 10)</t>
        </is>
      </c>
      <c r="S336" t="inlineStr">
        <is>
          <t>2026-09-14T11:25:37Z</t>
        </is>
      </c>
      <c r="T336" t="inlineStr">
        <is>
          <t>PASS</t>
        </is>
      </c>
      <c r="U336" t="inlineStr"/>
      <c r="V336" t="inlineStr">
        <is>
          <t>T1;T3;T10</t>
        </is>
      </c>
      <c r="W336" t="inlineStr">
        <is>
          <t>EMILIA-ROMAGNA</t>
        </is>
      </c>
      <c r="X336" t="inlineStr"/>
      <c r="Y336" t="inlineStr">
        <is>
          <t>rivista tecnica;seminativi;difesa</t>
        </is>
      </c>
      <c r="Z336" t="inlineStr">
        <is>
          <t>platform_id UCrCabYjtyqdzu1zXo95o7Jw</t>
        </is>
      </c>
      <c r="AA336" t="inlineStr">
        <is>
          <t>site oficial do dono: https://terraevita.edagricole.it/</t>
        </is>
      </c>
      <c r="AB336" t="inlineStr">
        <is>
          <t>nao sorteada</t>
        </is>
      </c>
      <c r="AC336" t="inlineStr">
        <is>
          <t>nao sorteada</t>
        </is>
      </c>
      <c r="AD336" t="inlineStr">
        <is>
          <t>UCrCabYjtyqdzu1zXo95o7Jw</t>
        </is>
      </c>
      <c r="AE336" t="inlineStr"/>
      <c r="AF336" t="inlineStr"/>
    </row>
    <row r="337">
      <c r="A337" t="inlineStr">
        <is>
          <t>IT-DISC-2026-09-14-0336</t>
        </is>
      </c>
      <c r="B337" t="inlineStr">
        <is>
          <t>UNIBO DISTAL — Dipartimento di Scienze e Tecnologie Agro-Alimentari — Youtube ufficiale</t>
        </is>
      </c>
      <c r="C337" t="inlineStr">
        <is>
          <t>YOUTUBE</t>
        </is>
      </c>
      <c r="D337" t="inlineStr">
        <is>
          <t>ORG</t>
        </is>
      </c>
      <c r="E337" t="inlineStr">
        <is>
          <t>Universita di Bologna</t>
        </is>
      </c>
      <c r="F337" t="inlineStr">
        <is>
          <t>https://www.youtube.com/channel/UCDNXhv9mPzYo5FQKkg_oSWw</t>
        </is>
      </c>
      <c r="G337" t="inlineStr">
        <is>
          <t>https://www.youtube.com/channel/UCDNXhv9mPzYo5FQKkg_oSWw</t>
        </is>
      </c>
      <c r="H337" t="inlineStr">
        <is>
          <t>https://www.youtube.com/channel/UCDNXhv9mPzYo5FQKkg_oSWw</t>
        </is>
      </c>
      <c r="I337" t="n">
        <v>200</v>
      </c>
      <c r="J337" t="inlineStr">
        <is>
          <t>text/html</t>
        </is>
      </c>
      <c r="K337" t="n">
        <v>0</v>
      </c>
      <c r="L337" t="b">
        <v>1</v>
      </c>
      <c r="M337" t="b">
        <v>1</v>
      </c>
      <c r="N337" t="inlineStr">
        <is>
          <t>PROVED_BY_OWNER_SITE</t>
        </is>
      </c>
      <c r="O337" t="inlineStr">
        <is>
          <t>SIM</t>
        </is>
      </c>
      <c r="P337" t="inlineStr">
        <is>
          <t>SIM — declarado por dono italiano no proprio site</t>
        </is>
      </c>
      <c r="Q337" t="inlineStr">
        <is>
          <t>https://distal.unibo.it/it</t>
        </is>
      </c>
      <c r="R337" t="inlineStr">
        <is>
          <t>sonda HTTP read-only (GET limitado, payload nao preservado) + id estavel da plataforma extraido de og:/canonical + declaracao do perfil no site oficial do dono (rota publica, secao 10)</t>
        </is>
      </c>
      <c r="S337" t="inlineStr">
        <is>
          <t>2026-09-14T11:25:32Z</t>
        </is>
      </c>
      <c r="T337" t="inlineStr">
        <is>
          <t>PASS</t>
        </is>
      </c>
      <c r="U337" t="inlineStr"/>
      <c r="V337" t="inlineStr">
        <is>
          <t>T5;T6;T1</t>
        </is>
      </c>
      <c r="W337" t="inlineStr">
        <is>
          <t>EMILIA-ROMAGNA</t>
        </is>
      </c>
      <c r="X337" t="inlineStr"/>
      <c r="Y337" t="inlineStr">
        <is>
          <t>agraria;patologia;entomologia;agronomia</t>
        </is>
      </c>
      <c r="Z337" t="inlineStr">
        <is>
          <t>platform_id UCDNXhv9mPzYo5FQKkg_oSWw</t>
        </is>
      </c>
      <c r="AA337" t="inlineStr">
        <is>
          <t>site oficial do dono: https://distal.unibo.it/it</t>
        </is>
      </c>
      <c r="AB337" t="inlineStr">
        <is>
          <t>nao sorteada</t>
        </is>
      </c>
      <c r="AC337" t="inlineStr">
        <is>
          <t>nao sorteada</t>
        </is>
      </c>
      <c r="AD337" t="inlineStr">
        <is>
          <t>UCDNXhv9mPzYo5FQKkg_oSWw</t>
        </is>
      </c>
      <c r="AE337" t="inlineStr"/>
      <c r="AF337" t="inlineStr"/>
    </row>
    <row r="338">
      <c r="A338" t="inlineStr">
        <is>
          <t>IT-DISC-2026-09-14-0337</t>
        </is>
      </c>
      <c r="B338" t="inlineStr">
        <is>
          <t>ARPA Lazio — Youtube ufficiale</t>
        </is>
      </c>
      <c r="C338" t="inlineStr">
        <is>
          <t>YOUTUBE</t>
        </is>
      </c>
      <c r="D338" t="inlineStr">
        <is>
          <t>ORG</t>
        </is>
      </c>
      <c r="E338" t="inlineStr">
        <is>
          <t>ARPA Lazio</t>
        </is>
      </c>
      <c r="F338" t="inlineStr">
        <is>
          <t>https://www.youtube.com/@arpa_lazio</t>
        </is>
      </c>
      <c r="G338" t="inlineStr">
        <is>
          <t>https://www.youtube.com/@arpa_lazio</t>
        </is>
      </c>
      <c r="H338" t="inlineStr">
        <is>
          <t>https://www.youtube.com/@arpa_lazio</t>
        </is>
      </c>
      <c r="I338" t="n">
        <v>200</v>
      </c>
      <c r="J338" t="inlineStr">
        <is>
          <t>text/html</t>
        </is>
      </c>
      <c r="K338" t="n">
        <v>0</v>
      </c>
      <c r="L338" t="b">
        <v>1</v>
      </c>
      <c r="M338" t="b">
        <v>1</v>
      </c>
      <c r="N338" t="inlineStr">
        <is>
          <t>PROVED_BY_OWNER_SITE</t>
        </is>
      </c>
      <c r="O338" t="inlineStr">
        <is>
          <t>SIM</t>
        </is>
      </c>
      <c r="P338" t="inlineStr">
        <is>
          <t>SIM — declarado por dono italiano no proprio site</t>
        </is>
      </c>
      <c r="Q338" t="inlineStr">
        <is>
          <t>https://www.arpalazio.it/</t>
        </is>
      </c>
      <c r="R338" t="inlineStr">
        <is>
          <t>sonda HTTP read-only (GET limitado, payload nao preservado) + id estavel da plataforma extraido de og:/canonical + declaracao do perfil no site oficial do dono (rota publica, secao 10)</t>
        </is>
      </c>
      <c r="S338" t="inlineStr">
        <is>
          <t>2026-09-14T11:25:31Z</t>
        </is>
      </c>
      <c r="T338" t="inlineStr">
        <is>
          <t>PASS</t>
        </is>
      </c>
      <c r="U338" t="inlineStr"/>
      <c r="V338" t="inlineStr">
        <is>
          <t>T2;T12</t>
        </is>
      </c>
      <c r="W338" t="inlineStr">
        <is>
          <t>LAZIO</t>
        </is>
      </c>
      <c r="X338" t="inlineStr"/>
      <c r="Y338" t="inlineStr">
        <is>
          <t>ambiente;aria;acque</t>
        </is>
      </c>
      <c r="Z338" t="inlineStr">
        <is>
          <t>platform_id UC1vKirvt0hzsqE9zQAs9nTw</t>
        </is>
      </c>
      <c r="AA338" t="inlineStr">
        <is>
          <t>site oficial do dono: https://www.arpalazio.it/</t>
        </is>
      </c>
      <c r="AB338" t="inlineStr">
        <is>
          <t>nao sorteada</t>
        </is>
      </c>
      <c r="AC338" t="inlineStr">
        <is>
          <t>nao sorteada</t>
        </is>
      </c>
      <c r="AD338" t="inlineStr">
        <is>
          <t>UC1vKirvt0hzsqE9zQAs9nTw</t>
        </is>
      </c>
      <c r="AE338" t="inlineStr"/>
      <c r="AF338" t="inlineStr"/>
    </row>
    <row r="339">
      <c r="A339" t="inlineStr">
        <is>
          <t>IT-DISC-2026-09-14-0338</t>
        </is>
      </c>
      <c r="B339" t="inlineStr">
        <is>
          <t>ARPA Liguria — Youtube ufficiale</t>
        </is>
      </c>
      <c r="C339" t="inlineStr">
        <is>
          <t>YOUTUBE</t>
        </is>
      </c>
      <c r="D339" t="inlineStr">
        <is>
          <t>ORG</t>
        </is>
      </c>
      <c r="E339" t="inlineStr">
        <is>
          <t>ARPAL</t>
        </is>
      </c>
      <c r="F339" t="inlineStr">
        <is>
          <t>https://www.youtube.com/channel/UCTK_ULXg3gzn8el_oFk-5eA</t>
        </is>
      </c>
      <c r="G339" t="inlineStr">
        <is>
          <t>https://www.youtube.com/channel/UCTK_ULXg3gzn8el_oFk-5eA</t>
        </is>
      </c>
      <c r="H339" t="inlineStr">
        <is>
          <t>https://www.youtube.com/channel/UCTK_ULXg3gzn8el_oFk-5eA</t>
        </is>
      </c>
      <c r="I339" t="n">
        <v>200</v>
      </c>
      <c r="J339" t="inlineStr">
        <is>
          <t>text/html</t>
        </is>
      </c>
      <c r="K339" t="n">
        <v>0</v>
      </c>
      <c r="L339" t="b">
        <v>1</v>
      </c>
      <c r="M339" t="b">
        <v>1</v>
      </c>
      <c r="N339" t="inlineStr">
        <is>
          <t>PROVED_BY_OWNER_SITE</t>
        </is>
      </c>
      <c r="O339" t="inlineStr">
        <is>
          <t>SIM</t>
        </is>
      </c>
      <c r="P339" t="inlineStr">
        <is>
          <t>SIM — declarado por dono italiano no proprio site</t>
        </is>
      </c>
      <c r="Q339" t="inlineStr">
        <is>
          <t>https://www.arpal.liguria.it/</t>
        </is>
      </c>
      <c r="R339" t="inlineStr">
        <is>
          <t>sonda HTTP read-only (GET limitado, payload nao preservado) + id estavel da plataforma extraido de og:/canonical + declaracao do perfil no site oficial do dono (rota publica, secao 10)</t>
        </is>
      </c>
      <c r="S339" t="inlineStr">
        <is>
          <t>2026-09-14T11:25:31Z</t>
        </is>
      </c>
      <c r="T339" t="inlineStr">
        <is>
          <t>PASS</t>
        </is>
      </c>
      <c r="U339" t="inlineStr"/>
      <c r="V339" t="inlineStr">
        <is>
          <t>T2;T12</t>
        </is>
      </c>
      <c r="W339" t="inlineStr">
        <is>
          <t>LIGURIA</t>
        </is>
      </c>
      <c r="X339" t="inlineStr"/>
      <c r="Y339" t="inlineStr">
        <is>
          <t>meteo;ambiente;allerta</t>
        </is>
      </c>
      <c r="Z339" t="inlineStr">
        <is>
          <t>platform_id UCTK_ULXg3gzn8el_oFk-5eA</t>
        </is>
      </c>
      <c r="AA339" t="inlineStr">
        <is>
          <t>site oficial do dono: https://www.arpal.liguria.it/</t>
        </is>
      </c>
      <c r="AB339" t="inlineStr">
        <is>
          <t>nao sorteada</t>
        </is>
      </c>
      <c r="AC339" t="inlineStr">
        <is>
          <t>nao sorteada</t>
        </is>
      </c>
      <c r="AD339" t="inlineStr">
        <is>
          <t>UCTK_ULXg3gzn8el_oFk-5eA</t>
        </is>
      </c>
      <c r="AE339" t="inlineStr"/>
      <c r="AF339" t="inlineStr"/>
    </row>
    <row r="340">
      <c r="A340" t="inlineStr">
        <is>
          <t>IT-DISC-2026-09-14-0339</t>
        </is>
      </c>
      <c r="B340" t="inlineStr">
        <is>
          <t>ARPA Lombardia — Youtube ufficiale</t>
        </is>
      </c>
      <c r="C340" t="inlineStr">
        <is>
          <t>YOUTUBE</t>
        </is>
      </c>
      <c r="D340" t="inlineStr">
        <is>
          <t>ORG</t>
        </is>
      </c>
      <c r="E340" t="inlineStr">
        <is>
          <t>ARPA Lombardia</t>
        </is>
      </c>
      <c r="F340" t="inlineStr">
        <is>
          <t>https://www.youtube.com/channel/UCamw8rL1JPLjfa3Bx6ax8Eg</t>
        </is>
      </c>
      <c r="G340" t="inlineStr">
        <is>
          <t>https://www.youtube.com/channel/UCamw8rL1JPLjfa3Bx6ax8Eg</t>
        </is>
      </c>
      <c r="H340" t="inlineStr">
        <is>
          <t>https://www.youtube.com/channel/UCamw8rL1JPLjfa3Bx6ax8Eg</t>
        </is>
      </c>
      <c r="I340" t="n">
        <v>200</v>
      </c>
      <c r="J340" t="inlineStr">
        <is>
          <t>text/html</t>
        </is>
      </c>
      <c r="K340" t="n">
        <v>0</v>
      </c>
      <c r="L340" t="b">
        <v>1</v>
      </c>
      <c r="M340" t="b">
        <v>1</v>
      </c>
      <c r="N340" t="inlineStr">
        <is>
          <t>PROVED_BY_OWNER_SITE</t>
        </is>
      </c>
      <c r="O340" t="inlineStr">
        <is>
          <t>SIM</t>
        </is>
      </c>
      <c r="P340" t="inlineStr">
        <is>
          <t>SIM — declarado por dono italiano no proprio site</t>
        </is>
      </c>
      <c r="Q340" t="inlineStr">
        <is>
          <t>https://www.arpalombardia.it/</t>
        </is>
      </c>
      <c r="R340" t="inlineStr">
        <is>
          <t>sonda HTTP read-only (GET limitado, payload nao preservado) + id estavel da plataforma extraido de og:/canonical + declaracao do perfil no site oficial do dono (rota publica, secao 10)</t>
        </is>
      </c>
      <c r="S340" t="inlineStr">
        <is>
          <t>2026-09-14T11:25:30Z</t>
        </is>
      </c>
      <c r="T340" t="inlineStr">
        <is>
          <t>PASS</t>
        </is>
      </c>
      <c r="U340" t="inlineStr"/>
      <c r="V340" t="inlineStr">
        <is>
          <t>T2;T12</t>
        </is>
      </c>
      <c r="W340" t="inlineStr">
        <is>
          <t>LOMBARDIA</t>
        </is>
      </c>
      <c r="X340" t="inlineStr"/>
      <c r="Y340" t="inlineStr">
        <is>
          <t>meteo;aria;acqua;agrometeo</t>
        </is>
      </c>
      <c r="Z340" t="inlineStr">
        <is>
          <t>platform_id UCamw8rL1JPLjfa3Bx6ax8Eg</t>
        </is>
      </c>
      <c r="AA340" t="inlineStr">
        <is>
          <t>site oficial do dono: https://www.arpalombardia.it/</t>
        </is>
      </c>
      <c r="AB340" t="inlineStr">
        <is>
          <t>nao sorteada</t>
        </is>
      </c>
      <c r="AC340" t="inlineStr">
        <is>
          <t>nao sorteada</t>
        </is>
      </c>
      <c r="AD340" t="inlineStr">
        <is>
          <t>UCamw8rL1JPLjfa3Bx6ax8Eg</t>
        </is>
      </c>
      <c r="AE340" t="inlineStr"/>
      <c r="AF340" t="inlineStr"/>
    </row>
    <row r="341">
      <c r="A341" t="inlineStr">
        <is>
          <t>IT-DISC-2026-09-14-0340</t>
        </is>
      </c>
      <c r="B341" t="inlineStr">
        <is>
          <t>Confagricoltura Lombardia — Youtube ufficiale</t>
        </is>
      </c>
      <c r="C341" t="inlineStr">
        <is>
          <t>YOUTUBE</t>
        </is>
      </c>
      <c r="D341" t="inlineStr">
        <is>
          <t>ORG</t>
        </is>
      </c>
      <c r="E341" t="inlineStr">
        <is>
          <t>Confagricoltura</t>
        </is>
      </c>
      <c r="F341" t="inlineStr">
        <is>
          <t>https://www.youtube.com/channel/UCfqqPifpfaZUI30hxiygmJw</t>
        </is>
      </c>
      <c r="G341" t="inlineStr">
        <is>
          <t>https://www.youtube.com/channel/UCfqqPifpfaZUI30hxiygmJw</t>
        </is>
      </c>
      <c r="H341" t="inlineStr">
        <is>
          <t>https://www.youtube.com/channel/UCfqqPifpfaZUI30hxiygmJw</t>
        </is>
      </c>
      <c r="I341" t="n">
        <v>200</v>
      </c>
      <c r="J341" t="inlineStr">
        <is>
          <t>text/html</t>
        </is>
      </c>
      <c r="K341" t="n">
        <v>0</v>
      </c>
      <c r="L341" t="b">
        <v>1</v>
      </c>
      <c r="M341" t="b">
        <v>1</v>
      </c>
      <c r="N341" t="inlineStr">
        <is>
          <t>PROVED_BY_OWNER_SITE</t>
        </is>
      </c>
      <c r="O341" t="inlineStr">
        <is>
          <t>SIM</t>
        </is>
      </c>
      <c r="P341" t="inlineStr">
        <is>
          <t>SIM — declarado por dono italiano no proprio site</t>
        </is>
      </c>
      <c r="Q341" t="inlineStr">
        <is>
          <t>https://www.confagricolturalombardia.it/</t>
        </is>
      </c>
      <c r="R341" t="inlineStr">
        <is>
          <t>sonda HTTP read-only (GET limitado, payload nao preservado) + id estavel da plataforma extraido de og:/canonical + declaracao do perfil no site oficial do dono (rota publica, secao 10)</t>
        </is>
      </c>
      <c r="S341" t="inlineStr">
        <is>
          <t>2026-09-14T11:25:46Z</t>
        </is>
      </c>
      <c r="T341" t="inlineStr">
        <is>
          <t>PASS</t>
        </is>
      </c>
      <c r="U341" t="inlineStr"/>
      <c r="V341" t="inlineStr">
        <is>
          <t>T12;T7</t>
        </is>
      </c>
      <c r="W341" t="inlineStr">
        <is>
          <t>LOMBARDIA</t>
        </is>
      </c>
      <c r="X341" t="inlineStr"/>
      <c r="Y341" t="inlineStr">
        <is>
          <t>organizzazione agricola regionale</t>
        </is>
      </c>
      <c r="Z341" t="inlineStr">
        <is>
          <t>platform_id UCfqqPifpfaZUI30hxiygmJw</t>
        </is>
      </c>
      <c r="AA341" t="inlineStr">
        <is>
          <t>site oficial do dono: https://www.confagricolturalombardia.it/</t>
        </is>
      </c>
      <c r="AB341" t="inlineStr">
        <is>
          <t>nao sorteada</t>
        </is>
      </c>
      <c r="AC341" t="inlineStr">
        <is>
          <t>nao sorteada</t>
        </is>
      </c>
      <c r="AD341" t="inlineStr">
        <is>
          <t>UCfqqPifpfaZUI30hxiygmJw</t>
        </is>
      </c>
      <c r="AE341" t="inlineStr"/>
      <c r="AF341" t="inlineStr"/>
    </row>
    <row r="342">
      <c r="A342" t="inlineStr">
        <is>
          <t>IT-DISC-2026-09-14-0341</t>
        </is>
      </c>
      <c r="B342" t="inlineStr">
        <is>
          <t>Consorzio di Bonifica Est Ticino Villoresi — Youtube ufficiale</t>
        </is>
      </c>
      <c r="C342" t="inlineStr">
        <is>
          <t>YOUTUBE</t>
        </is>
      </c>
      <c r="D342" t="inlineStr">
        <is>
          <t>ORG</t>
        </is>
      </c>
      <c r="E342" t="inlineStr">
        <is>
          <t>Consorzio Est Ticino Villoresi</t>
        </is>
      </c>
      <c r="F342" t="inlineStr">
        <is>
          <t>https://www.youtube.com/@consorziodibonificaesttici5074</t>
        </is>
      </c>
      <c r="G342" t="inlineStr">
        <is>
          <t>https://www.youtube.com/@consorziodibonificaesttici5074</t>
        </is>
      </c>
      <c r="H342" t="inlineStr">
        <is>
          <t>https://www.youtube.com/@consorziodibonificaesttici5074</t>
        </is>
      </c>
      <c r="I342" t="n">
        <v>200</v>
      </c>
      <c r="J342" t="inlineStr">
        <is>
          <t>text/html</t>
        </is>
      </c>
      <c r="K342" t="n">
        <v>0</v>
      </c>
      <c r="L342" t="b">
        <v>1</v>
      </c>
      <c r="M342" t="b">
        <v>1</v>
      </c>
      <c r="N342" t="inlineStr">
        <is>
          <t>PROVED_BY_OWNER_SITE</t>
        </is>
      </c>
      <c r="O342" t="inlineStr">
        <is>
          <t>SIM</t>
        </is>
      </c>
      <c r="P342" t="inlineStr">
        <is>
          <t>SIM — declarado por dono italiano no proprio site</t>
        </is>
      </c>
      <c r="Q342" t="inlineStr">
        <is>
          <t>https://www.etvilloresi.it/</t>
        </is>
      </c>
      <c r="R342" t="inlineStr">
        <is>
          <t>sonda HTTP read-only (GET limitado, payload nao preservado) + id estavel da plataforma extraido de og:/canonical + declaracao do perfil no site oficial do dono (rota publica, secao 10)</t>
        </is>
      </c>
      <c r="S342" t="inlineStr">
        <is>
          <t>2026-09-14T11:25:45Z</t>
        </is>
      </c>
      <c r="T342" t="inlineStr">
        <is>
          <t>PASS</t>
        </is>
      </c>
      <c r="U342" t="inlineStr"/>
      <c r="V342" t="inlineStr">
        <is>
          <t>T2;T1</t>
        </is>
      </c>
      <c r="W342" t="inlineStr">
        <is>
          <t>LOMBARDIA</t>
        </is>
      </c>
      <c r="X342" t="inlineStr"/>
      <c r="Y342" t="inlineStr">
        <is>
          <t>irrigazione;risaia;acqua</t>
        </is>
      </c>
      <c r="Z342" t="inlineStr">
        <is>
          <t>platform_id UCfYSI-_mzA0BWZwHcPrO0vg</t>
        </is>
      </c>
      <c r="AA342" t="inlineStr">
        <is>
          <t>site oficial do dono: https://www.etvilloresi.it/</t>
        </is>
      </c>
      <c r="AB342" t="inlineStr">
        <is>
          <t>nao sorteada</t>
        </is>
      </c>
      <c r="AC342" t="inlineStr">
        <is>
          <t>nao sorteada</t>
        </is>
      </c>
      <c r="AD342" t="inlineStr">
        <is>
          <t>UCfYSI-_mzA0BWZwHcPrO0vg</t>
        </is>
      </c>
      <c r="AE342" t="inlineStr"/>
      <c r="AF342" t="inlineStr"/>
    </row>
    <row r="343">
      <c r="A343" t="inlineStr">
        <is>
          <t>IT-DISC-2026-09-14-0342</t>
        </is>
      </c>
      <c r="B343" t="inlineStr">
        <is>
          <t>Consorzio di Tutela del Grana Padano — Youtube ufficiale</t>
        </is>
      </c>
      <c r="C343" t="inlineStr">
        <is>
          <t>YOUTUBE</t>
        </is>
      </c>
      <c r="D343" t="inlineStr">
        <is>
          <t>ORG</t>
        </is>
      </c>
      <c r="E343" t="inlineStr">
        <is>
          <t>Consorzio Tutela Grana Padano</t>
        </is>
      </c>
      <c r="F343" t="inlineStr">
        <is>
          <t>https://www.youtube.com/@GranaPadanoDOP</t>
        </is>
      </c>
      <c r="G343" t="inlineStr">
        <is>
          <t>https://www.youtube.com/@GranaPadanoDOP</t>
        </is>
      </c>
      <c r="H343" t="inlineStr">
        <is>
          <t>https://www.youtube.com/@GranaPadanoDOP</t>
        </is>
      </c>
      <c r="I343" t="n">
        <v>200</v>
      </c>
      <c r="J343" t="inlineStr">
        <is>
          <t>text/html</t>
        </is>
      </c>
      <c r="K343" t="n">
        <v>0</v>
      </c>
      <c r="L343" t="b">
        <v>1</v>
      </c>
      <c r="M343" t="b">
        <v>1</v>
      </c>
      <c r="N343" t="inlineStr">
        <is>
          <t>PROVED_BY_OWNER_SITE</t>
        </is>
      </c>
      <c r="O343" t="inlineStr">
        <is>
          <t>SIM</t>
        </is>
      </c>
      <c r="P343" t="inlineStr">
        <is>
          <t>SIM — declarado por dono italiano no proprio site</t>
        </is>
      </c>
      <c r="Q343" t="inlineStr">
        <is>
          <t>https://www.granapadano.it/</t>
        </is>
      </c>
      <c r="R343" t="inlineStr">
        <is>
          <t>sonda HTTP read-only (GET limitado, payload nao preservado) + id estavel da plataforma extraido de og:/canonical + declaracao do perfil no site oficial do dono (rota publica, secao 10)</t>
        </is>
      </c>
      <c r="S343" t="inlineStr">
        <is>
          <t>2026-09-14T11:25:42Z</t>
        </is>
      </c>
      <c r="T343" t="inlineStr">
        <is>
          <t>PASS</t>
        </is>
      </c>
      <c r="U343" t="inlineStr"/>
      <c r="V343" t="inlineStr">
        <is>
          <t>T10;T1</t>
        </is>
      </c>
      <c r="W343" t="inlineStr">
        <is>
          <t>LOMBARDIA</t>
        </is>
      </c>
      <c r="X343" t="inlineStr">
        <is>
          <t>latte</t>
        </is>
      </c>
      <c r="Y343" t="inlineStr">
        <is>
          <t>DOP;latte;filiera</t>
        </is>
      </c>
      <c r="Z343" t="inlineStr">
        <is>
          <t>platform_id UC_yfE6hgWx4FBDCz1PmLjxw</t>
        </is>
      </c>
      <c r="AA343" t="inlineStr">
        <is>
          <t>site oficial do dono: https://www.granapadano.it/</t>
        </is>
      </c>
      <c r="AB343" t="inlineStr">
        <is>
          <t>nao sorteada</t>
        </is>
      </c>
      <c r="AC343" t="inlineStr">
        <is>
          <t>nao sorteada</t>
        </is>
      </c>
      <c r="AD343" t="inlineStr">
        <is>
          <t>UC_yfE6hgWx4FBDCz1PmLjxw</t>
        </is>
      </c>
      <c r="AE343" t="inlineStr"/>
      <c r="AF343" t="inlineStr"/>
    </row>
    <row r="344">
      <c r="A344" t="inlineStr">
        <is>
          <t>IT-DISC-2026-09-14-0343</t>
        </is>
      </c>
      <c r="B344" t="inlineStr">
        <is>
          <t>Fondazione Minoprio — Youtube ufficiale</t>
        </is>
      </c>
      <c r="C344" t="inlineStr">
        <is>
          <t>YOUTUBE</t>
        </is>
      </c>
      <c r="D344" t="inlineStr">
        <is>
          <t>ORG</t>
        </is>
      </c>
      <c r="E344" t="inlineStr">
        <is>
          <t>Fondazione Minoprio</t>
        </is>
      </c>
      <c r="F344" t="inlineStr">
        <is>
          <t>https://www.youtube.com/user/Fondazioneminoprio</t>
        </is>
      </c>
      <c r="G344" t="inlineStr">
        <is>
          <t>https://www.youtube.com/user/Fondazioneminoprio</t>
        </is>
      </c>
      <c r="H344" t="inlineStr">
        <is>
          <t>https://www.youtube.com/user/Fondazioneminoprio</t>
        </is>
      </c>
      <c r="I344" t="n">
        <v>200</v>
      </c>
      <c r="J344" t="inlineStr">
        <is>
          <t>text/html</t>
        </is>
      </c>
      <c r="K344" t="n">
        <v>0</v>
      </c>
      <c r="L344" t="b">
        <v>1</v>
      </c>
      <c r="M344" t="b">
        <v>1</v>
      </c>
      <c r="N344" t="inlineStr">
        <is>
          <t>PROVED_BY_OWNER_SITE</t>
        </is>
      </c>
      <c r="O344" t="inlineStr">
        <is>
          <t>SIM</t>
        </is>
      </c>
      <c r="P344" t="inlineStr">
        <is>
          <t>SIM — declarado por dono italiano no proprio site</t>
        </is>
      </c>
      <c r="Q344" t="inlineStr">
        <is>
          <t>https://www.fondazioneminoprio.it/</t>
        </is>
      </c>
      <c r="R344" t="inlineStr">
        <is>
          <t>sonda HTTP read-only (GET limitado, payload nao preservado) + id estavel da plataforma extraido de og:/canonical + declaracao do perfil no site oficial do dono (rota publica, secao 10)</t>
        </is>
      </c>
      <c r="S344" t="inlineStr">
        <is>
          <t>2026-09-14T11:25:36Z</t>
        </is>
      </c>
      <c r="T344" t="inlineStr">
        <is>
          <t>PASS</t>
        </is>
      </c>
      <c r="U344" t="inlineStr"/>
      <c r="V344" t="inlineStr">
        <is>
          <t>T5;T7;T1</t>
        </is>
      </c>
      <c r="W344" t="inlineStr">
        <is>
          <t>LOMBARDIA</t>
        </is>
      </c>
      <c r="X344" t="inlineStr"/>
      <c r="Y344" t="inlineStr">
        <is>
          <t>formazione;floricoltura;sperimentazione</t>
        </is>
      </c>
      <c r="Z344" t="inlineStr">
        <is>
          <t>platform_id UCiECZ69Hbfmcsu8O54r3geQ</t>
        </is>
      </c>
      <c r="AA344" t="inlineStr">
        <is>
          <t>site oficial do dono: https://www.fondazioneminoprio.it/</t>
        </is>
      </c>
      <c r="AB344" t="inlineStr">
        <is>
          <t>CONFIRMA</t>
        </is>
      </c>
      <c r="AC344" t="inlineStr">
        <is>
          <t>SIM</t>
        </is>
      </c>
      <c r="AD344" t="inlineStr">
        <is>
          <t>UCiECZ69Hbfmcsu8O54r3geQ</t>
        </is>
      </c>
      <c r="AE344" t="inlineStr"/>
      <c r="AF344" t="inlineStr"/>
    </row>
    <row r="345">
      <c r="A345" t="inlineStr">
        <is>
          <t>IT-DISC-2026-09-14-0344</t>
        </is>
      </c>
      <c r="B345" t="inlineStr">
        <is>
          <t>ARPA Marche — Youtube ufficiale</t>
        </is>
      </c>
      <c r="C345" t="inlineStr">
        <is>
          <t>YOUTUBE</t>
        </is>
      </c>
      <c r="D345" t="inlineStr">
        <is>
          <t>ORG</t>
        </is>
      </c>
      <c r="E345" t="inlineStr">
        <is>
          <t>ARPAM</t>
        </is>
      </c>
      <c r="F345" t="inlineStr">
        <is>
          <t>https://www.youtube.com/channel/UCtBD35n-HE7x_MWnjc1kt7g</t>
        </is>
      </c>
      <c r="G345" t="inlineStr">
        <is>
          <t>https://www.youtube.com/channel/UCtBD35n-HE7x_MWnjc1kt7g</t>
        </is>
      </c>
      <c r="H345" t="inlineStr">
        <is>
          <t>https://www.youtube.com/channel/UCtBD35n-HE7x_MWnjc1kt7g</t>
        </is>
      </c>
      <c r="I345" t="n">
        <v>200</v>
      </c>
      <c r="J345" t="inlineStr">
        <is>
          <t>text/html</t>
        </is>
      </c>
      <c r="K345" t="n">
        <v>0</v>
      </c>
      <c r="L345" t="b">
        <v>1</v>
      </c>
      <c r="M345" t="b">
        <v>1</v>
      </c>
      <c r="N345" t="inlineStr">
        <is>
          <t>PROVED_BY_OWNER_SITE</t>
        </is>
      </c>
      <c r="O345" t="inlineStr">
        <is>
          <t>SIM</t>
        </is>
      </c>
      <c r="P345" t="inlineStr">
        <is>
          <t>SIM — declarado por dono italiano no proprio site</t>
        </is>
      </c>
      <c r="Q345" t="inlineStr">
        <is>
          <t>https://www.arpa.marche.it/</t>
        </is>
      </c>
      <c r="R345" t="inlineStr">
        <is>
          <t>sonda HTTP read-only (GET limitado, payload nao preservado) + id estavel da plataforma extraido de og:/canonical + declaracao do perfil no site oficial do dono (rota publica, secao 10)</t>
        </is>
      </c>
      <c r="S345" t="inlineStr">
        <is>
          <t>2026-09-14T11:25:30Z</t>
        </is>
      </c>
      <c r="T345" t="inlineStr">
        <is>
          <t>PASS</t>
        </is>
      </c>
      <c r="U345" t="inlineStr"/>
      <c r="V345" t="inlineStr">
        <is>
          <t>T2;T12</t>
        </is>
      </c>
      <c r="W345" t="inlineStr">
        <is>
          <t>MARCHE</t>
        </is>
      </c>
      <c r="X345" t="inlineStr"/>
      <c r="Y345" t="inlineStr">
        <is>
          <t>ambiente;meteo</t>
        </is>
      </c>
      <c r="Z345" t="inlineStr">
        <is>
          <t>platform_id UCtBD35n-HE7x_MWnjc1kt7g</t>
        </is>
      </c>
      <c r="AA345" t="inlineStr">
        <is>
          <t>site oficial do dono: https://www.arpa.marche.it/</t>
        </is>
      </c>
      <c r="AB345" t="inlineStr">
        <is>
          <t>nao sorteada</t>
        </is>
      </c>
      <c r="AC345" t="inlineStr">
        <is>
          <t>nao sorteada</t>
        </is>
      </c>
      <c r="AD345" t="inlineStr">
        <is>
          <t>UCtBD35n-HE7x_MWnjc1kt7g</t>
        </is>
      </c>
      <c r="AE345" t="inlineStr"/>
      <c r="AF345" t="inlineStr"/>
    </row>
    <row r="346">
      <c r="A346" t="inlineStr">
        <is>
          <t>IT-DISC-2026-09-14-0345</t>
        </is>
      </c>
      <c r="B346" t="inlineStr">
        <is>
          <t>ASSAM Marche — Agenzia Servizi Settore Agroalimentare delle Marche — Youtube ufficiale</t>
        </is>
      </c>
      <c r="C346" t="inlineStr">
        <is>
          <t>YOUTUBE</t>
        </is>
      </c>
      <c r="D346" t="inlineStr">
        <is>
          <t>ORG</t>
        </is>
      </c>
      <c r="E346" t="inlineStr">
        <is>
          <t>Regione Marche</t>
        </is>
      </c>
      <c r="F346" t="inlineStr">
        <is>
          <t>https://www.youtube.com/channel/UCpiryXByW32kGxQXTlbnSXA</t>
        </is>
      </c>
      <c r="G346" t="inlineStr">
        <is>
          <t>https://www.youtube.com/channel/UCpiryXByW32kGxQXTlbnSXA</t>
        </is>
      </c>
      <c r="H346" t="inlineStr">
        <is>
          <t>https://www.youtube.com/channel/UCpiryXByW32kGxQXTlbnSXA</t>
        </is>
      </c>
      <c r="I346" t="n">
        <v>200</v>
      </c>
      <c r="J346" t="inlineStr">
        <is>
          <t>text/html</t>
        </is>
      </c>
      <c r="K346" t="n">
        <v>0</v>
      </c>
      <c r="L346" t="b">
        <v>1</v>
      </c>
      <c r="M346" t="b">
        <v>1</v>
      </c>
      <c r="N346" t="inlineStr">
        <is>
          <t>PROVED_BY_OWNER_SITE</t>
        </is>
      </c>
      <c r="O346" t="inlineStr">
        <is>
          <t>SIM</t>
        </is>
      </c>
      <c r="P346" t="inlineStr">
        <is>
          <t>SIM — declarado por dono italiano no proprio site</t>
        </is>
      </c>
      <c r="Q346" t="inlineStr">
        <is>
          <t>https://www.assam.marche.it/</t>
        </is>
      </c>
      <c r="R346" t="inlineStr">
        <is>
          <t>sonda HTTP read-only (GET limitado, payload nao preservado) + id estavel da plataforma extraido de og:/canonical + declaracao do perfil no site oficial do dono (rota publica, secao 10)</t>
        </is>
      </c>
      <c r="S346" t="inlineStr">
        <is>
          <t>2026-09-14T11:25:28Z</t>
        </is>
      </c>
      <c r="T346" t="inlineStr">
        <is>
          <t>PASS</t>
        </is>
      </c>
      <c r="U346" t="inlineStr"/>
      <c r="V346" t="inlineStr">
        <is>
          <t>T3;T2;T7</t>
        </is>
      </c>
      <c r="W346" t="inlineStr">
        <is>
          <t>MARCHE</t>
        </is>
      </c>
      <c r="X346" t="inlineStr"/>
      <c r="Y346" t="inlineStr">
        <is>
          <t>servizio fitosanitario;agrometeo;assistenza tecnica</t>
        </is>
      </c>
      <c r="Z346" t="inlineStr">
        <is>
          <t>platform_id UCpiryXByW32kGxQXTlbnSXA</t>
        </is>
      </c>
      <c r="AA346" t="inlineStr">
        <is>
          <t>site oficial do dono: https://www.assam.marche.it/</t>
        </is>
      </c>
      <c r="AB346" t="inlineStr">
        <is>
          <t>CONFIRMA</t>
        </is>
      </c>
      <c r="AC346" t="inlineStr">
        <is>
          <t>nao sorteada</t>
        </is>
      </c>
      <c r="AD346" t="inlineStr">
        <is>
          <t>UCpiryXByW32kGxQXTlbnSXA</t>
        </is>
      </c>
      <c r="AE346" t="inlineStr"/>
      <c r="AF346" t="inlineStr"/>
    </row>
    <row r="347">
      <c r="A347" t="inlineStr">
        <is>
          <t>IT-DISC-2026-09-14-0346</t>
        </is>
      </c>
      <c r="B347" t="inlineStr">
        <is>
          <t>Regione Molise — Agricoltura — Youtube ufficiale</t>
        </is>
      </c>
      <c r="C347" t="inlineStr">
        <is>
          <t>YOUTUBE</t>
        </is>
      </c>
      <c r="D347" t="inlineStr">
        <is>
          <t>ORG</t>
        </is>
      </c>
      <c r="E347" t="inlineStr">
        <is>
          <t>Regione Molise</t>
        </is>
      </c>
      <c r="F347" t="inlineStr">
        <is>
          <t>https://www.youtube.com/channel/UCH_LCqE9qGb6TvpXwGudNbQ</t>
        </is>
      </c>
      <c r="G347" t="inlineStr">
        <is>
          <t>https://www.youtube.com/channel/UCH_LCqE9qGb6TvpXwGudNbQ</t>
        </is>
      </c>
      <c r="H347" t="inlineStr">
        <is>
          <t>https://www.youtube.com/channel/UCH_LCqE9qGb6TvpXwGudNbQ</t>
        </is>
      </c>
      <c r="I347" t="n">
        <v>200</v>
      </c>
      <c r="J347" t="inlineStr">
        <is>
          <t>text/html</t>
        </is>
      </c>
      <c r="K347" t="n">
        <v>0</v>
      </c>
      <c r="L347" t="b">
        <v>1</v>
      </c>
      <c r="M347" t="b">
        <v>1</v>
      </c>
      <c r="N347" t="inlineStr">
        <is>
          <t>PROVED_BY_OWNER_SITE</t>
        </is>
      </c>
      <c r="O347" t="inlineStr">
        <is>
          <t>SIM</t>
        </is>
      </c>
      <c r="P347" t="inlineStr">
        <is>
          <t>SIM — declarado por dono italiano no proprio site</t>
        </is>
      </c>
      <c r="Q347" t="inlineStr">
        <is>
          <t>https://www.regione.molise.it/flex/cm/pages/ServeBLOB.php/L/IT/IDPagina/11683</t>
        </is>
      </c>
      <c r="R347" t="inlineStr">
        <is>
          <t>sonda HTTP read-only (GET limitado, payload nao preservado) + id estavel da plataforma extraido de og:/canonical + declaracao do perfil no site oficial do dono (rota publica, secao 10)</t>
        </is>
      </c>
      <c r="S347" t="inlineStr">
        <is>
          <t>2026-09-14T11:25:29Z</t>
        </is>
      </c>
      <c r="T347" t="inlineStr">
        <is>
          <t>PASS</t>
        </is>
      </c>
      <c r="U347" t="inlineStr"/>
      <c r="V347" t="inlineStr">
        <is>
          <t>T1;T4</t>
        </is>
      </c>
      <c r="W347" t="inlineStr">
        <is>
          <t>MOLISE</t>
        </is>
      </c>
      <c r="X347" t="inlineStr"/>
      <c r="Y347" t="inlineStr">
        <is>
          <t>agricoltura;PSR</t>
        </is>
      </c>
      <c r="Z347" t="inlineStr">
        <is>
          <t>platform_id UCH_LCqE9qGb6TvpXwGudNbQ</t>
        </is>
      </c>
      <c r="AA347" t="inlineStr">
        <is>
          <t>site oficial do dono: https://www.regione.molise.it/flex/cm/pages/ServeBLOB.php/L/IT/IDPagina/11683</t>
        </is>
      </c>
      <c r="AB347" t="inlineStr">
        <is>
          <t>nao sorteada</t>
        </is>
      </c>
      <c r="AC347" t="inlineStr">
        <is>
          <t>nao sorteada</t>
        </is>
      </c>
      <c r="AD347" t="inlineStr">
        <is>
          <t>UCH_LCqE9qGb6TvpXwGudNbQ</t>
        </is>
      </c>
      <c r="AE347" t="inlineStr"/>
      <c r="AF347" t="inlineStr"/>
    </row>
    <row r="348">
      <c r="A348" t="inlineStr">
        <is>
          <t>IT-DISC-2026-09-14-0347</t>
        </is>
      </c>
      <c r="B348" t="inlineStr">
        <is>
          <t>ANBI — Associazione Nazionale Consorzi di gestione e tutela del territorio e acque irrigue — Youtube ufficiale</t>
        </is>
      </c>
      <c r="C348" t="inlineStr">
        <is>
          <t>YOUTUBE</t>
        </is>
      </c>
      <c r="D348" t="inlineStr">
        <is>
          <t>ORG</t>
        </is>
      </c>
      <c r="E348" t="inlineStr">
        <is>
          <t>ANBI</t>
        </is>
      </c>
      <c r="F348" t="inlineStr">
        <is>
          <t>https://www.youtube.com/channel/UCFkdwOroXwCFMXHneVMeYqQ</t>
        </is>
      </c>
      <c r="G348" t="inlineStr">
        <is>
          <t>https://www.youtube.com/channel/UCFkdwOroXwCFMXHneVMeYqQ</t>
        </is>
      </c>
      <c r="H348" t="inlineStr">
        <is>
          <t>https://www.youtube.com/channel/UCFkdwOroXwCFMXHneVMeYqQ</t>
        </is>
      </c>
      <c r="I348" t="n">
        <v>200</v>
      </c>
      <c r="J348" t="inlineStr">
        <is>
          <t>text/html</t>
        </is>
      </c>
      <c r="K348" t="n">
        <v>0</v>
      </c>
      <c r="L348" t="b">
        <v>1</v>
      </c>
      <c r="M348" t="b">
        <v>1</v>
      </c>
      <c r="N348" t="inlineStr">
        <is>
          <t>PROVED_BY_OWNER_SITE</t>
        </is>
      </c>
      <c r="O348" t="inlineStr">
        <is>
          <t>SIM</t>
        </is>
      </c>
      <c r="P348" t="inlineStr">
        <is>
          <t>SIM — declarado por dono italiano no proprio site</t>
        </is>
      </c>
      <c r="Q348" t="inlineStr">
        <is>
          <t>https://www.anbi.it/</t>
        </is>
      </c>
      <c r="R348" t="inlineStr">
        <is>
          <t>sonda HTTP read-only (GET limitado, payload nao preservado) + id estavel da plataforma extraido de og:/canonical + declaracao do perfil no site oficial do dono (rota publica, secao 10)</t>
        </is>
      </c>
      <c r="S348" t="inlineStr">
        <is>
          <t>2026-09-14T11:25:27Z</t>
        </is>
      </c>
      <c r="T348" t="inlineStr">
        <is>
          <t>PASS</t>
        </is>
      </c>
      <c r="U348" t="inlineStr"/>
      <c r="V348" t="inlineStr">
        <is>
          <t>T2;T12</t>
        </is>
      </c>
      <c r="W348" t="inlineStr">
        <is>
          <t>NAZIONALE</t>
        </is>
      </c>
      <c r="X348" t="inlineStr"/>
      <c r="Y348" t="inlineStr">
        <is>
          <t>consorzi di bonifica;irrigazione</t>
        </is>
      </c>
      <c r="Z348" t="inlineStr">
        <is>
          <t>platform_id UCFkdwOroXwCFMXHneVMeYqQ</t>
        </is>
      </c>
      <c r="AA348" t="inlineStr">
        <is>
          <t>site oficial do dono: https://www.anbi.it/</t>
        </is>
      </c>
      <c r="AB348" t="inlineStr">
        <is>
          <t>nao sorteada</t>
        </is>
      </c>
      <c r="AC348" t="inlineStr">
        <is>
          <t>nao sorteada</t>
        </is>
      </c>
      <c r="AD348" t="inlineStr">
        <is>
          <t>UCFkdwOroXwCFMXHneVMeYqQ</t>
        </is>
      </c>
      <c r="AE348" t="inlineStr"/>
      <c r="AF348" t="inlineStr"/>
    </row>
    <row r="349">
      <c r="A349" t="inlineStr">
        <is>
          <t>IT-DISC-2026-09-14-0348</t>
        </is>
      </c>
      <c r="B349" t="inlineStr">
        <is>
          <t>Assosementi — Youtube ufficiale</t>
        </is>
      </c>
      <c r="C349" t="inlineStr">
        <is>
          <t>YOUTUBE</t>
        </is>
      </c>
      <c r="D349" t="inlineStr">
        <is>
          <t>ORG</t>
        </is>
      </c>
      <c r="E349" t="inlineStr">
        <is>
          <t>Assosementi</t>
        </is>
      </c>
      <c r="F349" t="inlineStr">
        <is>
          <t>https://www.youtube.com/channel/UCdJ3sb6r1X0pjU6XR9OMdGw</t>
        </is>
      </c>
      <c r="G349" t="inlineStr">
        <is>
          <t>https://www.youtube.com/channel/UCdJ3sb6r1X0pjU6XR9OMdGw</t>
        </is>
      </c>
      <c r="H349" t="inlineStr">
        <is>
          <t>https://www.youtube.com/channel/UCdJ3sb6r1X0pjU6XR9OMdGw</t>
        </is>
      </c>
      <c r="I349" t="n">
        <v>200</v>
      </c>
      <c r="J349" t="inlineStr">
        <is>
          <t>text/html</t>
        </is>
      </c>
      <c r="K349" t="n">
        <v>0</v>
      </c>
      <c r="L349" t="b">
        <v>1</v>
      </c>
      <c r="M349" t="b">
        <v>1</v>
      </c>
      <c r="N349" t="inlineStr">
        <is>
          <t>PROVED_BY_OWNER_SITE</t>
        </is>
      </c>
      <c r="O349" t="inlineStr">
        <is>
          <t>SIM</t>
        </is>
      </c>
      <c r="P349" t="inlineStr">
        <is>
          <t>SIM — declarado por dono italiano no proprio site</t>
        </is>
      </c>
      <c r="Q349" t="inlineStr">
        <is>
          <t>https://www.sementi.it/</t>
        </is>
      </c>
      <c r="R349" t="inlineStr">
        <is>
          <t>sonda HTTP read-only (GET limitado, payload nao preservado) + id estavel da plataforma extraido de og:/canonical + declaracao do perfil no site oficial do dono (rota publica, secao 10)</t>
        </is>
      </c>
      <c r="S349" t="inlineStr">
        <is>
          <t>2026-09-14T11:25:26Z</t>
        </is>
      </c>
      <c r="T349" t="inlineStr">
        <is>
          <t>PASS</t>
        </is>
      </c>
      <c r="U349" t="inlineStr"/>
      <c r="V349" t="inlineStr">
        <is>
          <t>T1;T10</t>
        </is>
      </c>
      <c r="W349" t="inlineStr">
        <is>
          <t>NAZIONALE</t>
        </is>
      </c>
      <c r="X349" t="inlineStr"/>
      <c r="Y349" t="inlineStr">
        <is>
          <t>sementi;varieta</t>
        </is>
      </c>
      <c r="Z349" t="inlineStr">
        <is>
          <t>platform_id UCdJ3sb6r1X0pjU6XR9OMdGw</t>
        </is>
      </c>
      <c r="AA349" t="inlineStr">
        <is>
          <t>site oficial do dono: https://www.sementi.it/</t>
        </is>
      </c>
      <c r="AB349" t="inlineStr">
        <is>
          <t>nao sorteada</t>
        </is>
      </c>
      <c r="AC349" t="inlineStr">
        <is>
          <t>nao sorteada</t>
        </is>
      </c>
      <c r="AD349" t="inlineStr">
        <is>
          <t>UCdJ3sb6r1X0pjU6XR9OMdGw</t>
        </is>
      </c>
      <c r="AE349" t="inlineStr"/>
      <c r="AF349" t="inlineStr"/>
    </row>
    <row r="350">
      <c r="A350" t="inlineStr">
        <is>
          <t>IT-DISC-2026-09-14-0349</t>
        </is>
      </c>
      <c r="B350" t="inlineStr">
        <is>
          <t>CIA — Agricoltori Italiani — Youtube ufficiale</t>
        </is>
      </c>
      <c r="C350" t="inlineStr">
        <is>
          <t>YOUTUBE</t>
        </is>
      </c>
      <c r="D350" t="inlineStr">
        <is>
          <t>ORG</t>
        </is>
      </c>
      <c r="E350" t="inlineStr">
        <is>
          <t>CIA</t>
        </is>
      </c>
      <c r="F350" t="inlineStr">
        <is>
          <t>https://www.youtube.com/user/CiaAgricoltori</t>
        </is>
      </c>
      <c r="G350" t="inlineStr">
        <is>
          <t>https://www.youtube.com/user/CiaAgricoltori</t>
        </is>
      </c>
      <c r="H350" t="inlineStr">
        <is>
          <t>https://www.youtube.com/user/CiaAgricoltori</t>
        </is>
      </c>
      <c r="I350" t="n">
        <v>200</v>
      </c>
      <c r="J350" t="inlineStr">
        <is>
          <t>text/html</t>
        </is>
      </c>
      <c r="K350" t="n">
        <v>0</v>
      </c>
      <c r="L350" t="b">
        <v>1</v>
      </c>
      <c r="M350" t="b">
        <v>1</v>
      </c>
      <c r="N350" t="inlineStr">
        <is>
          <t>PROVED_BY_OWNER_SITE</t>
        </is>
      </c>
      <c r="O350" t="inlineStr">
        <is>
          <t>SIM</t>
        </is>
      </c>
      <c r="P350" t="inlineStr">
        <is>
          <t>SIM — declarado por dono italiano no proprio site</t>
        </is>
      </c>
      <c r="Q350" t="inlineStr">
        <is>
          <t>https://www.cia.it/</t>
        </is>
      </c>
      <c r="R350" t="inlineStr">
        <is>
          <t>sonda HTTP read-only (GET limitado, payload nao preservado) + id estavel da plataforma extraido de og:/canonical + declaracao do perfil no site oficial do dono (rota publica, secao 10)</t>
        </is>
      </c>
      <c r="S350" t="inlineStr">
        <is>
          <t>2026-09-14T11:25:25Z</t>
        </is>
      </c>
      <c r="T350" t="inlineStr">
        <is>
          <t>PASS</t>
        </is>
      </c>
      <c r="U350" t="inlineStr"/>
      <c r="V350" t="inlineStr">
        <is>
          <t>T12;T7</t>
        </is>
      </c>
      <c r="W350" t="inlineStr">
        <is>
          <t>NAZIONALE</t>
        </is>
      </c>
      <c r="X350" t="inlineStr"/>
      <c r="Y350" t="inlineStr">
        <is>
          <t>organizzazione agricola;policy</t>
        </is>
      </c>
      <c r="Z350" t="inlineStr">
        <is>
          <t>platform_id UC0iNaYRRl9AJzjRxOHxIpsQ</t>
        </is>
      </c>
      <c r="AA350" t="inlineStr">
        <is>
          <t>site oficial do dono: https://www.cia.it/</t>
        </is>
      </c>
      <c r="AB350" t="inlineStr">
        <is>
          <t>nao sorteada</t>
        </is>
      </c>
      <c r="AC350" t="inlineStr">
        <is>
          <t>nao sorteada</t>
        </is>
      </c>
      <c r="AD350" t="inlineStr">
        <is>
          <t>UC0iNaYRRl9AJzjRxOHxIpsQ</t>
        </is>
      </c>
      <c r="AE350" t="inlineStr"/>
      <c r="AF350" t="inlineStr"/>
    </row>
    <row r="351">
      <c r="A351" t="inlineStr">
        <is>
          <t>IT-DISC-2026-09-14-0350</t>
        </is>
      </c>
      <c r="B351" t="inlineStr">
        <is>
          <t>CONAF — Consiglio Ordine Nazionale Dottori Agronomi e Forestali — Youtube ufficiale</t>
        </is>
      </c>
      <c r="C351" t="inlineStr">
        <is>
          <t>YOUTUBE</t>
        </is>
      </c>
      <c r="D351" t="inlineStr">
        <is>
          <t>ORG</t>
        </is>
      </c>
      <c r="E351" t="inlineStr">
        <is>
          <t>CONAF</t>
        </is>
      </c>
      <c r="F351" t="inlineStr">
        <is>
          <t>https://www.youtube.com/channel/UC4LCuwIcRPhrE2mFJ8ZXtLg</t>
        </is>
      </c>
      <c r="G351" t="inlineStr">
        <is>
          <t>https://www.youtube.com/channel/UC4LCuwIcRPhrE2mFJ8ZXtLg</t>
        </is>
      </c>
      <c r="H351" t="inlineStr">
        <is>
          <t>https://www.youtube.com/channel/UC4LCuwIcRPhrE2mFJ8ZXtLg</t>
        </is>
      </c>
      <c r="I351" t="n">
        <v>200</v>
      </c>
      <c r="J351" t="inlineStr">
        <is>
          <t>text/html</t>
        </is>
      </c>
      <c r="K351" t="n">
        <v>0</v>
      </c>
      <c r="L351" t="b">
        <v>1</v>
      </c>
      <c r="M351" t="b">
        <v>1</v>
      </c>
      <c r="N351" t="inlineStr">
        <is>
          <t>PROVED_BY_OWNER_SITE</t>
        </is>
      </c>
      <c r="O351" t="inlineStr">
        <is>
          <t>SIM</t>
        </is>
      </c>
      <c r="P351" t="inlineStr">
        <is>
          <t>SIM — declarado por dono italiano no proprio site</t>
        </is>
      </c>
      <c r="Q351" t="inlineStr">
        <is>
          <t>https://www.conaf.it/</t>
        </is>
      </c>
      <c r="R351" t="inlineStr">
        <is>
          <t>sonda HTTP read-only (GET limitado, payload nao preservado) + id estavel da plataforma extraido de og:/canonical + declaracao do perfil no site oficial do dono (rota publica, secao 10)</t>
        </is>
      </c>
      <c r="S351" t="inlineStr">
        <is>
          <t>2026-09-14T11:25:24Z</t>
        </is>
      </c>
      <c r="T351" t="inlineStr">
        <is>
          <t>PASS</t>
        </is>
      </c>
      <c r="U351" t="inlineStr"/>
      <c r="V351" t="inlineStr">
        <is>
          <t>T7;T12</t>
        </is>
      </c>
      <c r="W351" t="inlineStr">
        <is>
          <t>NAZIONALE</t>
        </is>
      </c>
      <c r="X351" t="inlineStr"/>
      <c r="Y351" t="inlineStr">
        <is>
          <t>agronomi;ordine professionale</t>
        </is>
      </c>
      <c r="Z351" t="inlineStr">
        <is>
          <t>platform_id UC4LCuwIcRPhrE2mFJ8ZXtLg</t>
        </is>
      </c>
      <c r="AA351" t="inlineStr">
        <is>
          <t>site oficial do dono: https://www.conaf.it/</t>
        </is>
      </c>
      <c r="AB351" t="inlineStr">
        <is>
          <t>nao sorteada</t>
        </is>
      </c>
      <c r="AC351" t="inlineStr">
        <is>
          <t>nao sorteada</t>
        </is>
      </c>
      <c r="AD351" t="inlineStr">
        <is>
          <t>UC4LCuwIcRPhrE2mFJ8ZXtLg</t>
        </is>
      </c>
      <c r="AE351" t="inlineStr"/>
      <c r="AF351" t="inlineStr"/>
    </row>
    <row r="352">
      <c r="A352" t="inlineStr">
        <is>
          <t>IT-DISC-2026-09-14-0351</t>
        </is>
      </c>
      <c r="B352" t="inlineStr">
        <is>
          <t>Coldiretti — Youtube ufficiale</t>
        </is>
      </c>
      <c r="C352" t="inlineStr">
        <is>
          <t>YOUTUBE</t>
        </is>
      </c>
      <c r="D352" t="inlineStr">
        <is>
          <t>ORG</t>
        </is>
      </c>
      <c r="E352" t="inlineStr">
        <is>
          <t>Coldiretti</t>
        </is>
      </c>
      <c r="F352" t="inlineStr">
        <is>
          <t>https://www.youtube.com/channel/UCEgJbey3UogPJPmdlBEAjKQ</t>
        </is>
      </c>
      <c r="G352" t="inlineStr">
        <is>
          <t>https://www.youtube.com/channel/UCEgJbey3UogPJPmdlBEAjKQ</t>
        </is>
      </c>
      <c r="H352" t="inlineStr">
        <is>
          <t>https://www.youtube.com/channel/UCEgJbey3UogPJPmdlBEAjKQ</t>
        </is>
      </c>
      <c r="I352" t="n">
        <v>200</v>
      </c>
      <c r="J352" t="inlineStr">
        <is>
          <t>text/html</t>
        </is>
      </c>
      <c r="K352" t="n">
        <v>0</v>
      </c>
      <c r="L352" t="b">
        <v>1</v>
      </c>
      <c r="M352" t="b">
        <v>1</v>
      </c>
      <c r="N352" t="inlineStr">
        <is>
          <t>PROVED_BY_OWNER_SITE</t>
        </is>
      </c>
      <c r="O352" t="inlineStr">
        <is>
          <t>SIM</t>
        </is>
      </c>
      <c r="P352" t="inlineStr">
        <is>
          <t>SIM — declarado por dono italiano no proprio site</t>
        </is>
      </c>
      <c r="Q352" t="inlineStr">
        <is>
          <t>https://www.coldiretti.it/</t>
        </is>
      </c>
      <c r="R352" t="inlineStr">
        <is>
          <t>sonda HTTP read-only (GET limitado, payload nao preservado) + id estavel da plataforma extraido de og:/canonical + declaracao do perfil no site oficial do dono (rota publica, secao 10)</t>
        </is>
      </c>
      <c r="S352" t="inlineStr">
        <is>
          <t>2026-09-14T11:25:25Z</t>
        </is>
      </c>
      <c r="T352" t="inlineStr">
        <is>
          <t>PASS</t>
        </is>
      </c>
      <c r="U352" t="inlineStr"/>
      <c r="V352" t="inlineStr">
        <is>
          <t>T12;T7;T10</t>
        </is>
      </c>
      <c r="W352" t="inlineStr">
        <is>
          <t>NAZIONALE</t>
        </is>
      </c>
      <c r="X352" t="inlineStr"/>
      <c r="Y352" t="inlineStr">
        <is>
          <t>organizzazione agricola;policy</t>
        </is>
      </c>
      <c r="Z352" t="inlineStr">
        <is>
          <t>platform_id UCEgJbey3UogPJPmdlBEAjKQ</t>
        </is>
      </c>
      <c r="AA352" t="inlineStr">
        <is>
          <t>site oficial do dono: https://www.coldiretti.it/</t>
        </is>
      </c>
      <c r="AB352" t="inlineStr">
        <is>
          <t>nao sorteada</t>
        </is>
      </c>
      <c r="AC352" t="inlineStr">
        <is>
          <t>nao sorteada</t>
        </is>
      </c>
      <c r="AD352" t="inlineStr">
        <is>
          <t>UCEgJbey3UogPJPmdlBEAjKQ</t>
        </is>
      </c>
      <c r="AE352" t="inlineStr"/>
      <c r="AF352" t="inlineStr"/>
    </row>
    <row r="353">
      <c r="A353" t="inlineStr">
        <is>
          <t>IT-DISC-2026-09-14-0352</t>
        </is>
      </c>
      <c r="B353" t="inlineStr">
        <is>
          <t>Confcooperative Fedagripesca — Youtube ufficiale</t>
        </is>
      </c>
      <c r="C353" t="inlineStr">
        <is>
          <t>YOUTUBE</t>
        </is>
      </c>
      <c r="D353" t="inlineStr">
        <is>
          <t>ORG</t>
        </is>
      </c>
      <c r="E353" t="inlineStr">
        <is>
          <t>Confcooperative</t>
        </is>
      </c>
      <c r="F353" t="inlineStr">
        <is>
          <t>https://www.youtube.com/channel/UCJbuSrQ57Z-dAYGI7n2VwPg</t>
        </is>
      </c>
      <c r="G353" t="inlineStr">
        <is>
          <t>https://www.youtube.com/channel/UCJbuSrQ57Z-dAYGI7n2VwPg</t>
        </is>
      </c>
      <c r="H353" t="inlineStr">
        <is>
          <t>https://www.youtube.com/channel/UCJbuSrQ57Z-dAYGI7n2VwPg</t>
        </is>
      </c>
      <c r="I353" t="n">
        <v>200</v>
      </c>
      <c r="J353" t="inlineStr">
        <is>
          <t>text/html</t>
        </is>
      </c>
      <c r="K353" t="n">
        <v>0</v>
      </c>
      <c r="L353" t="b">
        <v>1</v>
      </c>
      <c r="M353" t="b">
        <v>1</v>
      </c>
      <c r="N353" t="inlineStr">
        <is>
          <t>PROVED_BY_OWNER_SITE</t>
        </is>
      </c>
      <c r="O353" t="inlineStr">
        <is>
          <t>SIM</t>
        </is>
      </c>
      <c r="P353" t="inlineStr">
        <is>
          <t>SIM — declarado por dono italiano no proprio site</t>
        </is>
      </c>
      <c r="Q353" t="inlineStr">
        <is>
          <t>https://www.fedagripesca.confcooperative.it/</t>
        </is>
      </c>
      <c r="R353" t="inlineStr">
        <is>
          <t>sonda HTTP read-only (GET limitado, payload nao preservado) + id estavel da plataforma extraido de og:/canonical + declaracao do perfil no site oficial do dono (rota publica, secao 10)</t>
        </is>
      </c>
      <c r="S353" t="inlineStr">
        <is>
          <t>2026-09-14T11:25:26Z</t>
        </is>
      </c>
      <c r="T353" t="inlineStr">
        <is>
          <t>PASS</t>
        </is>
      </c>
      <c r="U353" t="inlineStr"/>
      <c r="V353" t="inlineStr">
        <is>
          <t>T10;T7</t>
        </is>
      </c>
      <c r="W353" t="inlineStr">
        <is>
          <t>NAZIONALE</t>
        </is>
      </c>
      <c r="X353" t="inlineStr"/>
      <c r="Y353" t="inlineStr">
        <is>
          <t>cooperative agricole</t>
        </is>
      </c>
      <c r="Z353" t="inlineStr">
        <is>
          <t>platform_id UCJbuSrQ57Z-dAYGI7n2VwPg</t>
        </is>
      </c>
      <c r="AA353" t="inlineStr">
        <is>
          <t>site oficial do dono: https://www.fedagripesca.confcooperative.it/</t>
        </is>
      </c>
      <c r="AB353" t="inlineStr">
        <is>
          <t>nao sorteada</t>
        </is>
      </c>
      <c r="AC353" t="inlineStr">
        <is>
          <t>nao sorteada</t>
        </is>
      </c>
      <c r="AD353" t="inlineStr">
        <is>
          <t>UCJbuSrQ57Z-dAYGI7n2VwPg</t>
        </is>
      </c>
      <c r="AE353" t="inlineStr"/>
      <c r="AF353" t="inlineStr"/>
    </row>
    <row r="354">
      <c r="A354" t="inlineStr">
        <is>
          <t>IT-DISC-2026-09-14-0353</t>
        </is>
      </c>
      <c r="B354" t="inlineStr">
        <is>
          <t>Consorzi Agrari d'Italia — CAI — Youtube ufficiale</t>
        </is>
      </c>
      <c r="C354" t="inlineStr">
        <is>
          <t>YOUTUBE</t>
        </is>
      </c>
      <c r="D354" t="inlineStr">
        <is>
          <t>ORG</t>
        </is>
      </c>
      <c r="E354" t="inlineStr">
        <is>
          <t>Consorzi Agrari d'Italia</t>
        </is>
      </c>
      <c r="F354" t="inlineStr">
        <is>
          <t>https://www.youtube.com/channel/UC84-4aKRmQbIG5eprbIaR9Q</t>
        </is>
      </c>
      <c r="G354" t="inlineStr">
        <is>
          <t>https://www.youtube.com/channel/UC84-4aKRmQbIG5eprbIaR9Q</t>
        </is>
      </c>
      <c r="H354" t="inlineStr">
        <is>
          <t>https://www.youtube.com/channel/UC84-4aKRmQbIG5eprbIaR9Q</t>
        </is>
      </c>
      <c r="I354" t="n">
        <v>200</v>
      </c>
      <c r="J354" t="inlineStr">
        <is>
          <t>text/html</t>
        </is>
      </c>
      <c r="K354" t="n">
        <v>0</v>
      </c>
      <c r="L354" t="b">
        <v>1</v>
      </c>
      <c r="M354" t="b">
        <v>1</v>
      </c>
      <c r="N354" t="inlineStr">
        <is>
          <t>PROVED_BY_OWNER_SITE</t>
        </is>
      </c>
      <c r="O354" t="inlineStr">
        <is>
          <t>SIM</t>
        </is>
      </c>
      <c r="P354" t="inlineStr">
        <is>
          <t>SIM — declarado por dono italiano no proprio site</t>
        </is>
      </c>
      <c r="Q354" t="inlineStr">
        <is>
          <t>https://www.consorziagrariditalia.it/chi-siamo/</t>
        </is>
      </c>
      <c r="R354" t="inlineStr">
        <is>
          <t>sonda HTTP read-only (GET limitado, payload nao preservado) + id estavel da plataforma extraido de og:/canonical + declaracao do perfil no site oficial do dono (rota publica, secao 10)</t>
        </is>
      </c>
      <c r="S354" t="inlineStr">
        <is>
          <t>2026-09-14T11:25:45Z</t>
        </is>
      </c>
      <c r="T354" t="inlineStr">
        <is>
          <t>PASS</t>
        </is>
      </c>
      <c r="U354" t="inlineStr"/>
      <c r="V354" t="inlineStr">
        <is>
          <t>T7;T10</t>
        </is>
      </c>
      <c r="W354" t="inlineStr">
        <is>
          <t>NAZIONALE</t>
        </is>
      </c>
      <c r="X354" t="inlineStr"/>
      <c r="Y354" t="inlineStr">
        <is>
          <t>consorzio agrario;distribuzione</t>
        </is>
      </c>
      <c r="Z354" t="inlineStr">
        <is>
          <t>platform_id UC84-4aKRmQbIG5eprbIaR9Q</t>
        </is>
      </c>
      <c r="AA354" t="inlineStr">
        <is>
          <t>site oficial do dono: https://www.consorziagrariditalia.it/chi-siamo/</t>
        </is>
      </c>
      <c r="AB354" t="inlineStr">
        <is>
          <t>nao sorteada</t>
        </is>
      </c>
      <c r="AC354" t="inlineStr">
        <is>
          <t>nao sorteada</t>
        </is>
      </c>
      <c r="AD354" t="inlineStr">
        <is>
          <t>UC84-4aKRmQbIG5eprbIaR9Q</t>
        </is>
      </c>
      <c r="AE354" t="inlineStr"/>
      <c r="AF354" t="inlineStr"/>
    </row>
    <row r="355">
      <c r="A355" t="inlineStr">
        <is>
          <t>IT-DISC-2026-09-14-0354</t>
        </is>
      </c>
      <c r="B355" t="inlineStr">
        <is>
          <t>FederBio — Youtube ufficiale</t>
        </is>
      </c>
      <c r="C355" t="inlineStr">
        <is>
          <t>YOUTUBE</t>
        </is>
      </c>
      <c r="D355" t="inlineStr">
        <is>
          <t>ORG</t>
        </is>
      </c>
      <c r="E355" t="inlineStr">
        <is>
          <t>FederBio</t>
        </is>
      </c>
      <c r="F355" t="inlineStr">
        <is>
          <t>https://www.youtube.com/user/FederBioItalia</t>
        </is>
      </c>
      <c r="G355" t="inlineStr">
        <is>
          <t>https://www.youtube.com/user/FederBioItalia</t>
        </is>
      </c>
      <c r="H355" t="inlineStr">
        <is>
          <t>https://www.youtube.com/user/FederBioItalia</t>
        </is>
      </c>
      <c r="I355" t="n">
        <v>200</v>
      </c>
      <c r="J355" t="inlineStr">
        <is>
          <t>text/html</t>
        </is>
      </c>
      <c r="K355" t="n">
        <v>0</v>
      </c>
      <c r="L355" t="b">
        <v>1</v>
      </c>
      <c r="M355" t="b">
        <v>1</v>
      </c>
      <c r="N355" t="inlineStr">
        <is>
          <t>PROVED_BY_OWNER_SITE</t>
        </is>
      </c>
      <c r="O355" t="inlineStr">
        <is>
          <t>SIM</t>
        </is>
      </c>
      <c r="P355" t="inlineStr">
        <is>
          <t>SIM — declarado por dono italiano no proprio site</t>
        </is>
      </c>
      <c r="Q355" t="inlineStr">
        <is>
          <t>https://feder.bio/</t>
        </is>
      </c>
      <c r="R355" t="inlineStr">
        <is>
          <t>sonda HTTP read-only (GET limitado, payload nao preservado) + id estavel da plataforma extraido de og:/canonical + declaracao do perfil no site oficial do dono (rota publica, secao 10)</t>
        </is>
      </c>
      <c r="S355" t="inlineStr">
        <is>
          <t>2026-09-14T11:25:46Z</t>
        </is>
      </c>
      <c r="T355" t="inlineStr">
        <is>
          <t>PASS</t>
        </is>
      </c>
      <c r="U355" t="inlineStr"/>
      <c r="V355" t="inlineStr">
        <is>
          <t>T12;T1</t>
        </is>
      </c>
      <c r="W355" t="inlineStr">
        <is>
          <t>NAZIONALE</t>
        </is>
      </c>
      <c r="X355" t="inlineStr"/>
      <c r="Y355" t="inlineStr">
        <is>
          <t>agricoltura biologica;certificazione</t>
        </is>
      </c>
      <c r="Z355" t="inlineStr">
        <is>
          <t>platform_id UCZb5Epldni2gfgoXoN15tGA</t>
        </is>
      </c>
      <c r="AA355" t="inlineStr">
        <is>
          <t>site oficial do dono: https://feder.bio/</t>
        </is>
      </c>
      <c r="AB355" t="inlineStr">
        <is>
          <t>nao sorteada</t>
        </is>
      </c>
      <c r="AC355" t="inlineStr">
        <is>
          <t>nao sorteada</t>
        </is>
      </c>
      <c r="AD355" t="inlineStr">
        <is>
          <t>UCZb5Epldni2gfgoXoN15tGA</t>
        </is>
      </c>
      <c r="AE355" t="inlineStr"/>
      <c r="AF355" t="inlineStr"/>
    </row>
    <row r="356">
      <c r="A356" t="inlineStr">
        <is>
          <t>IT-DISC-2026-09-14-0355</t>
        </is>
      </c>
      <c r="B356" t="inlineStr">
        <is>
          <t>ISPRA — Istituto Superiore per la Protezione e la Ricerca Ambientale — Youtube ufficiale</t>
        </is>
      </c>
      <c r="C356" t="inlineStr">
        <is>
          <t>YOUTUBE</t>
        </is>
      </c>
      <c r="D356" t="inlineStr">
        <is>
          <t>ORG</t>
        </is>
      </c>
      <c r="E356" t="inlineStr">
        <is>
          <t>ISPRA</t>
        </is>
      </c>
      <c r="F356" t="inlineStr">
        <is>
          <t>https://www.youtube.com/user/ISPRAVIDEO</t>
        </is>
      </c>
      <c r="G356" t="inlineStr">
        <is>
          <t>https://www.youtube.com/user/ISPRAVIDEO</t>
        </is>
      </c>
      <c r="H356" t="inlineStr">
        <is>
          <t>https://www.youtube.com/user/ISPRAVIDEO</t>
        </is>
      </c>
      <c r="I356" t="n">
        <v>200</v>
      </c>
      <c r="J356" t="inlineStr">
        <is>
          <t>text/html</t>
        </is>
      </c>
      <c r="K356" t="n">
        <v>0</v>
      </c>
      <c r="L356" t="b">
        <v>1</v>
      </c>
      <c r="M356" t="b">
        <v>1</v>
      </c>
      <c r="N356" t="inlineStr">
        <is>
          <t>PROVED_BY_OWNER_SITE</t>
        </is>
      </c>
      <c r="O356" t="inlineStr">
        <is>
          <t>SIM</t>
        </is>
      </c>
      <c r="P356" t="inlineStr">
        <is>
          <t>SIM — declarado por dono italiano no proprio site</t>
        </is>
      </c>
      <c r="Q356" t="inlineStr">
        <is>
          <t>https://www.isprambiente.gov.it/</t>
        </is>
      </c>
      <c r="R356" t="inlineStr">
        <is>
          <t>sonda HTTP read-only (GET limitado, payload nao preservado) + id estavel da plataforma extraido de og:/canonical + declaracao do perfil no site oficial do dono (rota publica, secao 10)</t>
        </is>
      </c>
      <c r="S356" t="inlineStr">
        <is>
          <t>2026-09-14T11:25:20Z</t>
        </is>
      </c>
      <c r="T356" t="inlineStr">
        <is>
          <t>PASS</t>
        </is>
      </c>
      <c r="U356" t="inlineStr"/>
      <c r="V356" t="inlineStr">
        <is>
          <t>T2;T12</t>
        </is>
      </c>
      <c r="W356" t="inlineStr">
        <is>
          <t>NAZIONALE</t>
        </is>
      </c>
      <c r="X356" t="inlineStr"/>
      <c r="Y356" t="inlineStr">
        <is>
          <t>ambiente;acque;suolo;indicatori</t>
        </is>
      </c>
      <c r="Z356" t="inlineStr">
        <is>
          <t>platform_id UCUpCShTEkFvbXHCQRiWczjQ</t>
        </is>
      </c>
      <c r="AA356" t="inlineStr">
        <is>
          <t>site oficial do dono: https://www.isprambiente.gov.it/</t>
        </is>
      </c>
      <c r="AB356" t="inlineStr">
        <is>
          <t>nao sorteada</t>
        </is>
      </c>
      <c r="AC356" t="inlineStr">
        <is>
          <t>nao sorteada</t>
        </is>
      </c>
      <c r="AD356" t="inlineStr">
        <is>
          <t>UCUpCShTEkFvbXHCQRiWczjQ</t>
        </is>
      </c>
      <c r="AE356" t="inlineStr"/>
      <c r="AF356" t="inlineStr"/>
    </row>
    <row r="357">
      <c r="A357" t="inlineStr">
        <is>
          <t>IT-DISC-2026-09-14-0356</t>
        </is>
      </c>
      <c r="B357" t="inlineStr">
        <is>
          <t>Koppert Italia — Youtube ufficiale</t>
        </is>
      </c>
      <c r="C357" t="inlineStr">
        <is>
          <t>YOUTUBE</t>
        </is>
      </c>
      <c r="D357" t="inlineStr">
        <is>
          <t>ORG</t>
        </is>
      </c>
      <c r="E357" t="inlineStr">
        <is>
          <t>Koppert Biological Systems</t>
        </is>
      </c>
      <c r="F357" t="inlineStr">
        <is>
          <t>https://www.youtube.com/channel/UCmPpv0_TilfaF9Df5SzeFiQ</t>
        </is>
      </c>
      <c r="G357" t="inlineStr">
        <is>
          <t>https://www.youtube.com/channel/UCmPpv0_TilfaF9Df5SzeFiQ</t>
        </is>
      </c>
      <c r="H357" t="inlineStr">
        <is>
          <t>https://www.youtube.com/channel/UCmPpv0_TilfaF9Df5SzeFiQ</t>
        </is>
      </c>
      <c r="I357" t="n">
        <v>200</v>
      </c>
      <c r="J357" t="inlineStr">
        <is>
          <t>text/html</t>
        </is>
      </c>
      <c r="K357" t="n">
        <v>0</v>
      </c>
      <c r="L357" t="b">
        <v>1</v>
      </c>
      <c r="M357" t="b">
        <v>1</v>
      </c>
      <c r="N357" t="inlineStr">
        <is>
          <t>PROVED_BY_OWNER_SITE</t>
        </is>
      </c>
      <c r="O357" t="inlineStr">
        <is>
          <t>SIM</t>
        </is>
      </c>
      <c r="P357" t="inlineStr">
        <is>
          <t>SIM — declarado por dono italiano no proprio site</t>
        </is>
      </c>
      <c r="Q357" t="inlineStr">
        <is>
          <t>https://www.koppert.it/</t>
        </is>
      </c>
      <c r="R357" t="inlineStr">
        <is>
          <t>sonda HTTP read-only (GET limitado, payload nao preservado) + id estavel da plataforma extraido de og:/canonical + declaracao do perfil no site oficial do dono (rota publica, secao 10)</t>
        </is>
      </c>
      <c r="S357" t="inlineStr">
        <is>
          <t>2026-09-14T11:25:41Z</t>
        </is>
      </c>
      <c r="T357" t="inlineStr">
        <is>
          <t>PASS</t>
        </is>
      </c>
      <c r="U357" t="inlineStr"/>
      <c r="V357" t="inlineStr">
        <is>
          <t>T9;T3</t>
        </is>
      </c>
      <c r="W357" t="inlineStr">
        <is>
          <t>NAZIONALE</t>
        </is>
      </c>
      <c r="X357" t="inlineStr"/>
      <c r="Y357" t="inlineStr">
        <is>
          <t>biocontrollo;insetti utili</t>
        </is>
      </c>
      <c r="Z357" t="inlineStr">
        <is>
          <t>platform_id UCmPpv0_TilfaF9Df5SzeFiQ</t>
        </is>
      </c>
      <c r="AA357" t="inlineStr">
        <is>
          <t>site oficial do dono: https://www.koppert.it/</t>
        </is>
      </c>
      <c r="AB357" t="inlineStr">
        <is>
          <t>nao sorteada</t>
        </is>
      </c>
      <c r="AC357" t="inlineStr">
        <is>
          <t>nao sorteada</t>
        </is>
      </c>
      <c r="AD357" t="inlineStr">
        <is>
          <t>UCmPpv0_TilfaF9Df5SzeFiQ</t>
        </is>
      </c>
      <c r="AE357" t="inlineStr"/>
      <c r="AF357" t="inlineStr"/>
    </row>
    <row r="358">
      <c r="A358" t="inlineStr">
        <is>
          <t>IT-DISC-2026-09-14-0357</t>
        </is>
      </c>
      <c r="B358" t="inlineStr">
        <is>
          <t>Myfruit.it — Youtube ufficiale</t>
        </is>
      </c>
      <c r="C358" t="inlineStr">
        <is>
          <t>YOUTUBE</t>
        </is>
      </c>
      <c r="D358" t="inlineStr">
        <is>
          <t>ORG</t>
        </is>
      </c>
      <c r="E358" t="inlineStr">
        <is>
          <t>Myfruit</t>
        </is>
      </c>
      <c r="F358" t="inlineStr">
        <is>
          <t>https://www.youtube.com/user/myfruitvideo</t>
        </is>
      </c>
      <c r="G358" t="inlineStr">
        <is>
          <t>https://www.youtube.com/user/myfruitvideo</t>
        </is>
      </c>
      <c r="H358" t="inlineStr">
        <is>
          <t>https://www.youtube.com/user/myfruitvideo</t>
        </is>
      </c>
      <c r="I358" t="n">
        <v>200</v>
      </c>
      <c r="J358" t="inlineStr">
        <is>
          <t>text/html</t>
        </is>
      </c>
      <c r="K358" t="n">
        <v>0</v>
      </c>
      <c r="L358" t="b">
        <v>1</v>
      </c>
      <c r="M358" t="b">
        <v>1</v>
      </c>
      <c r="N358" t="inlineStr">
        <is>
          <t>PROVED_BY_OWNER_SITE</t>
        </is>
      </c>
      <c r="O358" t="inlineStr">
        <is>
          <t>SIM</t>
        </is>
      </c>
      <c r="P358" t="inlineStr">
        <is>
          <t>SIM — declarado por dono italiano no proprio site</t>
        </is>
      </c>
      <c r="Q358" t="inlineStr">
        <is>
          <t>https://www.myfruit.it/</t>
        </is>
      </c>
      <c r="R358" t="inlineStr">
        <is>
          <t>sonda HTTP read-only (GET limitado, payload nao preservado) + id estavel da plataforma extraido de og:/canonical + declaracao do perfil no site oficial do dono (rota publica, secao 10)</t>
        </is>
      </c>
      <c r="S358" t="inlineStr">
        <is>
          <t>2026-09-14T11:25:37Z</t>
        </is>
      </c>
      <c r="T358" t="inlineStr">
        <is>
          <t>PASS</t>
        </is>
      </c>
      <c r="U358" t="inlineStr"/>
      <c r="V358" t="inlineStr">
        <is>
          <t>T10;T1</t>
        </is>
      </c>
      <c r="W358" t="inlineStr">
        <is>
          <t>NAZIONALE</t>
        </is>
      </c>
      <c r="X358" t="inlineStr">
        <is>
          <t>ortofrutta</t>
        </is>
      </c>
      <c r="Y358" t="inlineStr">
        <is>
          <t>ortofrutta;mercato</t>
        </is>
      </c>
      <c r="Z358" t="inlineStr">
        <is>
          <t>platform_id UCfdN2DQZBfZo-7VgBqotYuQ</t>
        </is>
      </c>
      <c r="AA358" t="inlineStr">
        <is>
          <t>site oficial do dono: https://www.myfruit.it/</t>
        </is>
      </c>
      <c r="AB358" t="inlineStr">
        <is>
          <t>nao sorteada</t>
        </is>
      </c>
      <c r="AC358" t="inlineStr">
        <is>
          <t>nao sorteada</t>
        </is>
      </c>
      <c r="AD358" t="inlineStr">
        <is>
          <t>UCfdN2DQZBfZo-7VgBqotYuQ</t>
        </is>
      </c>
      <c r="AE358" t="inlineStr"/>
      <c r="AF358" t="inlineStr"/>
    </row>
    <row r="359">
      <c r="A359" t="inlineStr">
        <is>
          <t>IT-DISC-2026-09-14-0358</t>
        </is>
      </c>
      <c r="B359" t="inlineStr">
        <is>
          <t>Noi Siamo Agricoltura — canale YouTube</t>
        </is>
      </c>
      <c r="C359" t="inlineStr">
        <is>
          <t>YOUTUBE</t>
        </is>
      </c>
      <c r="D359" t="inlineStr">
        <is>
          <t>ORG</t>
        </is>
      </c>
      <c r="E359" t="inlineStr">
        <is>
          <t>Noi Siamo Agricoltura</t>
        </is>
      </c>
      <c r="F359" t="inlineStr">
        <is>
          <t>https://www.youtube.com/@NoiSiamoAgricoltura</t>
        </is>
      </c>
      <c r="G359" t="inlineStr">
        <is>
          <t>https://www.youtube.com/@NoiSiamoAgricoltura</t>
        </is>
      </c>
      <c r="H359" t="inlineStr">
        <is>
          <t>https://www.youtube.com/@NoiSiamoAgricoltura</t>
        </is>
      </c>
      <c r="I359" t="n">
        <v>200</v>
      </c>
      <c r="J359" t="inlineStr">
        <is>
          <t>text/html</t>
        </is>
      </c>
      <c r="K359" t="n">
        <v>0</v>
      </c>
      <c r="L359" t="b">
        <v>1</v>
      </c>
      <c r="M359" t="b">
        <v>1</v>
      </c>
      <c r="N359" t="inlineStr">
        <is>
          <t>PROVED_DIRECT_PLATFORM_ID</t>
        </is>
      </c>
      <c r="O359" t="inlineStr">
        <is>
          <t>SIM</t>
        </is>
      </c>
      <c r="P359" t="inlineStr">
        <is>
          <t>SIM — dono italiano identificado na pagina</t>
        </is>
      </c>
      <c r="Q359" t="inlineStr">
        <is>
          <t>Noi Siamo Agricoltura - YouTube</t>
        </is>
      </c>
      <c r="R359" t="inlineStr">
        <is>
          <t>sonda HTTP read-only (GET limitado, payload nao preservado) + id estavel da plataforma extraido de og:/canonical</t>
        </is>
      </c>
      <c r="S359" t="inlineStr">
        <is>
          <t>2026-09-14T11:22:27Z</t>
        </is>
      </c>
      <c r="T359" t="inlineStr">
        <is>
          <t>PASS</t>
        </is>
      </c>
      <c r="U359" t="inlineStr"/>
      <c r="V359" t="inlineStr">
        <is>
          <t>T8;T1</t>
        </is>
      </c>
      <c r="W359" t="inlineStr">
        <is>
          <t>NAZIONALE</t>
        </is>
      </c>
      <c r="X359" t="inlineStr"/>
      <c r="Y359" t="inlineStr">
        <is>
          <t>community agricoltori;divulgazione</t>
        </is>
      </c>
      <c r="Z359" t="inlineStr">
        <is>
          <t>platform_id UCTs0wRmwBLKHlhRD4Ot5K1Q</t>
        </is>
      </c>
      <c r="AA359" t="inlineStr">
        <is>
          <t>meta description: Noi Siamo Agricoltura è community di agricoltori e appassionati Italia</t>
        </is>
      </c>
      <c r="AB359" t="inlineStr">
        <is>
          <t>nao sorteada</t>
        </is>
      </c>
      <c r="AC359" t="inlineStr">
        <is>
          <t>nao sorteada</t>
        </is>
      </c>
      <c r="AD359" t="inlineStr">
        <is>
          <t>UCTs0wRmwBLKHlhRD4Ot5K1Q</t>
        </is>
      </c>
      <c r="AE359" t="inlineStr"/>
      <c r="AF359" t="inlineStr"/>
    </row>
    <row r="360">
      <c r="A360" t="inlineStr">
        <is>
          <t>IT-DISC-2026-09-14-0359</t>
        </is>
      </c>
      <c r="B360" t="inlineStr">
        <is>
          <t>Olio Officina — Youtube ufficiale</t>
        </is>
      </c>
      <c r="C360" t="inlineStr">
        <is>
          <t>YOUTUBE</t>
        </is>
      </c>
      <c r="D360" t="inlineStr">
        <is>
          <t>ORG</t>
        </is>
      </c>
      <c r="E360" t="inlineStr">
        <is>
          <t>Olio Officina</t>
        </is>
      </c>
      <c r="F360" t="inlineStr">
        <is>
          <t>https://www.youtube.com/channel/UCXUG407gp3CnWnfS3ycijhA</t>
        </is>
      </c>
      <c r="G360" t="inlineStr">
        <is>
          <t>https://www.youtube.com/channel/UCXUG407gp3CnWnfS3ycijhA</t>
        </is>
      </c>
      <c r="H360" t="inlineStr">
        <is>
          <t>https://www.youtube.com/channel/UCXUG407gp3CnWnfS3ycijhA</t>
        </is>
      </c>
      <c r="I360" t="n">
        <v>200</v>
      </c>
      <c r="J360" t="inlineStr">
        <is>
          <t>text/html</t>
        </is>
      </c>
      <c r="K360" t="n">
        <v>0</v>
      </c>
      <c r="L360" t="b">
        <v>1</v>
      </c>
      <c r="M360" t="b">
        <v>1</v>
      </c>
      <c r="N360" t="inlineStr">
        <is>
          <t>PROVED_BY_OWNER_SITE</t>
        </is>
      </c>
      <c r="O360" t="inlineStr">
        <is>
          <t>SIM</t>
        </is>
      </c>
      <c r="P360" t="inlineStr">
        <is>
          <t>SIM — declarado por dono italiano no proprio site</t>
        </is>
      </c>
      <c r="Q360" t="inlineStr">
        <is>
          <t>https://www.olioofficina.it/</t>
        </is>
      </c>
      <c r="R360" t="inlineStr">
        <is>
          <t>sonda HTTP read-only (GET limitado, payload nao preservado) + id estavel da plataforma extraido de og:/canonical + declaracao do perfil no site oficial do dono (rota publica, secao 10)</t>
        </is>
      </c>
      <c r="S360" t="inlineStr">
        <is>
          <t>2026-09-14T11:25:38Z</t>
        </is>
      </c>
      <c r="T360" t="inlineStr">
        <is>
          <t>PASS</t>
        </is>
      </c>
      <c r="U360" t="inlineStr"/>
      <c r="V360" t="inlineStr">
        <is>
          <t>T1;T10</t>
        </is>
      </c>
      <c r="W360" t="inlineStr">
        <is>
          <t>NAZIONALE</t>
        </is>
      </c>
      <c r="X360" t="inlineStr">
        <is>
          <t>olio</t>
        </is>
      </c>
      <c r="Y360" t="inlineStr">
        <is>
          <t>olio;cultura olivicola</t>
        </is>
      </c>
      <c r="Z360" t="inlineStr">
        <is>
          <t>platform_id UCXUG407gp3CnWnfS3ycijhA</t>
        </is>
      </c>
      <c r="AA360" t="inlineStr">
        <is>
          <t>site oficial do dono: https://www.olioofficina.it/</t>
        </is>
      </c>
      <c r="AB360" t="inlineStr">
        <is>
          <t>nao sorteada</t>
        </is>
      </c>
      <c r="AC360" t="inlineStr">
        <is>
          <t>nao sorteada</t>
        </is>
      </c>
      <c r="AD360" t="inlineStr">
        <is>
          <t>UCXUG407gp3CnWnfS3ycijhA</t>
        </is>
      </c>
      <c r="AE360" t="inlineStr"/>
      <c r="AF360" t="inlineStr"/>
    </row>
    <row r="361">
      <c r="A361" t="inlineStr">
        <is>
          <t>IT-DISC-2026-09-14-0360</t>
        </is>
      </c>
      <c r="B361" t="inlineStr">
        <is>
          <t>Pianeta PSR — Youtube ufficiale</t>
        </is>
      </c>
      <c r="C361" t="inlineStr">
        <is>
          <t>YOUTUBE</t>
        </is>
      </c>
      <c r="D361" t="inlineStr">
        <is>
          <t>ORG</t>
        </is>
      </c>
      <c r="E361" t="inlineStr">
        <is>
          <t>Rete Rurale Nazionale / MASAF</t>
        </is>
      </c>
      <c r="F361" t="inlineStr">
        <is>
          <t>https://www.youtube.com/user/reterurale</t>
        </is>
      </c>
      <c r="G361" t="inlineStr">
        <is>
          <t>https://www.youtube.com/user/reterurale</t>
        </is>
      </c>
      <c r="H361" t="inlineStr">
        <is>
          <t>https://www.youtube.com/user/reterurale</t>
        </is>
      </c>
      <c r="I361" t="n">
        <v>200</v>
      </c>
      <c r="J361" t="inlineStr">
        <is>
          <t>text/html</t>
        </is>
      </c>
      <c r="K361" t="n">
        <v>0</v>
      </c>
      <c r="L361" t="b">
        <v>1</v>
      </c>
      <c r="M361" t="b">
        <v>1</v>
      </c>
      <c r="N361" t="inlineStr">
        <is>
          <t>PROVED_BY_OWNER_SITE</t>
        </is>
      </c>
      <c r="O361" t="inlineStr">
        <is>
          <t>SIM</t>
        </is>
      </c>
      <c r="P361" t="inlineStr">
        <is>
          <t>SIM — declarado por dono italiano no proprio site</t>
        </is>
      </c>
      <c r="Q361" t="inlineStr">
        <is>
          <t>https://www.pianetapsr.it/</t>
        </is>
      </c>
      <c r="R361" t="inlineStr">
        <is>
          <t>sonda HTTP read-only (GET limitado, payload nao preservado) + id estavel da plataforma extraido de og:/canonical + declaracao do perfil no site oficial do dono (rota publica, secao 10)</t>
        </is>
      </c>
      <c r="S361" t="inlineStr">
        <is>
          <t>2026-09-14T11:25:27Z</t>
        </is>
      </c>
      <c r="T361" t="inlineStr">
        <is>
          <t>PASS</t>
        </is>
      </c>
      <c r="U361" t="inlineStr"/>
      <c r="V361" t="inlineStr">
        <is>
          <t>T12;T10</t>
        </is>
      </c>
      <c r="W361" t="inlineStr">
        <is>
          <t>NAZIONALE</t>
        </is>
      </c>
      <c r="X361" t="inlineStr"/>
      <c r="Y361" t="inlineStr">
        <is>
          <t>PSR;politica agricola;CAP</t>
        </is>
      </c>
      <c r="Z361" t="inlineStr">
        <is>
          <t>platform_id UCZvge-xP6fg5S5DvUxjNbGQ</t>
        </is>
      </c>
      <c r="AA361" t="inlineStr">
        <is>
          <t>site oficial do dono: https://www.pianetapsr.it/</t>
        </is>
      </c>
      <c r="AB361" t="inlineStr">
        <is>
          <t>nao sorteada</t>
        </is>
      </c>
      <c r="AC361" t="inlineStr">
        <is>
          <t>nao sorteada</t>
        </is>
      </c>
      <c r="AD361" t="inlineStr">
        <is>
          <t>UCZvge-xP6fg5S5DvUxjNbGQ</t>
        </is>
      </c>
      <c r="AE361" t="inlineStr"/>
      <c r="AF361" t="inlineStr"/>
    </row>
    <row r="362">
      <c r="A362" t="inlineStr">
        <is>
          <t>IT-DISC-2026-09-14-0361</t>
        </is>
      </c>
      <c r="B362" t="inlineStr">
        <is>
          <t>Societa Entomologica Italiana — Youtube ufficiale</t>
        </is>
      </c>
      <c r="C362" t="inlineStr">
        <is>
          <t>YOUTUBE</t>
        </is>
      </c>
      <c r="D362" t="inlineStr">
        <is>
          <t>ORG</t>
        </is>
      </c>
      <c r="E362" t="inlineStr">
        <is>
          <t>SEI</t>
        </is>
      </c>
      <c r="F362" t="inlineStr">
        <is>
          <t>https://www.youtube.com/channel/UCnY1rs74L8pttWxtBiZwULQ</t>
        </is>
      </c>
      <c r="G362" t="inlineStr">
        <is>
          <t>https://www.youtube.com/channel/UCnY1rs74L8pttWxtBiZwULQ</t>
        </is>
      </c>
      <c r="H362" t="inlineStr">
        <is>
          <t>https://www.youtube.com/channel/UCnY1rs74L8pttWxtBiZwULQ</t>
        </is>
      </c>
      <c r="I362" t="n">
        <v>200</v>
      </c>
      <c r="J362" t="inlineStr">
        <is>
          <t>text/html</t>
        </is>
      </c>
      <c r="K362" t="n">
        <v>0</v>
      </c>
      <c r="L362" t="b">
        <v>1</v>
      </c>
      <c r="M362" t="b">
        <v>1</v>
      </c>
      <c r="N362" t="inlineStr">
        <is>
          <t>PROVED_BY_OWNER_SITE</t>
        </is>
      </c>
      <c r="O362" t="inlineStr">
        <is>
          <t>SIM</t>
        </is>
      </c>
      <c r="P362" t="inlineStr">
        <is>
          <t>SIM — declarado por dono italiano no proprio site</t>
        </is>
      </c>
      <c r="Q362" t="inlineStr">
        <is>
          <t>https://www.societaentomologicaitaliana.it/</t>
        </is>
      </c>
      <c r="R362" t="inlineStr">
        <is>
          <t>sonda HTTP read-only (GET limitado, payload nao preservado) + id estavel da plataforma extraido de og:/canonical + declaracao do perfil no site oficial do dono (rota publica, secao 10)</t>
        </is>
      </c>
      <c r="S362" t="inlineStr">
        <is>
          <t>2026-09-14T11:25:25Z</t>
        </is>
      </c>
      <c r="T362" t="inlineStr">
        <is>
          <t>PASS</t>
        </is>
      </c>
      <c r="U362" t="inlineStr"/>
      <c r="V362" t="inlineStr">
        <is>
          <t>T3;T5</t>
        </is>
      </c>
      <c r="W362" t="inlineStr">
        <is>
          <t>NAZIONALE</t>
        </is>
      </c>
      <c r="X362" t="inlineStr"/>
      <c r="Y362" t="inlineStr">
        <is>
          <t>entomologia;insetti</t>
        </is>
      </c>
      <c r="Z362" t="inlineStr">
        <is>
          <t>platform_id UCnY1rs74L8pttWxtBiZwULQ</t>
        </is>
      </c>
      <c r="AA362" t="inlineStr">
        <is>
          <t>site oficial do dono: https://www.societaentomologicaitaliana.it/</t>
        </is>
      </c>
      <c r="AB362" t="inlineStr">
        <is>
          <t>nao sorteada</t>
        </is>
      </c>
      <c r="AC362" t="inlineStr">
        <is>
          <t>nao sorteada</t>
        </is>
      </c>
      <c r="AD362" t="inlineStr">
        <is>
          <t>UCnY1rs74L8pttWxtBiZwULQ</t>
        </is>
      </c>
      <c r="AE362" t="inlineStr"/>
      <c r="AF362" t="inlineStr"/>
    </row>
    <row r="363">
      <c r="A363" t="inlineStr">
        <is>
          <t>IT-DISC-2026-09-14-0362</t>
        </is>
      </c>
      <c r="B363" t="inlineStr">
        <is>
          <t>Stato Brado — canale YouTube</t>
        </is>
      </c>
      <c r="C363" t="inlineStr">
        <is>
          <t>YOUTUBE</t>
        </is>
      </c>
      <c r="D363" t="inlineStr">
        <is>
          <t>PERSON</t>
        </is>
      </c>
      <c r="E363" t="inlineStr">
        <is>
          <t>Stato Brado</t>
        </is>
      </c>
      <c r="F363" t="inlineStr">
        <is>
          <t>https://www.youtube.com/@statobrado</t>
        </is>
      </c>
      <c r="G363" t="inlineStr">
        <is>
          <t>https://www.youtube.com/@statobrado</t>
        </is>
      </c>
      <c r="H363" t="inlineStr">
        <is>
          <t>https://www.youtube.com/@statobrado</t>
        </is>
      </c>
      <c r="I363" t="n">
        <v>200</v>
      </c>
      <c r="J363" t="inlineStr">
        <is>
          <t>text/html</t>
        </is>
      </c>
      <c r="K363" t="n">
        <v>0</v>
      </c>
      <c r="L363" t="b">
        <v>1</v>
      </c>
      <c r="M363" t="b">
        <v>1</v>
      </c>
      <c r="N363" t="inlineStr">
        <is>
          <t>PROVED_DIRECT_PLATFORM_ID</t>
        </is>
      </c>
      <c r="O363" t="inlineStr">
        <is>
          <t>SIM</t>
        </is>
      </c>
      <c r="P363" t="inlineStr">
        <is>
          <t>SIM — dono italiano identificado na pagina</t>
        </is>
      </c>
      <c r="Q363" t="inlineStr">
        <is>
          <t>Stato Brado - YouTube</t>
        </is>
      </c>
      <c r="R363" t="inlineStr">
        <is>
          <t>sonda HTTP read-only (GET limitado, payload nao preservado) + id estavel da plataforma extraido de og:/canonical</t>
        </is>
      </c>
      <c r="S363" t="inlineStr">
        <is>
          <t>2026-09-14T11:22:27Z</t>
        </is>
      </c>
      <c r="T363" t="inlineStr">
        <is>
          <t>PASS</t>
        </is>
      </c>
      <c r="U363" t="inlineStr"/>
      <c r="V363" t="inlineStr">
        <is>
          <t>T8;T1</t>
        </is>
      </c>
      <c r="W363" t="inlineStr">
        <is>
          <t>NAZIONALE</t>
        </is>
      </c>
      <c r="X363" t="inlineStr"/>
      <c r="Y363" t="inlineStr">
        <is>
          <t>agricoltura;allevamento;divulgazione</t>
        </is>
      </c>
      <c r="Z363" t="inlineStr">
        <is>
          <t>platform_id UC-bCqmo3pB9hTaYLXbL63tA</t>
        </is>
      </c>
      <c r="AA363" t="inlineStr">
        <is>
          <t>meta description: Stato Brado sta ad intendere una condizione di non addomesticamento, d</t>
        </is>
      </c>
      <c r="AB363" t="inlineStr">
        <is>
          <t>nao sorteada</t>
        </is>
      </c>
      <c r="AC363" t="inlineStr">
        <is>
          <t>nao sorteada</t>
        </is>
      </c>
      <c r="AD363" t="inlineStr">
        <is>
          <t>UC-bCqmo3pB9hTaYLXbL63tA</t>
        </is>
      </c>
      <c r="AE363" t="inlineStr"/>
      <c r="AF363" t="inlineStr"/>
    </row>
    <row r="364">
      <c r="A364" t="inlineStr">
        <is>
          <t>IT-DISC-2026-09-14-0363</t>
        </is>
      </c>
      <c r="B364" t="inlineStr">
        <is>
          <t>Agromoderni — canale YouTube</t>
        </is>
      </c>
      <c r="C364" t="inlineStr">
        <is>
          <t>YOUTUBE</t>
        </is>
      </c>
      <c r="D364" t="inlineStr">
        <is>
          <t>PERSON</t>
        </is>
      </c>
      <c r="E364" t="inlineStr">
        <is>
          <t>Nicolo Barbano — Agromoderni</t>
        </is>
      </c>
      <c r="F364" t="inlineStr">
        <is>
          <t>https://www.youtube.com/@Agromoderni</t>
        </is>
      </c>
      <c r="G364" t="inlineStr">
        <is>
          <t>https://www.youtube.com/@Agromoderni</t>
        </is>
      </c>
      <c r="H364" t="inlineStr">
        <is>
          <t>https://www.youtube.com/@Agromoderni</t>
        </is>
      </c>
      <c r="I364" t="n">
        <v>200</v>
      </c>
      <c r="J364" t="inlineStr">
        <is>
          <t>text/html</t>
        </is>
      </c>
      <c r="K364" t="n">
        <v>0</v>
      </c>
      <c r="L364" t="b">
        <v>1</v>
      </c>
      <c r="M364" t="b">
        <v>1</v>
      </c>
      <c r="N364" t="inlineStr">
        <is>
          <t>PROVED_DIRECT_PLATFORM_ID</t>
        </is>
      </c>
      <c r="O364" t="inlineStr">
        <is>
          <t>SIM</t>
        </is>
      </c>
      <c r="P364" t="inlineStr">
        <is>
          <t>SIM — dono italiano identificado na pagina</t>
        </is>
      </c>
      <c r="Q364" t="inlineStr">
        <is>
          <t>Agromoderni - YouTube</t>
        </is>
      </c>
      <c r="R364" t="inlineStr">
        <is>
          <t>sonda HTTP read-only (GET limitado, payload nao preservado) + id estavel da plataforma extraido de og:/canonical</t>
        </is>
      </c>
      <c r="S364" t="inlineStr">
        <is>
          <t>2026-09-14T11:22:27Z</t>
        </is>
      </c>
      <c r="T364" t="inlineStr">
        <is>
          <t>PASS</t>
        </is>
      </c>
      <c r="U364" t="inlineStr"/>
      <c r="V364" t="inlineStr">
        <is>
          <t>T8;T1;T7</t>
        </is>
      </c>
      <c r="W364" t="inlineStr">
        <is>
          <t>PIEMONTE</t>
        </is>
      </c>
      <c r="X364" t="inlineStr"/>
      <c r="Y364" t="inlineStr">
        <is>
          <t>agricoltura moderna;macchine;divulgazione</t>
        </is>
      </c>
      <c r="Z364" t="inlineStr">
        <is>
          <t>platform_id UCL5CytQ5EchuoCl0QQhElQw</t>
        </is>
      </c>
      <c r="AA364" t="inlineStr">
        <is>
          <t>meta description: Nel 2011 ho fondato Agromoderni, un canale YouTube che cerca di coniug</t>
        </is>
      </c>
      <c r="AB364" t="inlineStr">
        <is>
          <t>CONFIRMA</t>
        </is>
      </c>
      <c r="AC364" t="inlineStr">
        <is>
          <t>nao sorteada</t>
        </is>
      </c>
      <c r="AD364" t="inlineStr">
        <is>
          <t>UCL5CytQ5EchuoCl0QQhElQw</t>
        </is>
      </c>
      <c r="AE364" t="inlineStr"/>
      <c r="AF364" t="inlineStr"/>
    </row>
    <row r="365">
      <c r="A365" t="inlineStr">
        <is>
          <t>IT-DISC-2026-09-14-0364</t>
        </is>
      </c>
      <c r="B365" t="inlineStr">
        <is>
          <t>Regione Piemonte — Agricoltura e cibo — Youtube ufficiale</t>
        </is>
      </c>
      <c r="C365" t="inlineStr">
        <is>
          <t>YOUTUBE</t>
        </is>
      </c>
      <c r="D365" t="inlineStr">
        <is>
          <t>ORG</t>
        </is>
      </c>
      <c r="E365" t="inlineStr">
        <is>
          <t>Regione Piemonte</t>
        </is>
      </c>
      <c r="F365" t="inlineStr">
        <is>
          <t>https://www.youtube.com/user/LaRegionePiemonte</t>
        </is>
      </c>
      <c r="G365" t="inlineStr">
        <is>
          <t>https://www.youtube.com/user/LaRegionePiemonte</t>
        </is>
      </c>
      <c r="H365" t="inlineStr">
        <is>
          <t>https://www.youtube.com/user/LaRegionePiemonte</t>
        </is>
      </c>
      <c r="I365" t="n">
        <v>200</v>
      </c>
      <c r="J365" t="inlineStr">
        <is>
          <t>text/html</t>
        </is>
      </c>
      <c r="K365" t="n">
        <v>0</v>
      </c>
      <c r="L365" t="b">
        <v>1</v>
      </c>
      <c r="M365" t="b">
        <v>1</v>
      </c>
      <c r="N365" t="inlineStr">
        <is>
          <t>PROVED_BY_OWNER_SITE</t>
        </is>
      </c>
      <c r="O365" t="inlineStr">
        <is>
          <t>SIM</t>
        </is>
      </c>
      <c r="P365" t="inlineStr">
        <is>
          <t>SIM — declarado por dono italiano no proprio site</t>
        </is>
      </c>
      <c r="Q365" t="inlineStr">
        <is>
          <t>https://www.regione.piemonte.it/web/temi/agricoltura</t>
        </is>
      </c>
      <c r="R365" t="inlineStr">
        <is>
          <t>sonda HTTP read-only (GET limitado, payload nao preservado) + id estavel da plataforma extraido de og:/canonical + declaracao do perfil no site oficial do dono (rota publica, secao 10)</t>
        </is>
      </c>
      <c r="S365" t="inlineStr">
        <is>
          <t>2026-09-14T11:25:29Z</t>
        </is>
      </c>
      <c r="T365" t="inlineStr">
        <is>
          <t>PASS</t>
        </is>
      </c>
      <c r="U365" t="inlineStr"/>
      <c r="V365" t="inlineStr">
        <is>
          <t>T1;T4;T3</t>
        </is>
      </c>
      <c r="W365" t="inlineStr">
        <is>
          <t>PIEMONTE</t>
        </is>
      </c>
      <c r="X365" t="inlineStr"/>
      <c r="Y365" t="inlineStr">
        <is>
          <t>agricoltura;fitosanitario;PSR</t>
        </is>
      </c>
      <c r="Z365" t="inlineStr">
        <is>
          <t>platform_id UCZd755PSrP2Jm8zk38LgtHA</t>
        </is>
      </c>
      <c r="AA365" t="inlineStr">
        <is>
          <t>site oficial do dono: https://www.regione.piemonte.it/web/temi/agricoltura</t>
        </is>
      </c>
      <c r="AB365" t="inlineStr">
        <is>
          <t>CONFIRMA</t>
        </is>
      </c>
      <c r="AC365" t="inlineStr">
        <is>
          <t>nao sorteada</t>
        </is>
      </c>
      <c r="AD365" t="inlineStr">
        <is>
          <t>UCZd755PSrP2Jm8zk38LgtHA</t>
        </is>
      </c>
      <c r="AE365" t="inlineStr"/>
      <c r="AF365" t="inlineStr"/>
    </row>
    <row r="366">
      <c r="A366" t="inlineStr">
        <is>
          <t>IT-DISC-2026-09-14-0365</t>
        </is>
      </c>
      <c r="B366" t="inlineStr">
        <is>
          <t>Agrilevante — Youtube ufficiale</t>
        </is>
      </c>
      <c r="C366" t="inlineStr">
        <is>
          <t>YOUTUBE</t>
        </is>
      </c>
      <c r="D366" t="inlineStr">
        <is>
          <t>ORG</t>
        </is>
      </c>
      <c r="E366" t="inlineStr">
        <is>
          <t>FederUnacoma</t>
        </is>
      </c>
      <c r="F366" t="inlineStr">
        <is>
          <t>https://www.youtube.com/user/Agrilevante/feed</t>
        </is>
      </c>
      <c r="G366" t="inlineStr">
        <is>
          <t>https://www.youtube.com/user/Agrilevante/feed</t>
        </is>
      </c>
      <c r="H366" t="inlineStr">
        <is>
          <t>https://www.youtube.com/user/Agrilevante/feed</t>
        </is>
      </c>
      <c r="I366" t="n">
        <v>200</v>
      </c>
      <c r="J366" t="inlineStr">
        <is>
          <t>text/html</t>
        </is>
      </c>
      <c r="K366" t="n">
        <v>0</v>
      </c>
      <c r="L366" t="b">
        <v>1</v>
      </c>
      <c r="M366" t="b">
        <v>1</v>
      </c>
      <c r="N366" t="inlineStr">
        <is>
          <t>PROVED_BY_OWNER_SITE</t>
        </is>
      </c>
      <c r="O366" t="inlineStr">
        <is>
          <t>SIM</t>
        </is>
      </c>
      <c r="P366" t="inlineStr">
        <is>
          <t>SIM — declarado por dono italiano no proprio site</t>
        </is>
      </c>
      <c r="Q366" t="inlineStr">
        <is>
          <t>https://www.agrilevante.eu/</t>
        </is>
      </c>
      <c r="R366" t="inlineStr">
        <is>
          <t>sonda HTTP read-only (GET limitado, payload nao preservado) + id estavel da plataforma extraido de og:/canonical + declaracao do perfil no site oficial do dono (rota publica, secao 10)</t>
        </is>
      </c>
      <c r="S366" t="inlineStr">
        <is>
          <t>2026-09-14T11:25:39Z</t>
        </is>
      </c>
      <c r="T366" t="inlineStr">
        <is>
          <t>PASS</t>
        </is>
      </c>
      <c r="U366" t="inlineStr"/>
      <c r="V366" t="inlineStr">
        <is>
          <t>T11;T10</t>
        </is>
      </c>
      <c r="W366" t="inlineStr">
        <is>
          <t>PUGLIA</t>
        </is>
      </c>
      <c r="X366" t="inlineStr"/>
      <c r="Y366" t="inlineStr">
        <is>
          <t>fiera meccanizzazione mediterraneo</t>
        </is>
      </c>
      <c r="Z366" t="inlineStr">
        <is>
          <t>platform_id UCxqWrxc-sInT6ODtyHUzZRA</t>
        </is>
      </c>
      <c r="AA366" t="inlineStr">
        <is>
          <t>site oficial do dono: https://www.agrilevante.eu/</t>
        </is>
      </c>
      <c r="AB366" t="inlineStr">
        <is>
          <t>nao sorteada</t>
        </is>
      </c>
      <c r="AC366" t="inlineStr">
        <is>
          <t>SIM</t>
        </is>
      </c>
      <c r="AD366" t="inlineStr">
        <is>
          <t>UCxqWrxc-sInT6ODtyHUzZRA</t>
        </is>
      </c>
      <c r="AE366" t="inlineStr"/>
      <c r="AF366" t="inlineStr"/>
    </row>
    <row r="367">
      <c r="A367" t="inlineStr">
        <is>
          <t>IT-DISC-2026-09-14-0366</t>
        </is>
      </c>
      <c r="B367" t="inlineStr">
        <is>
          <t>UNIBA DiSSPA — Dipartimento di Scienze del Suolo della Pianta e degli Alimenti — Youtube ufficiale</t>
        </is>
      </c>
      <c r="C367" t="inlineStr">
        <is>
          <t>YOUTUBE</t>
        </is>
      </c>
      <c r="D367" t="inlineStr">
        <is>
          <t>ORG</t>
        </is>
      </c>
      <c r="E367" t="inlineStr">
        <is>
          <t>Universita di Bari Aldo Moro</t>
        </is>
      </c>
      <c r="F367" t="inlineStr">
        <is>
          <t>https://www.youtube.com/user/unialdomoro</t>
        </is>
      </c>
      <c r="G367" t="inlineStr">
        <is>
          <t>https://www.youtube.com/user/unialdomoro</t>
        </is>
      </c>
      <c r="H367" t="inlineStr">
        <is>
          <t>https://www.youtube.com/user/unialdomoro</t>
        </is>
      </c>
      <c r="I367" t="n">
        <v>200</v>
      </c>
      <c r="J367" t="inlineStr">
        <is>
          <t>text/html</t>
        </is>
      </c>
      <c r="K367" t="n">
        <v>0</v>
      </c>
      <c r="L367" t="b">
        <v>1</v>
      </c>
      <c r="M367" t="b">
        <v>1</v>
      </c>
      <c r="N367" t="inlineStr">
        <is>
          <t>PROVED_BY_OWNER_SITE</t>
        </is>
      </c>
      <c r="O367" t="inlineStr">
        <is>
          <t>SIM</t>
        </is>
      </c>
      <c r="P367" t="inlineStr">
        <is>
          <t>SIM — declarado por dono italiano no proprio site</t>
        </is>
      </c>
      <c r="Q367" t="inlineStr">
        <is>
          <t>https://www.uniba.it/it/ricerca/dipartimenti/disspa</t>
        </is>
      </c>
      <c r="R367" t="inlineStr">
        <is>
          <t>sonda HTTP read-only (GET limitado, payload nao preservado) + id estavel da plataforma extraido de og:/canonical + declaracao do perfil no site oficial do dono (rota publica, secao 10)</t>
        </is>
      </c>
      <c r="S367" t="inlineStr">
        <is>
          <t>2026-09-14T11:25:34Z</t>
        </is>
      </c>
      <c r="T367" t="inlineStr">
        <is>
          <t>PASS</t>
        </is>
      </c>
      <c r="U367" t="inlineStr"/>
      <c r="V367" t="inlineStr">
        <is>
          <t>T5;T6;T3</t>
        </is>
      </c>
      <c r="W367" t="inlineStr">
        <is>
          <t>PUGLIA</t>
        </is>
      </c>
      <c r="X367" t="inlineStr">
        <is>
          <t>olivo;vite</t>
        </is>
      </c>
      <c r="Y367" t="inlineStr">
        <is>
          <t>patologia;Xylella;olivo;vite</t>
        </is>
      </c>
      <c r="Z367" t="inlineStr">
        <is>
          <t>platform_id UCWD-2QiKuzZIA8WW1SAoH0w</t>
        </is>
      </c>
      <c r="AA367" t="inlineStr">
        <is>
          <t>site oficial do dono: https://www.uniba.it/it/ricerca/dipartimenti/disspa</t>
        </is>
      </c>
      <c r="AB367" t="inlineStr">
        <is>
          <t>nao sorteada</t>
        </is>
      </c>
      <c r="AC367" t="inlineStr">
        <is>
          <t>nao sorteada</t>
        </is>
      </c>
      <c r="AD367" t="inlineStr">
        <is>
          <t>UCWD-2QiKuzZIA8WW1SAoH0w</t>
        </is>
      </c>
      <c r="AE367" t="inlineStr"/>
      <c r="AF367" t="inlineStr"/>
    </row>
    <row r="368">
      <c r="A368" t="inlineStr">
        <is>
          <t>IT-DISC-2026-09-14-0367</t>
        </is>
      </c>
      <c r="B368" t="inlineStr">
        <is>
          <t>UNICT Di3A — Dipartimento di Agricoltura Alimentazione e Ambiente — Youtube ufficiale</t>
        </is>
      </c>
      <c r="C368" t="inlineStr">
        <is>
          <t>YOUTUBE</t>
        </is>
      </c>
      <c r="D368" t="inlineStr">
        <is>
          <t>ORG</t>
        </is>
      </c>
      <c r="E368" t="inlineStr">
        <is>
          <t>Universita di Catania</t>
        </is>
      </c>
      <c r="F368" t="inlineStr">
        <is>
          <t>https://www.youtube.com/channel/UCKdQcnPtPZs3k08e5jrFSNQ</t>
        </is>
      </c>
      <c r="G368" t="inlineStr">
        <is>
          <t>https://www.youtube.com/channel/UCKdQcnPtPZs3k08e5jrFSNQ</t>
        </is>
      </c>
      <c r="H368" t="inlineStr">
        <is>
          <t>https://www.youtube.com/channel/UCKdQcnPtPZs3k08e5jrFSNQ</t>
        </is>
      </c>
      <c r="I368" t="n">
        <v>200</v>
      </c>
      <c r="J368" t="inlineStr">
        <is>
          <t>text/html</t>
        </is>
      </c>
      <c r="K368" t="n">
        <v>0</v>
      </c>
      <c r="L368" t="b">
        <v>1</v>
      </c>
      <c r="M368" t="b">
        <v>1</v>
      </c>
      <c r="N368" t="inlineStr">
        <is>
          <t>PROVED_BY_OWNER_SITE</t>
        </is>
      </c>
      <c r="O368" t="inlineStr">
        <is>
          <t>SIM</t>
        </is>
      </c>
      <c r="P368" t="inlineStr">
        <is>
          <t>SIM — declarado por dono italiano no proprio site</t>
        </is>
      </c>
      <c r="Q368" t="inlineStr">
        <is>
          <t>https://www.di3a.unict.it/</t>
        </is>
      </c>
      <c r="R368" t="inlineStr">
        <is>
          <t>sonda HTTP read-only (GET limitado, payload nao preservado) + id estavel da plataforma extraido de og:/canonical + declaracao do perfil no site oficial do dono (rota publica, secao 10)</t>
        </is>
      </c>
      <c r="S368" t="inlineStr">
        <is>
          <t>2026-09-14T11:25:35Z</t>
        </is>
      </c>
      <c r="T368" t="inlineStr">
        <is>
          <t>PASS</t>
        </is>
      </c>
      <c r="U368" t="inlineStr"/>
      <c r="V368" t="inlineStr">
        <is>
          <t>T5;T6;T3</t>
        </is>
      </c>
      <c r="W368" t="inlineStr">
        <is>
          <t>SICILIA</t>
        </is>
      </c>
      <c r="X368" t="inlineStr">
        <is>
          <t>agrumi</t>
        </is>
      </c>
      <c r="Y368" t="inlineStr">
        <is>
          <t>agrumi;difesa;agronomia</t>
        </is>
      </c>
      <c r="Z368" t="inlineStr">
        <is>
          <t>platform_id UCKdQcnPtPZs3k08e5jrFSNQ</t>
        </is>
      </c>
      <c r="AA368" t="inlineStr">
        <is>
          <t>site oficial do dono: https://www.di3a.unict.it/</t>
        </is>
      </c>
      <c r="AB368" t="inlineStr">
        <is>
          <t>nao sorteada</t>
        </is>
      </c>
      <c r="AC368" t="inlineStr">
        <is>
          <t>nao sorteada</t>
        </is>
      </c>
      <c r="AD368" t="inlineStr">
        <is>
          <t>UCKdQcnPtPZs3k08e5jrFSNQ</t>
        </is>
      </c>
      <c r="AE368" t="inlineStr"/>
      <c r="AF368" t="inlineStr"/>
    </row>
    <row r="369">
      <c r="A369" t="inlineStr">
        <is>
          <t>IT-DISC-2026-09-14-0368</t>
        </is>
      </c>
      <c r="B369" t="inlineStr">
        <is>
          <t>Consorzio Vino Chianti Classico — Youtube ufficiale</t>
        </is>
      </c>
      <c r="C369" t="inlineStr">
        <is>
          <t>YOUTUBE</t>
        </is>
      </c>
      <c r="D369" t="inlineStr">
        <is>
          <t>ORG</t>
        </is>
      </c>
      <c r="E369" t="inlineStr">
        <is>
          <t>Consorzio Vino Chianti Classico</t>
        </is>
      </c>
      <c r="F369" t="inlineStr">
        <is>
          <t>https://www.youtube.com/user/vinochianticlassico</t>
        </is>
      </c>
      <c r="G369" t="inlineStr">
        <is>
          <t>https://www.youtube.com/user/vinochianticlassico</t>
        </is>
      </c>
      <c r="H369" t="inlineStr">
        <is>
          <t>https://www.youtube.com/user/vinochianticlassico</t>
        </is>
      </c>
      <c r="I369" t="n">
        <v>200</v>
      </c>
      <c r="J369" t="inlineStr">
        <is>
          <t>text/html</t>
        </is>
      </c>
      <c r="K369" t="n">
        <v>0</v>
      </c>
      <c r="L369" t="b">
        <v>1</v>
      </c>
      <c r="M369" t="b">
        <v>1</v>
      </c>
      <c r="N369" t="inlineStr">
        <is>
          <t>PROVED_BY_OWNER_SITE</t>
        </is>
      </c>
      <c r="O369" t="inlineStr">
        <is>
          <t>SIM</t>
        </is>
      </c>
      <c r="P369" t="inlineStr">
        <is>
          <t>SIM — declarado por dono italiano no proprio site</t>
        </is>
      </c>
      <c r="Q369" t="inlineStr">
        <is>
          <t>https://www.chianticlassico.com/</t>
        </is>
      </c>
      <c r="R369" t="inlineStr">
        <is>
          <t>sonda HTTP read-only (GET limitado, payload nao preservado) + id estavel da plataforma extraido de og:/canonical + declaracao do perfil no site oficial do dono (rota publica, secao 10)</t>
        </is>
      </c>
      <c r="S369" t="inlineStr">
        <is>
          <t>2026-09-14T11:25:43Z</t>
        </is>
      </c>
      <c r="T369" t="inlineStr">
        <is>
          <t>PASS</t>
        </is>
      </c>
      <c r="U369" t="inlineStr"/>
      <c r="V369" t="inlineStr">
        <is>
          <t>T10;T1</t>
        </is>
      </c>
      <c r="W369" t="inlineStr">
        <is>
          <t>TOSCANA</t>
        </is>
      </c>
      <c r="X369" t="inlineStr">
        <is>
          <t>vino</t>
        </is>
      </c>
      <c r="Y369" t="inlineStr">
        <is>
          <t>vino;DOCG;viticoltura</t>
        </is>
      </c>
      <c r="Z369" t="inlineStr">
        <is>
          <t>platform_id UCC19gccUupOm590hcozwdBA</t>
        </is>
      </c>
      <c r="AA369" t="inlineStr">
        <is>
          <t>site oficial do dono: https://www.chianticlassico.com/</t>
        </is>
      </c>
      <c r="AB369" t="inlineStr">
        <is>
          <t>nao sorteada</t>
        </is>
      </c>
      <c r="AC369" t="inlineStr">
        <is>
          <t>nao sorteada</t>
        </is>
      </c>
      <c r="AD369" t="inlineStr">
        <is>
          <t>UCC19gccUupOm590hcozwdBA</t>
        </is>
      </c>
      <c r="AE369" t="inlineStr"/>
      <c r="AF369" t="inlineStr"/>
    </row>
    <row r="370">
      <c r="A370" t="inlineStr">
        <is>
          <t>IT-DISC-2026-09-14-0369</t>
        </is>
      </c>
      <c r="B370" t="inlineStr">
        <is>
          <t>Consorzio del Vino Brunello di Montalcino — Youtube ufficiale</t>
        </is>
      </c>
      <c r="C370" t="inlineStr">
        <is>
          <t>YOUTUBE</t>
        </is>
      </c>
      <c r="D370" t="inlineStr">
        <is>
          <t>ORG</t>
        </is>
      </c>
      <c r="E370" t="inlineStr">
        <is>
          <t>Consorzio Brunello di Montalcino</t>
        </is>
      </c>
      <c r="F370" t="inlineStr">
        <is>
          <t>https://www.youtube.com/user/brunello1888</t>
        </is>
      </c>
      <c r="G370" t="inlineStr">
        <is>
          <t>https://www.youtube.com/user/brunello1888</t>
        </is>
      </c>
      <c r="H370" t="inlineStr">
        <is>
          <t>https://www.youtube.com/user/brunello1888</t>
        </is>
      </c>
      <c r="I370" t="n">
        <v>200</v>
      </c>
      <c r="J370" t="inlineStr">
        <is>
          <t>text/html</t>
        </is>
      </c>
      <c r="K370" t="n">
        <v>0</v>
      </c>
      <c r="L370" t="b">
        <v>1</v>
      </c>
      <c r="M370" t="b">
        <v>1</v>
      </c>
      <c r="N370" t="inlineStr">
        <is>
          <t>PROVED_BY_OWNER_SITE</t>
        </is>
      </c>
      <c r="O370" t="inlineStr">
        <is>
          <t>SIM</t>
        </is>
      </c>
      <c r="P370" t="inlineStr">
        <is>
          <t>SIM — declarado por dono italiano no proprio site</t>
        </is>
      </c>
      <c r="Q370" t="inlineStr">
        <is>
          <t>https://www.consorziobrunellodimontalcino.it/</t>
        </is>
      </c>
      <c r="R370" t="inlineStr">
        <is>
          <t>sonda HTTP read-only (GET limitado, payload nao preservado) + id estavel da plataforma extraido de og:/canonical + declaracao do perfil no site oficial do dono (rota publica, secao 10)</t>
        </is>
      </c>
      <c r="S370" t="inlineStr">
        <is>
          <t>2026-09-14T11:25:43Z</t>
        </is>
      </c>
      <c r="T370" t="inlineStr">
        <is>
          <t>PASS</t>
        </is>
      </c>
      <c r="U370" t="inlineStr"/>
      <c r="V370" t="inlineStr">
        <is>
          <t>T10;T1</t>
        </is>
      </c>
      <c r="W370" t="inlineStr">
        <is>
          <t>TOSCANA</t>
        </is>
      </c>
      <c r="X370" t="inlineStr">
        <is>
          <t>vino</t>
        </is>
      </c>
      <c r="Y370" t="inlineStr">
        <is>
          <t>vino;DOCG</t>
        </is>
      </c>
      <c r="Z370" t="inlineStr">
        <is>
          <t>platform_id UCFEHyFgwGUYCa2OKHjDUd1g</t>
        </is>
      </c>
      <c r="AA370" t="inlineStr">
        <is>
          <t>site oficial do dono: https://www.consorziobrunellodimontalcino.it/</t>
        </is>
      </c>
      <c r="AB370" t="inlineStr">
        <is>
          <t>nao sorteada</t>
        </is>
      </c>
      <c r="AC370" t="inlineStr">
        <is>
          <t>nao sorteada</t>
        </is>
      </c>
      <c r="AD370" t="inlineStr">
        <is>
          <t>UCFEHyFgwGUYCa2OKHjDUd1g</t>
        </is>
      </c>
      <c r="AE370" t="inlineStr"/>
      <c r="AF370" t="inlineStr"/>
    </row>
    <row r="371">
      <c r="A371" t="inlineStr">
        <is>
          <t>IT-DISC-2026-09-14-0370</t>
        </is>
      </c>
      <c r="B371" t="inlineStr">
        <is>
          <t>Georgofili INFO — notiziario — Youtube ufficiale</t>
        </is>
      </c>
      <c r="C371" t="inlineStr">
        <is>
          <t>YOUTUBE</t>
        </is>
      </c>
      <c r="D371" t="inlineStr">
        <is>
          <t>ORG</t>
        </is>
      </c>
      <c r="E371" t="inlineStr">
        <is>
          <t>Accademia dei Georgofili</t>
        </is>
      </c>
      <c r="F371" t="inlineStr">
        <is>
          <t>https://www.youtube.com/channel/UCosKzVZGcw6VR3sW9QKGkVw</t>
        </is>
      </c>
      <c r="G371" t="inlineStr">
        <is>
          <t>https://www.youtube.com/channel/UCosKzVZGcw6VR3sW9QKGkVw</t>
        </is>
      </c>
      <c r="H371" t="inlineStr">
        <is>
          <t>https://www.youtube.com/channel/UCosKzVZGcw6VR3sW9QKGkVw</t>
        </is>
      </c>
      <c r="I371" t="n">
        <v>200</v>
      </c>
      <c r="J371" t="inlineStr">
        <is>
          <t>text/html</t>
        </is>
      </c>
      <c r="K371" t="n">
        <v>0</v>
      </c>
      <c r="L371" t="b">
        <v>1</v>
      </c>
      <c r="M371" t="b">
        <v>1</v>
      </c>
      <c r="N371" t="inlineStr">
        <is>
          <t>PROVED_BY_OWNER_SITE</t>
        </is>
      </c>
      <c r="O371" t="inlineStr">
        <is>
          <t>SIM</t>
        </is>
      </c>
      <c r="P371" t="inlineStr">
        <is>
          <t>SIM — declarado por dono italiano no proprio site</t>
        </is>
      </c>
      <c r="Q371" t="inlineStr">
        <is>
          <t>https://www.georgofili.info/</t>
        </is>
      </c>
      <c r="R371" t="inlineStr">
        <is>
          <t>sonda HTTP read-only (GET limitado, payload nao preservado) + id estavel da plataforma extraido de og:/canonical + declaracao do perfil no site oficial do dono (rota publica, secao 10)</t>
        </is>
      </c>
      <c r="S371" t="inlineStr">
        <is>
          <t>2026-09-14T11:25:23Z</t>
        </is>
      </c>
      <c r="T371" t="inlineStr">
        <is>
          <t>PASS</t>
        </is>
      </c>
      <c r="U371" t="inlineStr"/>
      <c r="V371" t="inlineStr">
        <is>
          <t>T5;T12;T11</t>
        </is>
      </c>
      <c r="W371" t="inlineStr">
        <is>
          <t>TOSCANA</t>
        </is>
      </c>
      <c r="X371" t="inlineStr"/>
      <c r="Y371" t="inlineStr">
        <is>
          <t>notiziario tecnico;divulgazione</t>
        </is>
      </c>
      <c r="Z371" t="inlineStr">
        <is>
          <t>platform_id UCosKzVZGcw6VR3sW9QKGkVw</t>
        </is>
      </c>
      <c r="AA371" t="inlineStr">
        <is>
          <t>site oficial do dono: https://www.georgofili.info/</t>
        </is>
      </c>
      <c r="AB371" t="inlineStr">
        <is>
          <t>nao sorteada</t>
        </is>
      </c>
      <c r="AC371" t="inlineStr">
        <is>
          <t>SIM</t>
        </is>
      </c>
      <c r="AD371" t="inlineStr">
        <is>
          <t>UCosKzVZGcw6VR3sW9QKGkVw</t>
        </is>
      </c>
      <c r="AE371" t="inlineStr"/>
      <c r="AF371" t="inlineStr"/>
    </row>
    <row r="372">
      <c r="A372" t="inlineStr">
        <is>
          <t>IT-DISC-2026-09-14-0371</t>
        </is>
      </c>
      <c r="B372" t="inlineStr">
        <is>
          <t>Regione Toscana — Agricoltura — Youtube ufficiale</t>
        </is>
      </c>
      <c r="C372" t="inlineStr">
        <is>
          <t>YOUTUBE</t>
        </is>
      </c>
      <c r="D372" t="inlineStr">
        <is>
          <t>ORG</t>
        </is>
      </c>
      <c r="E372" t="inlineStr">
        <is>
          <t>Regione Toscana</t>
        </is>
      </c>
      <c r="F372" t="inlineStr">
        <is>
          <t>https://www.youtube.com/c/RegioneToscanaUfficiale</t>
        </is>
      </c>
      <c r="G372" t="inlineStr">
        <is>
          <t>https://www.youtube.com/c/RegioneToscanaUfficiale</t>
        </is>
      </c>
      <c r="H372" t="inlineStr">
        <is>
          <t>https://www.youtube.com/c/RegioneToscanaUfficiale</t>
        </is>
      </c>
      <c r="I372" t="n">
        <v>200</v>
      </c>
      <c r="J372" t="inlineStr">
        <is>
          <t>text/html</t>
        </is>
      </c>
      <c r="K372" t="n">
        <v>0</v>
      </c>
      <c r="L372" t="b">
        <v>1</v>
      </c>
      <c r="M372" t="b">
        <v>1</v>
      </c>
      <c r="N372" t="inlineStr">
        <is>
          <t>PROVED_BY_OWNER_SITE</t>
        </is>
      </c>
      <c r="O372" t="inlineStr">
        <is>
          <t>SIM</t>
        </is>
      </c>
      <c r="P372" t="inlineStr">
        <is>
          <t>SIM — declarado por dono italiano no proprio site</t>
        </is>
      </c>
      <c r="Q372" t="inlineStr">
        <is>
          <t>https://www.regione.toscana.it/agricoltura</t>
        </is>
      </c>
      <c r="R372" t="inlineStr">
        <is>
          <t>sonda HTTP read-only (GET limitado, payload nao preservado) + id estavel da plataforma extraido de og:/canonical + declaracao do perfil no site oficial do dono (rota publica, secao 10)</t>
        </is>
      </c>
      <c r="S372" t="inlineStr">
        <is>
          <t>2026-09-14T11:25:29Z</t>
        </is>
      </c>
      <c r="T372" t="inlineStr">
        <is>
          <t>PASS</t>
        </is>
      </c>
      <c r="U372" t="inlineStr"/>
      <c r="V372" t="inlineStr">
        <is>
          <t>T1;T4;T12</t>
        </is>
      </c>
      <c r="W372" t="inlineStr">
        <is>
          <t>TOSCANA</t>
        </is>
      </c>
      <c r="X372" t="inlineStr">
        <is>
          <t>olivo;vite</t>
        </is>
      </c>
      <c r="Y372" t="inlineStr">
        <is>
          <t>agricoltura;PSR;olivo;vite</t>
        </is>
      </c>
      <c r="Z372" t="inlineStr">
        <is>
          <t>platform_id UC8fp1anRLt5xmyirKPIE_zg</t>
        </is>
      </c>
      <c r="AA372" t="inlineStr">
        <is>
          <t>site oficial do dono: https://www.regione.toscana.it/agricoltura</t>
        </is>
      </c>
      <c r="AB372" t="inlineStr">
        <is>
          <t>nao sorteada</t>
        </is>
      </c>
      <c r="AC372" t="inlineStr">
        <is>
          <t>SIM</t>
        </is>
      </c>
      <c r="AD372" t="inlineStr">
        <is>
          <t>UC8fp1anRLt5xmyirKPIE_zg</t>
        </is>
      </c>
      <c r="AE372" t="inlineStr"/>
      <c r="AF372" t="inlineStr"/>
    </row>
    <row r="373">
      <c r="A373" t="inlineStr">
        <is>
          <t>IT-DISC-2026-09-14-0372</t>
        </is>
      </c>
      <c r="B373" t="inlineStr">
        <is>
          <t>WineNews — Youtube ufficiale</t>
        </is>
      </c>
      <c r="C373" t="inlineStr">
        <is>
          <t>YOUTUBE</t>
        </is>
      </c>
      <c r="D373" t="inlineStr">
        <is>
          <t>ORG</t>
        </is>
      </c>
      <c r="E373" t="inlineStr">
        <is>
          <t>WineNews</t>
        </is>
      </c>
      <c r="F373" t="inlineStr">
        <is>
          <t>https://www.youtube.com/user/winetv</t>
        </is>
      </c>
      <c r="G373" t="inlineStr">
        <is>
          <t>https://www.youtube.com/user/winetv</t>
        </is>
      </c>
      <c r="H373" t="inlineStr">
        <is>
          <t>https://www.youtube.com/user/winetv</t>
        </is>
      </c>
      <c r="I373" t="n">
        <v>200</v>
      </c>
      <c r="J373" t="inlineStr">
        <is>
          <t>text/html</t>
        </is>
      </c>
      <c r="K373" t="n">
        <v>0</v>
      </c>
      <c r="L373" t="b">
        <v>1</v>
      </c>
      <c r="M373" t="b">
        <v>1</v>
      </c>
      <c r="N373" t="inlineStr">
        <is>
          <t>PROVED_BY_OWNER_SITE</t>
        </is>
      </c>
      <c r="O373" t="inlineStr">
        <is>
          <t>SIM</t>
        </is>
      </c>
      <c r="P373" t="inlineStr">
        <is>
          <t>SIM — declarado por dono italiano no proprio site</t>
        </is>
      </c>
      <c r="Q373" t="inlineStr">
        <is>
          <t>https://winenews.it/</t>
        </is>
      </c>
      <c r="R373" t="inlineStr">
        <is>
          <t>sonda HTTP read-only (GET limitado, payload nao preservado) + id estavel da plataforma extraido de og:/canonical + declaracao do perfil no site oficial do dono (rota publica, secao 10)</t>
        </is>
      </c>
      <c r="S373" t="inlineStr">
        <is>
          <t>2026-09-14T11:25:38Z</t>
        </is>
      </c>
      <c r="T373" t="inlineStr">
        <is>
          <t>PASS</t>
        </is>
      </c>
      <c r="U373" t="inlineStr"/>
      <c r="V373" t="inlineStr">
        <is>
          <t>T10;T1</t>
        </is>
      </c>
      <c r="W373" t="inlineStr">
        <is>
          <t>TOSCANA</t>
        </is>
      </c>
      <c r="X373" t="inlineStr">
        <is>
          <t>vino</t>
        </is>
      </c>
      <c r="Y373" t="inlineStr">
        <is>
          <t>vino;mercato</t>
        </is>
      </c>
      <c r="Z373" t="inlineStr">
        <is>
          <t>platform_id UCVc4Edn_BaeH00XULZ0SqgQ</t>
        </is>
      </c>
      <c r="AA373" t="inlineStr">
        <is>
          <t>site oficial do dono: https://winenews.it/</t>
        </is>
      </c>
      <c r="AB373" t="inlineStr">
        <is>
          <t>nao sorteada</t>
        </is>
      </c>
      <c r="AC373" t="inlineStr">
        <is>
          <t>nao sorteada</t>
        </is>
      </c>
      <c r="AD373" t="inlineStr">
        <is>
          <t>UCVc4Edn_BaeH00XULZ0SqgQ</t>
        </is>
      </c>
      <c r="AE373" t="inlineStr"/>
      <c r="AF373" t="inlineStr"/>
    </row>
    <row r="374">
      <c r="A374" t="inlineStr">
        <is>
          <t>IT-DISC-2026-09-14-0373</t>
        </is>
      </c>
      <c r="B374" t="inlineStr">
        <is>
          <t>APPA Trento — Agenzia provinciale protezione ambiente — Youtube ufficiale</t>
        </is>
      </c>
      <c r="C374" t="inlineStr">
        <is>
          <t>YOUTUBE</t>
        </is>
      </c>
      <c r="D374" t="inlineStr">
        <is>
          <t>ORG</t>
        </is>
      </c>
      <c r="E374" t="inlineStr">
        <is>
          <t>Provincia autonoma di Trento</t>
        </is>
      </c>
      <c r="F374" t="inlineStr">
        <is>
          <t>https://www.youtube.com/channel/UCxIuSXfCNVnzTLD3EJFcQng</t>
        </is>
      </c>
      <c r="G374" t="inlineStr">
        <is>
          <t>https://www.youtube.com/channel/UCxIuSXfCNVnzTLD3EJFcQng</t>
        </is>
      </c>
      <c r="H374" t="inlineStr">
        <is>
          <t>https://www.youtube.com/channel/UCxIuSXfCNVnzTLD3EJFcQng</t>
        </is>
      </c>
      <c r="I374" t="n">
        <v>200</v>
      </c>
      <c r="J374" t="inlineStr">
        <is>
          <t>text/html</t>
        </is>
      </c>
      <c r="K374" t="n">
        <v>0</v>
      </c>
      <c r="L374" t="b">
        <v>1</v>
      </c>
      <c r="M374" t="b">
        <v>1</v>
      </c>
      <c r="N374" t="inlineStr">
        <is>
          <t>PROVED_BY_OWNER_SITE</t>
        </is>
      </c>
      <c r="O374" t="inlineStr">
        <is>
          <t>SIM</t>
        </is>
      </c>
      <c r="P374" t="inlineStr">
        <is>
          <t>SIM — declarado por dono italiano no proprio site</t>
        </is>
      </c>
      <c r="Q374" t="inlineStr">
        <is>
          <t>https://appa.provincia.tn.it/</t>
        </is>
      </c>
      <c r="R374" t="inlineStr">
        <is>
          <t>sonda HTTP read-only (GET limitado, payload nao preservado) + id estavel da plataforma extraido de og:/canonical + declaracao do perfil no site oficial do dono (rota publica, secao 10)</t>
        </is>
      </c>
      <c r="S374" t="inlineStr">
        <is>
          <t>2026-09-14T11:25:32Z</t>
        </is>
      </c>
      <c r="T374" t="inlineStr">
        <is>
          <t>PASS</t>
        </is>
      </c>
      <c r="U374" t="inlineStr"/>
      <c r="V374" t="inlineStr">
        <is>
          <t>T2;T12</t>
        </is>
      </c>
      <c r="W374" t="inlineStr">
        <is>
          <t>TRENTINO-ALTO ADIGE</t>
        </is>
      </c>
      <c r="X374" t="inlineStr"/>
      <c r="Y374" t="inlineStr">
        <is>
          <t>ambiente;acque</t>
        </is>
      </c>
      <c r="Z374" t="inlineStr">
        <is>
          <t>platform_id UCxIuSXfCNVnzTLD3EJFcQng</t>
        </is>
      </c>
      <c r="AA374" t="inlineStr">
        <is>
          <t>site oficial do dono: https://appa.provincia.tn.it/</t>
        </is>
      </c>
      <c r="AB374" t="inlineStr">
        <is>
          <t>nao sorteada</t>
        </is>
      </c>
      <c r="AC374" t="inlineStr">
        <is>
          <t>nao sorteada</t>
        </is>
      </c>
      <c r="AD374" t="inlineStr">
        <is>
          <t>UCxIuSXfCNVnzTLD3EJFcQng</t>
        </is>
      </c>
      <c r="AE374" t="inlineStr"/>
      <c r="AF374" t="inlineStr"/>
    </row>
    <row r="375">
      <c r="A375" t="inlineStr">
        <is>
          <t>IT-DISC-2026-09-14-0374</t>
        </is>
      </c>
      <c r="B375" t="inlineStr">
        <is>
          <t>Interpoma — Youtube ufficiale</t>
        </is>
      </c>
      <c r="C375" t="inlineStr">
        <is>
          <t>YOUTUBE</t>
        </is>
      </c>
      <c r="D375" t="inlineStr">
        <is>
          <t>ORG</t>
        </is>
      </c>
      <c r="E375" t="inlineStr">
        <is>
          <t>Fiera Bolzano</t>
        </is>
      </c>
      <c r="F375" t="inlineStr">
        <is>
          <t>https://www.youtube.com/channel/UCCIKHiNQVo8mIJyu_6aYHWA</t>
        </is>
      </c>
      <c r="G375" t="inlineStr">
        <is>
          <t>https://www.youtube.com/channel/UCCIKHiNQVo8mIJyu_6aYHWA</t>
        </is>
      </c>
      <c r="H375" t="inlineStr">
        <is>
          <t>https://www.youtube.com/channel/UCCIKHiNQVo8mIJyu_6aYHWA</t>
        </is>
      </c>
      <c r="I375" t="n">
        <v>200</v>
      </c>
      <c r="J375" t="inlineStr">
        <is>
          <t>text/html</t>
        </is>
      </c>
      <c r="K375" t="n">
        <v>0</v>
      </c>
      <c r="L375" t="b">
        <v>1</v>
      </c>
      <c r="M375" t="b">
        <v>1</v>
      </c>
      <c r="N375" t="inlineStr">
        <is>
          <t>PROVED_BY_OWNER_SITE</t>
        </is>
      </c>
      <c r="O375" t="inlineStr">
        <is>
          <t>SIM</t>
        </is>
      </c>
      <c r="P375" t="inlineStr">
        <is>
          <t>SIM — declarado por dono italiano no proprio site</t>
        </is>
      </c>
      <c r="Q375" t="inlineStr">
        <is>
          <t>https://www.interpoma.it/</t>
        </is>
      </c>
      <c r="R375" t="inlineStr">
        <is>
          <t>sonda HTTP read-only (GET limitado, payload nao preservado) + id estavel da plataforma extraido de og:/canonical + declaracao do perfil no site oficial do dono (rota publica, secao 10)</t>
        </is>
      </c>
      <c r="S375" t="inlineStr">
        <is>
          <t>2026-09-14T11:25:39Z</t>
        </is>
      </c>
      <c r="T375" t="inlineStr">
        <is>
          <t>PASS</t>
        </is>
      </c>
      <c r="U375" t="inlineStr"/>
      <c r="V375" t="inlineStr">
        <is>
          <t>T11;T1</t>
        </is>
      </c>
      <c r="W375" t="inlineStr">
        <is>
          <t>TRENTINO-ALTO ADIGE</t>
        </is>
      </c>
      <c r="X375" t="inlineStr">
        <is>
          <t>melo</t>
        </is>
      </c>
      <c r="Y375" t="inlineStr">
        <is>
          <t>fiera melo;frutticoltura</t>
        </is>
      </c>
      <c r="Z375" t="inlineStr">
        <is>
          <t>platform_id UCCIKHiNQVo8mIJyu_6aYHWA</t>
        </is>
      </c>
      <c r="AA375" t="inlineStr">
        <is>
          <t>site oficial do dono: https://www.interpoma.it/</t>
        </is>
      </c>
      <c r="AB375" t="inlineStr">
        <is>
          <t>nao sorteada</t>
        </is>
      </c>
      <c r="AC375" t="inlineStr">
        <is>
          <t>nao sorteada</t>
        </is>
      </c>
      <c r="AD375" t="inlineStr">
        <is>
          <t>UCCIKHiNQVo8mIJyu_6aYHWA</t>
        </is>
      </c>
      <c r="AE375" t="inlineStr"/>
      <c r="AF375" t="inlineStr"/>
    </row>
    <row r="376">
      <c r="A376" t="inlineStr">
        <is>
          <t>IT-DISC-2026-09-14-0375</t>
        </is>
      </c>
      <c r="B376" t="inlineStr">
        <is>
          <t>Libera Universita di Bolzano — Facolta di Scienze agrarie ambientali e alimentari — Youtube ufficiale</t>
        </is>
      </c>
      <c r="C376" t="inlineStr">
        <is>
          <t>YOUTUBE</t>
        </is>
      </c>
      <c r="D376" t="inlineStr">
        <is>
          <t>ORG</t>
        </is>
      </c>
      <c r="E376" t="inlineStr">
        <is>
          <t>Libera Universita di Bolzano</t>
        </is>
      </c>
      <c r="F376" t="inlineStr">
        <is>
          <t>https://www.youtube.com/channel/UCWRr0vMGqdmyqzdm3bNGY4Q</t>
        </is>
      </c>
      <c r="G376" t="inlineStr">
        <is>
          <t>https://www.youtube.com/channel/UCWRr0vMGqdmyqzdm3bNGY4Q</t>
        </is>
      </c>
      <c r="H376" t="inlineStr">
        <is>
          <t>https://www.youtube.com/channel/UCWRr0vMGqdmyqzdm3bNGY4Q</t>
        </is>
      </c>
      <c r="I376" t="n">
        <v>200</v>
      </c>
      <c r="J376" t="inlineStr">
        <is>
          <t>text/html</t>
        </is>
      </c>
      <c r="K376" t="n">
        <v>0</v>
      </c>
      <c r="L376" t="b">
        <v>1</v>
      </c>
      <c r="M376" t="b">
        <v>1</v>
      </c>
      <c r="N376" t="inlineStr">
        <is>
          <t>PROVED_BY_OWNER_SITE</t>
        </is>
      </c>
      <c r="O376" t="inlineStr">
        <is>
          <t>SIM</t>
        </is>
      </c>
      <c r="P376" t="inlineStr">
        <is>
          <t>SIM — declarado por dono italiano no proprio site</t>
        </is>
      </c>
      <c r="Q376" t="inlineStr">
        <is>
          <t>https://www.unibz.it/it/faculties/agricultural-environmental-food-sciences/</t>
        </is>
      </c>
      <c r="R376" t="inlineStr">
        <is>
          <t>sonda HTTP read-only (GET limitado, payload nao preservado) + id estavel da plataforma extraido de og:/canonical + declaracao do perfil no site oficial do dono (rota publica, secao 10)</t>
        </is>
      </c>
      <c r="S376" t="inlineStr">
        <is>
          <t>2026-09-14T11:25:35Z</t>
        </is>
      </c>
      <c r="T376" t="inlineStr">
        <is>
          <t>PASS</t>
        </is>
      </c>
      <c r="U376" t="inlineStr"/>
      <c r="V376" t="inlineStr">
        <is>
          <t>T5;T6;T1</t>
        </is>
      </c>
      <c r="W376" t="inlineStr">
        <is>
          <t>TRENTINO-ALTO ADIGE</t>
        </is>
      </c>
      <c r="X376" t="inlineStr">
        <is>
          <t>melo</t>
        </is>
      </c>
      <c r="Y376" t="inlineStr">
        <is>
          <t>frutticoltura;melo;montagna</t>
        </is>
      </c>
      <c r="Z376" t="inlineStr">
        <is>
          <t>platform_id UCWRr0vMGqdmyqzdm3bNGY4Q</t>
        </is>
      </c>
      <c r="AA376" t="inlineStr">
        <is>
          <t>site oficial do dono: https://www.unibz.it/it/faculties/agricultural-environmental-food-sciences/</t>
        </is>
      </c>
      <c r="AB376" t="inlineStr">
        <is>
          <t>nao sorteada</t>
        </is>
      </c>
      <c r="AC376" t="inlineStr">
        <is>
          <t>nao sorteada</t>
        </is>
      </c>
      <c r="AD376" t="inlineStr">
        <is>
          <t>UCWRr0vMGqdmyqzdm3bNGY4Q</t>
        </is>
      </c>
      <c r="AE376" t="inlineStr"/>
      <c r="AF376" t="inlineStr"/>
    </row>
    <row r="377">
      <c r="A377" t="inlineStr">
        <is>
          <t>IT-DISC-2026-09-14-0376</t>
        </is>
      </c>
      <c r="B377" t="inlineStr">
        <is>
          <t>Agriumbria — Youtube ufficiale</t>
        </is>
      </c>
      <c r="C377" t="inlineStr">
        <is>
          <t>YOUTUBE</t>
        </is>
      </c>
      <c r="D377" t="inlineStr">
        <is>
          <t>ORG</t>
        </is>
      </c>
      <c r="E377" t="inlineStr">
        <is>
          <t>Umbriafiere</t>
        </is>
      </c>
      <c r="F377" t="inlineStr">
        <is>
          <t>https://www.youtube.com/user/Agriumbria</t>
        </is>
      </c>
      <c r="G377" t="inlineStr">
        <is>
          <t>https://www.youtube.com/user/Agriumbria</t>
        </is>
      </c>
      <c r="H377" t="inlineStr">
        <is>
          <t>https://www.youtube.com/user/Agriumbria</t>
        </is>
      </c>
      <c r="I377" t="n">
        <v>200</v>
      </c>
      <c r="J377" t="inlineStr">
        <is>
          <t>text/html</t>
        </is>
      </c>
      <c r="K377" t="n">
        <v>0</v>
      </c>
      <c r="L377" t="b">
        <v>1</v>
      </c>
      <c r="M377" t="b">
        <v>1</v>
      </c>
      <c r="N377" t="inlineStr">
        <is>
          <t>PROVED_BY_OWNER_SITE</t>
        </is>
      </c>
      <c r="O377" t="inlineStr">
        <is>
          <t>SIM</t>
        </is>
      </c>
      <c r="P377" t="inlineStr">
        <is>
          <t>SIM — declarado por dono italiano no proprio site</t>
        </is>
      </c>
      <c r="Q377" t="inlineStr">
        <is>
          <t>https://www.agriumbria.eu/</t>
        </is>
      </c>
      <c r="R377" t="inlineStr">
        <is>
          <t>sonda HTTP read-only (GET limitado, payload nao preservado) + id estavel da plataforma extraido de og:/canonical + declaracao do perfil no site oficial do dono (rota publica, secao 10)</t>
        </is>
      </c>
      <c r="S377" t="inlineStr">
        <is>
          <t>2026-09-14T11:25:40Z</t>
        </is>
      </c>
      <c r="T377" t="inlineStr">
        <is>
          <t>PASS</t>
        </is>
      </c>
      <c r="U377" t="inlineStr"/>
      <c r="V377" t="inlineStr">
        <is>
          <t>T11;T1</t>
        </is>
      </c>
      <c r="W377" t="inlineStr">
        <is>
          <t>UMBRIA</t>
        </is>
      </c>
      <c r="X377" t="inlineStr"/>
      <c r="Y377" t="inlineStr">
        <is>
          <t>fiera agricoltura;zootecnia</t>
        </is>
      </c>
      <c r="Z377" t="inlineStr">
        <is>
          <t>platform_id UCB345okRbU6TqQyWXd8D8oA</t>
        </is>
      </c>
      <c r="AA377" t="inlineStr">
        <is>
          <t>site oficial do dono: https://www.agriumbria.eu/</t>
        </is>
      </c>
      <c r="AB377" t="inlineStr">
        <is>
          <t>nao sorteada</t>
        </is>
      </c>
      <c r="AC377" t="inlineStr">
        <is>
          <t>nao sorteada</t>
        </is>
      </c>
      <c r="AD377" t="inlineStr">
        <is>
          <t>UCB345okRbU6TqQyWXd8D8oA</t>
        </is>
      </c>
      <c r="AE377" t="inlineStr"/>
      <c r="AF377" t="inlineStr"/>
    </row>
    <row r="378">
      <c r="A378" t="inlineStr">
        <is>
          <t>IT-DISC-2026-09-14-0377</t>
        </is>
      </c>
      <c r="B378" t="inlineStr">
        <is>
          <t>Regione Valle d'Aosta — Agricoltura — Youtube ufficiale</t>
        </is>
      </c>
      <c r="C378" t="inlineStr">
        <is>
          <t>YOUTUBE</t>
        </is>
      </c>
      <c r="D378" t="inlineStr">
        <is>
          <t>ORG</t>
        </is>
      </c>
      <c r="E378" t="inlineStr">
        <is>
          <t>Regione Autonoma Valle d'Aosta</t>
        </is>
      </c>
      <c r="F378" t="inlineStr">
        <is>
          <t>https://www.youtube.com/channel/UC4wxlAIQauBZe7CDnLXkWqA</t>
        </is>
      </c>
      <c r="G378" t="inlineStr">
        <is>
          <t>https://www.youtube.com/channel/UC4wxlAIQauBZe7CDnLXkWqA</t>
        </is>
      </c>
      <c r="H378" t="inlineStr">
        <is>
          <t>https://www.youtube.com/channel/UC4wxlAIQauBZe7CDnLXkWqA</t>
        </is>
      </c>
      <c r="I378" t="n">
        <v>200</v>
      </c>
      <c r="J378" t="inlineStr">
        <is>
          <t>text/html</t>
        </is>
      </c>
      <c r="K378" t="n">
        <v>0</v>
      </c>
      <c r="L378" t="b">
        <v>1</v>
      </c>
      <c r="M378" t="b">
        <v>1</v>
      </c>
      <c r="N378" t="inlineStr">
        <is>
          <t>PROVED_BY_OWNER_SITE</t>
        </is>
      </c>
      <c r="O378" t="inlineStr">
        <is>
          <t>SIM</t>
        </is>
      </c>
      <c r="P378" t="inlineStr">
        <is>
          <t>SIM — declarado por dono italiano no proprio site</t>
        </is>
      </c>
      <c r="Q378" t="inlineStr">
        <is>
          <t>https://www.regione.vda.it/agricoltura/</t>
        </is>
      </c>
      <c r="R378" t="inlineStr">
        <is>
          <t>sonda HTTP read-only (GET limitado, payload nao preservado) + id estavel da plataforma extraido de og:/canonical + declaracao do perfil no site oficial do dono (rota publica, secao 10)</t>
        </is>
      </c>
      <c r="S378" t="inlineStr">
        <is>
          <t>2026-09-14T11:25:29Z</t>
        </is>
      </c>
      <c r="T378" t="inlineStr">
        <is>
          <t>PASS</t>
        </is>
      </c>
      <c r="U378" t="inlineStr"/>
      <c r="V378" t="inlineStr">
        <is>
          <t>T1;T4</t>
        </is>
      </c>
      <c r="W378" t="inlineStr">
        <is>
          <t>VALLE D'AOSTA</t>
        </is>
      </c>
      <c r="X378" t="inlineStr"/>
      <c r="Y378" t="inlineStr">
        <is>
          <t>agricoltura di montagna;viticoltura</t>
        </is>
      </c>
      <c r="Z378" t="inlineStr">
        <is>
          <t>platform_id UC4wxlAIQauBZe7CDnLXkWqA</t>
        </is>
      </c>
      <c r="AA378" t="inlineStr">
        <is>
          <t>site oficial do dono: https://www.regione.vda.it/agricoltura/</t>
        </is>
      </c>
      <c r="AB378" t="inlineStr">
        <is>
          <t>nao sorteada</t>
        </is>
      </c>
      <c r="AC378" t="inlineStr">
        <is>
          <t>nao sorteada</t>
        </is>
      </c>
      <c r="AD378" t="inlineStr">
        <is>
          <t>UC4wxlAIQauBZe7CDnLXkWqA</t>
        </is>
      </c>
      <c r="AE378" t="inlineStr"/>
      <c r="AF378" t="inlineStr"/>
    </row>
    <row r="379">
      <c r="A379" t="inlineStr">
        <is>
          <t>IT-DISC-2026-09-14-0378</t>
        </is>
      </c>
      <c r="B379" t="inlineStr">
        <is>
          <t>Consorzio Tutela Prosecco DOC — Youtube ufficiale</t>
        </is>
      </c>
      <c r="C379" t="inlineStr">
        <is>
          <t>YOUTUBE</t>
        </is>
      </c>
      <c r="D379" t="inlineStr">
        <is>
          <t>ORG</t>
        </is>
      </c>
      <c r="E379" t="inlineStr">
        <is>
          <t>Consorzio Tutela Prosecco DOC</t>
        </is>
      </c>
      <c r="F379" t="inlineStr">
        <is>
          <t>https://www.youtube.com/user/ProseccoSuperiore</t>
        </is>
      </c>
      <c r="G379" t="inlineStr">
        <is>
          <t>https://www.youtube.com/user/ProseccoSuperiore</t>
        </is>
      </c>
      <c r="H379" t="inlineStr">
        <is>
          <t>https://www.youtube.com/user/ProseccoSuperiore</t>
        </is>
      </c>
      <c r="I379" t="n">
        <v>200</v>
      </c>
      <c r="J379" t="inlineStr">
        <is>
          <t>text/html</t>
        </is>
      </c>
      <c r="K379" t="n">
        <v>0</v>
      </c>
      <c r="L379" t="b">
        <v>1</v>
      </c>
      <c r="M379" t="b">
        <v>1</v>
      </c>
      <c r="N379" t="inlineStr">
        <is>
          <t>PROVED_BY_OWNER_SITE</t>
        </is>
      </c>
      <c r="O379" t="inlineStr">
        <is>
          <t>SIM</t>
        </is>
      </c>
      <c r="P379" t="inlineStr">
        <is>
          <t>SIM — declarado por dono italiano no proprio site</t>
        </is>
      </c>
      <c r="Q379" t="inlineStr">
        <is>
          <t>https://www.prosecco.it/</t>
        </is>
      </c>
      <c r="R379" t="inlineStr">
        <is>
          <t>sonda HTTP read-only (GET limitado, payload nao preservado) + id estavel da plataforma extraido de og:/canonical + declaracao do perfil no site oficial do dono (rota publica, secao 10)</t>
        </is>
      </c>
      <c r="S379" t="inlineStr">
        <is>
          <t>2026-09-14T11:25:43Z</t>
        </is>
      </c>
      <c r="T379" t="inlineStr">
        <is>
          <t>PASS</t>
        </is>
      </c>
      <c r="U379" t="inlineStr"/>
      <c r="V379" t="inlineStr">
        <is>
          <t>T10;T1</t>
        </is>
      </c>
      <c r="W379" t="inlineStr">
        <is>
          <t>VENETO</t>
        </is>
      </c>
      <c r="X379" t="inlineStr">
        <is>
          <t>vino</t>
        </is>
      </c>
      <c r="Y379" t="inlineStr">
        <is>
          <t>vino;DOC;viticoltura</t>
        </is>
      </c>
      <c r="Z379" t="inlineStr">
        <is>
          <t>platform_id UC3VPPuduz1p_fouWblztteQ</t>
        </is>
      </c>
      <c r="AA379" t="inlineStr">
        <is>
          <t>site oficial do dono: https://www.prosecco.it/</t>
        </is>
      </c>
      <c r="AB379" t="inlineStr">
        <is>
          <t>nao sorteada</t>
        </is>
      </c>
      <c r="AC379" t="inlineStr">
        <is>
          <t>nao sorteada</t>
        </is>
      </c>
      <c r="AD379" t="inlineStr">
        <is>
          <t>UC3VPPuduz1p_fouWblztteQ</t>
        </is>
      </c>
      <c r="AE379" t="inlineStr"/>
      <c r="AF379" t="inlineStr"/>
    </row>
    <row r="380">
      <c r="A380" t="inlineStr">
        <is>
          <t>IT-DISC-2026-09-14-0379</t>
        </is>
      </c>
      <c r="B380" t="inlineStr">
        <is>
          <t>Consorzio Tutela Vini Valpolicella — Youtube ufficiale</t>
        </is>
      </c>
      <c r="C380" t="inlineStr">
        <is>
          <t>YOUTUBE</t>
        </is>
      </c>
      <c r="D380" t="inlineStr">
        <is>
          <t>ORG</t>
        </is>
      </c>
      <c r="E380" t="inlineStr">
        <is>
          <t>Consorzio Tutela Vini Valpolicella</t>
        </is>
      </c>
      <c r="F380" t="inlineStr">
        <is>
          <t>https://www.youtube.com/channel/UCpdWeEtUCU1aHhJnj2TwheA</t>
        </is>
      </c>
      <c r="G380" t="inlineStr">
        <is>
          <t>https://www.youtube.com/channel/UCpdWeEtUCU1aHhJnj2TwheA</t>
        </is>
      </c>
      <c r="H380" t="inlineStr">
        <is>
          <t>https://www.youtube.com/channel/UCpdWeEtUCU1aHhJnj2TwheA</t>
        </is>
      </c>
      <c r="I380" t="n">
        <v>200</v>
      </c>
      <c r="J380" t="inlineStr">
        <is>
          <t>text/html</t>
        </is>
      </c>
      <c r="K380" t="n">
        <v>0</v>
      </c>
      <c r="L380" t="b">
        <v>1</v>
      </c>
      <c r="M380" t="b">
        <v>1</v>
      </c>
      <c r="N380" t="inlineStr">
        <is>
          <t>PROVED_BY_OWNER_SITE</t>
        </is>
      </c>
      <c r="O380" t="inlineStr">
        <is>
          <t>SIM</t>
        </is>
      </c>
      <c r="P380" t="inlineStr">
        <is>
          <t>SIM — declarado por dono italiano no proprio site</t>
        </is>
      </c>
      <c r="Q380" t="inlineStr">
        <is>
          <t>https://www.consorziovalpolicella.it/</t>
        </is>
      </c>
      <c r="R380" t="inlineStr">
        <is>
          <t>sonda HTTP read-only (GET limitado, payload nao preservado) + id estavel da plataforma extraido de og:/canonical + declaracao do perfil no site oficial do dono (rota publica, secao 10)</t>
        </is>
      </c>
      <c r="S380" t="inlineStr">
        <is>
          <t>2026-09-14T11:25:43Z</t>
        </is>
      </c>
      <c r="T380" t="inlineStr">
        <is>
          <t>PASS</t>
        </is>
      </c>
      <c r="U380" t="inlineStr"/>
      <c r="V380" t="inlineStr">
        <is>
          <t>T10;T1</t>
        </is>
      </c>
      <c r="W380" t="inlineStr">
        <is>
          <t>VENETO</t>
        </is>
      </c>
      <c r="X380" t="inlineStr">
        <is>
          <t>vino</t>
        </is>
      </c>
      <c r="Y380" t="inlineStr">
        <is>
          <t>vino;DOC;viticoltura</t>
        </is>
      </c>
      <c r="Z380" t="inlineStr">
        <is>
          <t>platform_id UCpdWeEtUCU1aHhJnj2TwheA</t>
        </is>
      </c>
      <c r="AA380" t="inlineStr">
        <is>
          <t>site oficial do dono: https://www.consorziovalpolicella.it/</t>
        </is>
      </c>
      <c r="AB380" t="inlineStr">
        <is>
          <t>nao sorteada</t>
        </is>
      </c>
      <c r="AC380" t="inlineStr">
        <is>
          <t>nao sorteada</t>
        </is>
      </c>
      <c r="AD380" t="inlineStr">
        <is>
          <t>UCpdWeEtUCU1aHhJnj2TwheA</t>
        </is>
      </c>
      <c r="AE380" t="inlineStr"/>
      <c r="AF380" t="inlineStr"/>
    </row>
    <row r="381">
      <c r="A381" t="inlineStr">
        <is>
          <t>IT-DISC-2026-09-14-0380</t>
        </is>
      </c>
      <c r="B381" t="inlineStr">
        <is>
          <t>Consorzio di Bonifica Piave — Youtube ufficiale</t>
        </is>
      </c>
      <c r="C381" t="inlineStr">
        <is>
          <t>YOUTUBE</t>
        </is>
      </c>
      <c r="D381" t="inlineStr">
        <is>
          <t>ORG</t>
        </is>
      </c>
      <c r="E381" t="inlineStr">
        <is>
          <t>Consorzio di Bonifica Piave</t>
        </is>
      </c>
      <c r="F381" t="inlineStr">
        <is>
          <t>https://www.youtube.com/channel/UCmRWXB6nOPLc5x42XXhGrWg</t>
        </is>
      </c>
      <c r="G381" t="inlineStr">
        <is>
          <t>https://www.youtube.com/channel/UCmRWXB6nOPLc5x42XXhGrWg</t>
        </is>
      </c>
      <c r="H381" t="inlineStr">
        <is>
          <t>https://www.youtube.com/channel/UCmRWXB6nOPLc5x42XXhGrWg</t>
        </is>
      </c>
      <c r="I381" t="n">
        <v>200</v>
      </c>
      <c r="J381" t="inlineStr">
        <is>
          <t>text/html</t>
        </is>
      </c>
      <c r="K381" t="n">
        <v>0</v>
      </c>
      <c r="L381" t="b">
        <v>1</v>
      </c>
      <c r="M381" t="b">
        <v>1</v>
      </c>
      <c r="N381" t="inlineStr">
        <is>
          <t>PROVED_BY_OWNER_SITE</t>
        </is>
      </c>
      <c r="O381" t="inlineStr">
        <is>
          <t>SIM</t>
        </is>
      </c>
      <c r="P381" t="inlineStr">
        <is>
          <t>SIM — declarado por dono italiano no proprio site</t>
        </is>
      </c>
      <c r="Q381" t="inlineStr">
        <is>
          <t>https://www.consorziopiave.it/</t>
        </is>
      </c>
      <c r="R381" t="inlineStr">
        <is>
          <t>sonda HTTP read-only (GET limitado, payload nao preservado) + id estavel da plataforma extraido de og:/canonical + declaracao do perfil no site oficial do dono (rota publica, secao 10)</t>
        </is>
      </c>
      <c r="S381" t="inlineStr">
        <is>
          <t>2026-09-14T11:25:45Z</t>
        </is>
      </c>
      <c r="T381" t="inlineStr">
        <is>
          <t>PASS</t>
        </is>
      </c>
      <c r="U381" t="inlineStr"/>
      <c r="V381" t="inlineStr">
        <is>
          <t>T2;T1</t>
        </is>
      </c>
      <c r="W381" t="inlineStr">
        <is>
          <t>VENETO</t>
        </is>
      </c>
      <c r="X381" t="inlineStr"/>
      <c r="Y381" t="inlineStr">
        <is>
          <t>irrigazione;acqua</t>
        </is>
      </c>
      <c r="Z381" t="inlineStr">
        <is>
          <t>platform_id UCmRWXB6nOPLc5x42XXhGrWg</t>
        </is>
      </c>
      <c r="AA381" t="inlineStr">
        <is>
          <t>site oficial do dono: https://www.consorziopiave.it/</t>
        </is>
      </c>
      <c r="AB381" t="inlineStr">
        <is>
          <t>nao sorteada</t>
        </is>
      </c>
      <c r="AC381" t="inlineStr">
        <is>
          <t>nao sorteada</t>
        </is>
      </c>
      <c r="AD381" t="inlineStr">
        <is>
          <t>UCmRWXB6nOPLc5x42XXhGrWg</t>
        </is>
      </c>
      <c r="AE381" t="inlineStr"/>
      <c r="AF381" t="inlineStr"/>
    </row>
    <row r="382">
      <c r="A382" t="inlineStr">
        <is>
          <t>IT-DISC-2026-09-14-0381</t>
        </is>
      </c>
      <c r="B382" t="inlineStr">
        <is>
          <t>L'Informatore Agrario — canale YouTube</t>
        </is>
      </c>
      <c r="C382" t="inlineStr">
        <is>
          <t>YOUTUBE</t>
        </is>
      </c>
      <c r="D382" t="inlineStr">
        <is>
          <t>ORG</t>
        </is>
      </c>
      <c r="E382" t="inlineStr">
        <is>
          <t>Edizioni L'Informatore Agrario</t>
        </is>
      </c>
      <c r="F382" t="inlineStr">
        <is>
          <t>https://www.youtube.com/@informatoreagrario</t>
        </is>
      </c>
      <c r="G382" t="inlineStr">
        <is>
          <t>https://www.youtube.com/@informatoreagrario</t>
        </is>
      </c>
      <c r="H382" t="inlineStr">
        <is>
          <t>https://www.youtube.com/@informatoreagrario</t>
        </is>
      </c>
      <c r="I382" t="n">
        <v>200</v>
      </c>
      <c r="J382" t="inlineStr">
        <is>
          <t>text/html</t>
        </is>
      </c>
      <c r="K382" t="n">
        <v>0</v>
      </c>
      <c r="L382" t="b">
        <v>1</v>
      </c>
      <c r="M382" t="b">
        <v>1</v>
      </c>
      <c r="N382" t="inlineStr">
        <is>
          <t>PROVED_DIRECT_PLATFORM_ID</t>
        </is>
      </c>
      <c r="O382" t="inlineStr">
        <is>
          <t>SIM</t>
        </is>
      </c>
      <c r="P382" t="inlineStr">
        <is>
          <t>SIM — dono italiano identificado na pagina</t>
        </is>
      </c>
      <c r="Q382" t="inlineStr">
        <is>
          <t>L&amp;#39;Informatore Agrario - YouTube</t>
        </is>
      </c>
      <c r="R382" t="inlineStr">
        <is>
          <t>sonda HTTP read-only (GET limitado, payload nao preservado) + id estavel da plataforma extraido de og:/canonical</t>
        </is>
      </c>
      <c r="S382" t="inlineStr">
        <is>
          <t>2026-09-14T11:22:27Z</t>
        </is>
      </c>
      <c r="T382" t="inlineStr">
        <is>
          <t>PASS</t>
        </is>
      </c>
      <c r="U382" t="inlineStr"/>
      <c r="V382" t="inlineStr">
        <is>
          <t>T8;T1;T3</t>
        </is>
      </c>
      <c r="W382" t="inlineStr">
        <is>
          <t>VENETO</t>
        </is>
      </c>
      <c r="X382" t="inlineStr"/>
      <c r="Y382" t="inlineStr">
        <is>
          <t>rivista tecnica;video</t>
        </is>
      </c>
      <c r="Z382" t="inlineStr">
        <is>
          <t>platform_id UCLqKnJJf6VBExBf5qp8N74w</t>
        </is>
      </c>
      <c r="AA382" t="inlineStr">
        <is>
          <t>meta description: informatoreagrario.it YouTube Channel pubblica i contenuti video prodo</t>
        </is>
      </c>
      <c r="AB382" t="inlineStr">
        <is>
          <t>CONFIRMA</t>
        </is>
      </c>
      <c r="AC382" t="inlineStr">
        <is>
          <t>nao sorteada</t>
        </is>
      </c>
      <c r="AD382" t="inlineStr">
        <is>
          <t>UCLqKnJJf6VBExBf5qp8N74w</t>
        </is>
      </c>
      <c r="AE382" t="inlineStr"/>
      <c r="AF382" t="inlineStr"/>
    </row>
    <row r="383">
      <c r="A383" t="inlineStr">
        <is>
          <t>IT-DISC-2026-09-14-0382</t>
        </is>
      </c>
      <c r="B383" t="inlineStr">
        <is>
          <t>AGEA — Agenzia per le Erogazioni in Agricoltura</t>
        </is>
      </c>
      <c r="C383" t="inlineStr">
        <is>
          <t>BASE_OFICIAL</t>
        </is>
      </c>
      <c r="D383" t="inlineStr">
        <is>
          <t>ORG</t>
        </is>
      </c>
      <c r="E383" t="inlineStr">
        <is>
          <t>AGEA</t>
        </is>
      </c>
      <c r="F383" t="inlineStr">
        <is>
          <t>https://www.agea.gov.it/</t>
        </is>
      </c>
      <c r="G383" t="inlineStr">
        <is>
          <t>https://www.agea.gov.it/</t>
        </is>
      </c>
      <c r="H383" t="inlineStr">
        <is>
          <t>https://www.agea.gov.it/</t>
        </is>
      </c>
      <c r="I383" t="n">
        <v>403</v>
      </c>
      <c r="J383" t="inlineStr">
        <is>
          <t>text/html</t>
        </is>
      </c>
      <c r="K383" t="n">
        <v>0</v>
      </c>
      <c r="L383" t="b">
        <v>1</v>
      </c>
      <c r="M383" t="b">
        <v>1</v>
      </c>
      <c r="N383" t="inlineStr">
        <is>
          <t>PROVED_DIRECT</t>
        </is>
      </c>
      <c r="O383" t="inlineStr">
        <is>
          <t>SIM</t>
        </is>
      </c>
      <c r="P383" t="inlineStr">
        <is>
          <t>SIM — dominio .it e conteudo em italiano</t>
        </is>
      </c>
      <c r="Q383" t="inlineStr">
        <is>
          <t>403 Forbidden</t>
        </is>
      </c>
      <c r="R383" t="inlineStr">
        <is>
          <t>sonda HTTP read-only (GET limitado, payload nao preservado)</t>
        </is>
      </c>
      <c r="S383" t="inlineStr">
        <is>
          <t>2026-09-14T11:04:30Z</t>
        </is>
      </c>
      <c r="T383" t="inlineStr">
        <is>
          <t>UNKNOWN</t>
        </is>
      </c>
      <c r="U383" t="inlineStr">
        <is>
          <t>bloqueio/inconclusivo no datacenter (status=403, flags=HTTP_403,THIN_BODY)</t>
        </is>
      </c>
      <c r="V383" t="inlineStr">
        <is>
          <t>T4;T12</t>
        </is>
      </c>
      <c r="W383" t="inlineStr">
        <is>
          <t>NAZIONALE</t>
        </is>
      </c>
      <c r="X383" t="inlineStr"/>
      <c r="Y383" t="inlineStr">
        <is>
          <t>PAC;pagamenti;SIGC</t>
        </is>
      </c>
      <c r="Z383" t="inlineStr">
        <is>
          <t>titulo da pagina: 403 Forbidden</t>
        </is>
      </c>
      <c r="AA383" t="inlineStr">
        <is>
          <t>dominio institucional do dono</t>
        </is>
      </c>
      <c r="AB383" t="inlineStr">
        <is>
          <t>nao sorteada</t>
        </is>
      </c>
      <c r="AC383" t="inlineStr">
        <is>
          <t>nao sorteada</t>
        </is>
      </c>
      <c r="AE383" t="inlineStr">
        <is>
          <t>HTTP_403,THIN_BODY</t>
        </is>
      </c>
      <c r="AF383" t="inlineStr"/>
    </row>
    <row r="384">
      <c r="A384" t="inlineStr">
        <is>
          <t>IT-DISC-2026-09-14-0383</t>
        </is>
      </c>
      <c r="B384" t="inlineStr">
        <is>
          <t>ENEA — Agenzia nazionale efficienza energetica e sviluppo economico sostenibile</t>
        </is>
      </c>
      <c r="C384" t="inlineStr">
        <is>
          <t>ORGANIZACAO</t>
        </is>
      </c>
      <c r="D384" t="inlineStr">
        <is>
          <t>ORG</t>
        </is>
      </c>
      <c r="E384" t="inlineStr">
        <is>
          <t>ENEA</t>
        </is>
      </c>
      <c r="F384" t="inlineStr">
        <is>
          <t>https://www.enea.it/</t>
        </is>
      </c>
      <c r="G384" t="inlineStr">
        <is>
          <t>https://www.enea.it/</t>
        </is>
      </c>
      <c r="K384" t="n">
        <v>0</v>
      </c>
      <c r="L384" t="b">
        <v>1</v>
      </c>
      <c r="M384" t="b">
        <v>1</v>
      </c>
      <c r="N384" t="inlineStr">
        <is>
          <t>PROVED_DIRECT</t>
        </is>
      </c>
      <c r="O384" t="inlineStr">
        <is>
          <t>SIM</t>
        </is>
      </c>
      <c r="P384" t="inlineStr">
        <is>
          <t>SIM — dominio .it e conteudo em italiano</t>
        </is>
      </c>
      <c r="Q384" t="inlineStr"/>
      <c r="R384" t="inlineStr">
        <is>
          <t>sonda HTTP read-only (GET limitado, payload nao preservado)</t>
        </is>
      </c>
      <c r="S384" t="inlineStr">
        <is>
          <t>2026-09-14T11:04:31Z</t>
        </is>
      </c>
      <c r="T384" t="inlineStr">
        <is>
          <t>REJECT</t>
        </is>
      </c>
      <c r="U384" t="inlineStr">
        <is>
          <t>handshake TLS falha mesmo com a cadeia completada por AIA</t>
        </is>
      </c>
      <c r="V384" t="inlineStr">
        <is>
          <t>T2;T5</t>
        </is>
      </c>
      <c r="W384" t="inlineStr">
        <is>
          <t>NAZIONALE</t>
        </is>
      </c>
      <c r="X384" t="inlineStr"/>
      <c r="Y384" t="inlineStr">
        <is>
          <t>agricoltura sostenibile;energia;irrigazione</t>
        </is>
      </c>
      <c r="Z384" t="inlineStr">
        <is>
          <t xml:space="preserve">titulo da pagina: </t>
        </is>
      </c>
      <c r="AA384" t="inlineStr">
        <is>
          <t>dominio institucional do dono</t>
        </is>
      </c>
      <c r="AB384" t="inlineStr">
        <is>
          <t>nao sorteada</t>
        </is>
      </c>
      <c r="AC384" t="inlineStr">
        <is>
          <t>nao sorteada</t>
        </is>
      </c>
      <c r="AE384" t="inlineStr">
        <is>
          <t>TLS_ERROR</t>
        </is>
      </c>
      <c r="AF384" t="inlineStr"/>
    </row>
    <row r="385">
      <c r="A385" t="inlineStr">
        <is>
          <t>IT-DISC-2026-09-14-0384</t>
        </is>
      </c>
      <c r="B385" t="inlineStr">
        <is>
          <t>Copagri</t>
        </is>
      </c>
      <c r="C385" t="inlineStr">
        <is>
          <t>ORGANIZACAO</t>
        </is>
      </c>
      <c r="D385" t="inlineStr">
        <is>
          <t>ORG</t>
        </is>
      </c>
      <c r="E385" t="inlineStr">
        <is>
          <t>Copagri</t>
        </is>
      </c>
      <c r="F385" t="inlineStr">
        <is>
          <t>https://www.copagri.it/</t>
        </is>
      </c>
      <c r="G385" t="inlineStr">
        <is>
          <t>https://www.copagri.it/</t>
        </is>
      </c>
      <c r="K385" t="n">
        <v>0</v>
      </c>
      <c r="L385" t="b">
        <v>1</v>
      </c>
      <c r="M385" t="b">
        <v>1</v>
      </c>
      <c r="N385" t="inlineStr">
        <is>
          <t>PROVED_DIRECT</t>
        </is>
      </c>
      <c r="O385" t="inlineStr">
        <is>
          <t>SIM</t>
        </is>
      </c>
      <c r="P385" t="inlineStr">
        <is>
          <t>SIM — dominio .it e conteudo em italiano</t>
        </is>
      </c>
      <c r="Q385" t="inlineStr"/>
      <c r="R385" t="inlineStr">
        <is>
          <t>sonda HTTP read-only (GET limitado, payload nao preservado)</t>
        </is>
      </c>
      <c r="S385" t="inlineStr">
        <is>
          <t>2026-09-14T11:04:36Z</t>
        </is>
      </c>
      <c r="T385" t="inlineStr">
        <is>
          <t>REJECT</t>
        </is>
      </c>
      <c r="U385" t="inlineStr">
        <is>
          <t>handshake TLS falha mesmo com a cadeia completada por AIA</t>
        </is>
      </c>
      <c r="V385" t="inlineStr">
        <is>
          <t>T12;T7</t>
        </is>
      </c>
      <c r="W385" t="inlineStr">
        <is>
          <t>NAZIONALE</t>
        </is>
      </c>
      <c r="X385" t="inlineStr"/>
      <c r="Y385" t="inlineStr">
        <is>
          <t>organizzazione agricola</t>
        </is>
      </c>
      <c r="Z385" t="inlineStr">
        <is>
          <t xml:space="preserve">titulo da pagina: </t>
        </is>
      </c>
      <c r="AA385" t="inlineStr">
        <is>
          <t>dominio institucional do dono</t>
        </is>
      </c>
      <c r="AB385" t="inlineStr">
        <is>
          <t>nao sorteada</t>
        </is>
      </c>
      <c r="AC385" t="inlineStr">
        <is>
          <t>nao sorteada</t>
        </is>
      </c>
      <c r="AE385" t="inlineStr">
        <is>
          <t>TLS_ERROR</t>
        </is>
      </c>
      <c r="AF385" t="inlineStr"/>
    </row>
    <row r="386">
      <c r="A386" t="inlineStr">
        <is>
          <t>IT-DISC-2026-09-14-0385</t>
        </is>
      </c>
      <c r="B386" t="inlineStr">
        <is>
          <t>Compag — Federazione Nazionale Commercianti Prodotti per l'Agricoltura</t>
        </is>
      </c>
      <c r="C386" t="inlineStr">
        <is>
          <t>ORGANIZACAO</t>
        </is>
      </c>
      <c r="D386" t="inlineStr">
        <is>
          <t>ORG</t>
        </is>
      </c>
      <c r="E386" t="inlineStr">
        <is>
          <t>Compag</t>
        </is>
      </c>
      <c r="F386" t="inlineStr">
        <is>
          <t>https://www.compag.org/</t>
        </is>
      </c>
      <c r="G386" t="inlineStr">
        <is>
          <t>https://www.compag.org/</t>
        </is>
      </c>
      <c r="K386" t="n">
        <v>0</v>
      </c>
      <c r="L386" t="b">
        <v>1</v>
      </c>
      <c r="M386" t="b">
        <v>1</v>
      </c>
      <c r="N386" t="inlineStr">
        <is>
          <t>PROVED_DIRECT</t>
        </is>
      </c>
      <c r="O386" t="inlineStr">
        <is>
          <t>SIM</t>
        </is>
      </c>
      <c r="P386" t="inlineStr">
        <is>
          <t>SIM — dono italiano identificado na pagina</t>
        </is>
      </c>
      <c r="Q386" t="inlineStr"/>
      <c r="R386" t="inlineStr">
        <is>
          <t>sonda HTTP read-only (GET limitado, payload nao preservado)</t>
        </is>
      </c>
      <c r="S386" t="inlineStr">
        <is>
          <t>2026-09-14T11:04:37Z</t>
        </is>
      </c>
      <c r="T386" t="inlineStr">
        <is>
          <t>REJECT</t>
        </is>
      </c>
      <c r="U386" t="inlineStr">
        <is>
          <t>handshake TLS falha mesmo com a cadeia completada por AIA</t>
        </is>
      </c>
      <c r="V386" t="inlineStr">
        <is>
          <t>T10;T7;T9</t>
        </is>
      </c>
      <c r="W386" t="inlineStr">
        <is>
          <t>NAZIONALE</t>
        </is>
      </c>
      <c r="X386" t="inlineStr"/>
      <c r="Y386" t="inlineStr">
        <is>
          <t>distribuzione;rivendite agrarie</t>
        </is>
      </c>
      <c r="Z386" t="inlineStr">
        <is>
          <t xml:space="preserve">titulo da pagina: </t>
        </is>
      </c>
      <c r="AA386" t="inlineStr">
        <is>
          <t>dominio institucional do dono</t>
        </is>
      </c>
      <c r="AB386" t="inlineStr">
        <is>
          <t>nao sorteada</t>
        </is>
      </c>
      <c r="AC386" t="inlineStr">
        <is>
          <t>nao sorteada</t>
        </is>
      </c>
      <c r="AE386" t="inlineStr">
        <is>
          <t>TLS_ERROR</t>
        </is>
      </c>
      <c r="AF386" t="inlineStr"/>
    </row>
    <row r="387">
      <c r="A387" t="inlineStr">
        <is>
          <t>IT-DISC-2026-09-14-0386</t>
        </is>
      </c>
      <c r="B387" t="inlineStr">
        <is>
          <t>Regione Basilicata — Politiche agricole</t>
        </is>
      </c>
      <c r="C387" t="inlineStr">
        <is>
          <t>BASE_OFICIAL</t>
        </is>
      </c>
      <c r="D387" t="inlineStr">
        <is>
          <t>ORG</t>
        </is>
      </c>
      <c r="E387" t="inlineStr">
        <is>
          <t>Regione Basilicata</t>
        </is>
      </c>
      <c r="F387" t="inlineStr">
        <is>
          <t>https://www.regione.basilicata.it/giunta/site/giunta/department.jsp?dep=100050</t>
        </is>
      </c>
      <c r="G387" t="inlineStr">
        <is>
          <t>https://www.regione.basilicata.it/giunta/site/giunta/home.jsp</t>
        </is>
      </c>
      <c r="K387" t="n">
        <v>0</v>
      </c>
      <c r="L387" t="b">
        <v>1</v>
      </c>
      <c r="M387" t="b">
        <v>1</v>
      </c>
      <c r="N387" t="inlineStr">
        <is>
          <t>PROVED_DIRECT</t>
        </is>
      </c>
      <c r="O387" t="inlineStr">
        <is>
          <t>SIM</t>
        </is>
      </c>
      <c r="P387" t="inlineStr">
        <is>
          <t>SIM — dominio .it e conteudo em italiano</t>
        </is>
      </c>
      <c r="Q387" t="inlineStr"/>
      <c r="R387" t="inlineStr">
        <is>
          <t>sonda HTTP read-only (GET limitado, payload nao preservado)</t>
        </is>
      </c>
      <c r="S387" t="inlineStr">
        <is>
          <t>2026-09-14T11:22:29Z</t>
        </is>
      </c>
      <c r="T387" t="inlineStr">
        <is>
          <t>UNKNOWN</t>
        </is>
      </c>
      <c r="U387" t="inlineStr">
        <is>
          <t>bloqueio/inconclusivo no datacenter (status=None, flags=CONN_FAIL)</t>
        </is>
      </c>
      <c r="V387" t="inlineStr">
        <is>
          <t>T1;T4</t>
        </is>
      </c>
      <c r="W387" t="inlineStr">
        <is>
          <t>BASILICATA</t>
        </is>
      </c>
      <c r="X387" t="inlineStr"/>
      <c r="Y387" t="inlineStr">
        <is>
          <t>agricoltura;PSR</t>
        </is>
      </c>
      <c r="Z387" t="inlineStr">
        <is>
          <t xml:space="preserve">titulo da pagina: </t>
        </is>
      </c>
      <c r="AA387" t="inlineStr">
        <is>
          <t>dominio institucional do dono</t>
        </is>
      </c>
      <c r="AB387" t="inlineStr">
        <is>
          <t>nao sorteada</t>
        </is>
      </c>
      <c r="AC387" t="inlineStr">
        <is>
          <t>nao sorteada</t>
        </is>
      </c>
      <c r="AE387" t="inlineStr">
        <is>
          <t>CONN_FAIL</t>
        </is>
      </c>
      <c r="AF387" t="inlineStr">
        <is>
          <t>caminho de departamento instavel</t>
        </is>
      </c>
    </row>
    <row r="388">
      <c r="A388" t="inlineStr">
        <is>
          <t>IT-DISC-2026-09-14-0387</t>
        </is>
      </c>
      <c r="B388" t="inlineStr">
        <is>
          <t>Regione Puglia — Agricoltura</t>
        </is>
      </c>
      <c r="C388" t="inlineStr">
        <is>
          <t>BASE_OFICIAL</t>
        </is>
      </c>
      <c r="D388" t="inlineStr">
        <is>
          <t>ORG</t>
        </is>
      </c>
      <c r="E388" t="inlineStr">
        <is>
          <t>Regione Puglia</t>
        </is>
      </c>
      <c r="F388" t="inlineStr">
        <is>
          <t>https://www.regione.puglia.it/web/agricoltura</t>
        </is>
      </c>
      <c r="G388" t="inlineStr">
        <is>
          <t>https://www.regione.puglia.it/web/agricoltura</t>
        </is>
      </c>
      <c r="K388" t="n">
        <v>0</v>
      </c>
      <c r="L388" t="b">
        <v>1</v>
      </c>
      <c r="M388" t="b">
        <v>1</v>
      </c>
      <c r="N388" t="inlineStr">
        <is>
          <t>PROVED_DIRECT</t>
        </is>
      </c>
      <c r="O388" t="inlineStr">
        <is>
          <t>SIM</t>
        </is>
      </c>
      <c r="P388" t="inlineStr">
        <is>
          <t>SIM — dominio .it e conteudo em italiano</t>
        </is>
      </c>
      <c r="Q388" t="inlineStr"/>
      <c r="R388" t="inlineStr">
        <is>
          <t>sonda HTTP read-only (GET limitado, payload nao preservado)</t>
        </is>
      </c>
      <c r="S388" t="inlineStr">
        <is>
          <t>2026-09-14T11:04:44Z</t>
        </is>
      </c>
      <c r="T388" t="inlineStr">
        <is>
          <t>UNKNOWN</t>
        </is>
      </c>
      <c r="U388" t="inlineStr">
        <is>
          <t>bloqueio/inconclusivo no datacenter (status=None, flags=CONN_FAIL)</t>
        </is>
      </c>
      <c r="V388" t="inlineStr">
        <is>
          <t>T1;T4;T3</t>
        </is>
      </c>
      <c r="W388" t="inlineStr">
        <is>
          <t>PUGLIA</t>
        </is>
      </c>
      <c r="X388" t="inlineStr">
        <is>
          <t>olivo</t>
        </is>
      </c>
      <c r="Y388" t="inlineStr">
        <is>
          <t>agricoltura;olivo;Xylella</t>
        </is>
      </c>
      <c r="Z388" t="inlineStr">
        <is>
          <t xml:space="preserve">titulo da pagina: </t>
        </is>
      </c>
      <c r="AA388" t="inlineStr">
        <is>
          <t>dominio institucional do dono</t>
        </is>
      </c>
      <c r="AB388" t="inlineStr">
        <is>
          <t>nao sorteada</t>
        </is>
      </c>
      <c r="AC388" t="inlineStr">
        <is>
          <t>nao sorteada</t>
        </is>
      </c>
      <c r="AE388" t="inlineStr">
        <is>
          <t>CONN_FAIL</t>
        </is>
      </c>
      <c r="AF388" t="inlineStr"/>
    </row>
    <row r="389">
      <c r="A389" t="inlineStr">
        <is>
          <t>IT-DISC-2026-09-14-0388</t>
        </is>
      </c>
      <c r="B389" t="inlineStr">
        <is>
          <t>ARPA Umbria</t>
        </is>
      </c>
      <c r="C389" t="inlineStr">
        <is>
          <t>BASE_OFICIAL</t>
        </is>
      </c>
      <c r="D389" t="inlineStr">
        <is>
          <t>ORG</t>
        </is>
      </c>
      <c r="E389" t="inlineStr">
        <is>
          <t>ARPA Umbria</t>
        </is>
      </c>
      <c r="F389" t="inlineStr">
        <is>
          <t>https://www.arpa.umbria.it/</t>
        </is>
      </c>
      <c r="G389" t="inlineStr">
        <is>
          <t>https://www.arpa.umbria.it/</t>
        </is>
      </c>
      <c r="H389" t="inlineStr">
        <is>
          <t>https://www.arpa.umbria.it/</t>
        </is>
      </c>
      <c r="I389" t="n">
        <v>404</v>
      </c>
      <c r="J389" t="inlineStr">
        <is>
          <t>text/html</t>
        </is>
      </c>
      <c r="K389" t="n">
        <v>0</v>
      </c>
      <c r="L389" t="b">
        <v>1</v>
      </c>
      <c r="M389" t="b">
        <v>1</v>
      </c>
      <c r="N389" t="inlineStr">
        <is>
          <t>PROVED_DIRECT</t>
        </is>
      </c>
      <c r="O389" t="inlineStr">
        <is>
          <t>SIM</t>
        </is>
      </c>
      <c r="P389" t="inlineStr">
        <is>
          <t>SIM — dominio .it e conteudo em italiano</t>
        </is>
      </c>
      <c r="Q389" t="inlineStr"/>
      <c r="R389" t="inlineStr">
        <is>
          <t>sonda HTTP read-only (GET limitado, payload nao preservado)</t>
        </is>
      </c>
      <c r="S389" t="inlineStr">
        <is>
          <t>2026-09-14T11:06:35Z</t>
        </is>
      </c>
      <c r="T389" t="inlineStr">
        <is>
          <t>REJECT</t>
        </is>
      </c>
      <c r="U389" t="inlineStr">
        <is>
          <t>HTTP 404</t>
        </is>
      </c>
      <c r="V389" t="inlineStr">
        <is>
          <t>T2;T12</t>
        </is>
      </c>
      <c r="W389" t="inlineStr">
        <is>
          <t>UMBRIA</t>
        </is>
      </c>
      <c r="X389" t="inlineStr"/>
      <c r="Y389" t="inlineStr">
        <is>
          <t>ambiente;meteo;acque</t>
        </is>
      </c>
      <c r="Z389" t="inlineStr">
        <is>
          <t xml:space="preserve">titulo da pagina: </t>
        </is>
      </c>
      <c r="AA389" t="inlineStr">
        <is>
          <t>dominio institucional do dono</t>
        </is>
      </c>
      <c r="AB389" t="inlineStr">
        <is>
          <t>nao sorteada</t>
        </is>
      </c>
      <c r="AC389" t="inlineStr">
        <is>
          <t>nao sorteada</t>
        </is>
      </c>
      <c r="AE389" t="inlineStr">
        <is>
          <t>HTTP_404,THIN_BODY</t>
        </is>
      </c>
      <c r="AF389" t="inlineStr"/>
    </row>
    <row r="390">
      <c r="A390" t="inlineStr">
        <is>
          <t>IT-DISC-2026-09-14-0389</t>
        </is>
      </c>
      <c r="B390" t="inlineStr">
        <is>
          <t>UNITO DISAFA — Dipartimento di Scienze Agrarie Forestali e Alimentari</t>
        </is>
      </c>
      <c r="C390" t="inlineStr">
        <is>
          <t>CIENCIA</t>
        </is>
      </c>
      <c r="D390" t="inlineStr">
        <is>
          <t>ORG</t>
        </is>
      </c>
      <c r="E390" t="inlineStr">
        <is>
          <t>Universita di Torino</t>
        </is>
      </c>
      <c r="F390" t="inlineStr">
        <is>
          <t>https://www.disafa.unito.it/</t>
        </is>
      </c>
      <c r="G390" t="inlineStr">
        <is>
          <t>https://www.disafa.unito.it/</t>
        </is>
      </c>
      <c r="K390" t="n">
        <v>0</v>
      </c>
      <c r="L390" t="b">
        <v>1</v>
      </c>
      <c r="M390" t="b">
        <v>1</v>
      </c>
      <c r="N390" t="inlineStr">
        <is>
          <t>PROVED_DIRECT</t>
        </is>
      </c>
      <c r="O390" t="inlineStr">
        <is>
          <t>SIM</t>
        </is>
      </c>
      <c r="P390" t="inlineStr">
        <is>
          <t>SIM — dominio .it e conteudo em italiano</t>
        </is>
      </c>
      <c r="Q390" t="inlineStr"/>
      <c r="R390" t="inlineStr">
        <is>
          <t>sonda HTTP read-only (GET limitado, payload nao preservado)</t>
        </is>
      </c>
      <c r="S390" t="inlineStr">
        <is>
          <t>2026-09-14T11:24:45Z</t>
        </is>
      </c>
      <c r="T390" t="inlineStr">
        <is>
          <t>UNKNOWN</t>
        </is>
      </c>
      <c r="U390" t="inlineStr">
        <is>
          <t>bloqueio/inconclusivo no datacenter (status=None, flags=CONN_FAIL)</t>
        </is>
      </c>
      <c r="V390" t="inlineStr">
        <is>
          <t>T5;T6;T3</t>
        </is>
      </c>
      <c r="W390" t="inlineStr">
        <is>
          <t>PIEMONTE</t>
        </is>
      </c>
      <c r="X390" t="inlineStr"/>
      <c r="Y390" t="inlineStr">
        <is>
          <t>agraria;patologia;viticoltura</t>
        </is>
      </c>
      <c r="Z390" t="inlineStr">
        <is>
          <t xml:space="preserve">titulo da pagina: </t>
        </is>
      </c>
      <c r="AA390" t="inlineStr">
        <is>
          <t>dominio institucional do dono</t>
        </is>
      </c>
      <c r="AB390" t="inlineStr">
        <is>
          <t>nao sorteada</t>
        </is>
      </c>
      <c r="AC390" t="inlineStr">
        <is>
          <t>nao sorteada</t>
        </is>
      </c>
      <c r="AE390" t="inlineStr">
        <is>
          <t>CONN_FAIL</t>
        </is>
      </c>
      <c r="AF390" t="inlineStr"/>
    </row>
    <row r="391">
      <c r="A391" t="inlineStr">
        <is>
          <t>IT-DISC-2026-09-14-0390</t>
        </is>
      </c>
      <c r="B391" t="inlineStr">
        <is>
          <t>UNISS Dipartimento di Agraria</t>
        </is>
      </c>
      <c r="C391" t="inlineStr">
        <is>
          <t>CIENCIA</t>
        </is>
      </c>
      <c r="D391" t="inlineStr">
        <is>
          <t>ORG</t>
        </is>
      </c>
      <c r="E391" t="inlineStr">
        <is>
          <t>Universita di Sassari</t>
        </is>
      </c>
      <c r="F391" t="inlineStr">
        <is>
          <t>https://www.agraria.uniss.it/</t>
        </is>
      </c>
      <c r="G391" t="inlineStr">
        <is>
          <t>https://www.agraria.uniss.it/</t>
        </is>
      </c>
      <c r="K391" t="n">
        <v>0</v>
      </c>
      <c r="L391" t="b">
        <v>0</v>
      </c>
      <c r="N391" t="inlineStr">
        <is>
          <t>PROVED_DIRECT</t>
        </is>
      </c>
      <c r="O391" t="inlineStr">
        <is>
          <t>SIM</t>
        </is>
      </c>
      <c r="P391" t="inlineStr">
        <is>
          <t>SIM — dominio .it e conteudo em italiano</t>
        </is>
      </c>
      <c r="Q391" t="inlineStr"/>
      <c r="R391" t="inlineStr">
        <is>
          <t>sonda HTTP read-only (GET limitado, payload nao preservado)</t>
        </is>
      </c>
      <c r="S391" t="inlineStr">
        <is>
          <t>2026-09-14T11:24:48Z</t>
        </is>
      </c>
      <c r="T391" t="inlineStr">
        <is>
          <t>REJECT</t>
        </is>
      </c>
      <c r="U391" t="inlineStr">
        <is>
          <t>DNS nao resolve: o endereco nao existe</t>
        </is>
      </c>
      <c r="V391" t="inlineStr">
        <is>
          <t>T5;T6;T1</t>
        </is>
      </c>
      <c r="W391" t="inlineStr">
        <is>
          <t>SARDEGNA</t>
        </is>
      </c>
      <c r="X391" t="inlineStr"/>
      <c r="Y391" t="inlineStr">
        <is>
          <t>agraria;colture mediterranee</t>
        </is>
      </c>
      <c r="Z391" t="inlineStr">
        <is>
          <t xml:space="preserve">titulo da pagina: </t>
        </is>
      </c>
      <c r="AA391" t="inlineStr">
        <is>
          <t>dominio institucional do dono</t>
        </is>
      </c>
      <c r="AB391" t="inlineStr">
        <is>
          <t>nao sorteada</t>
        </is>
      </c>
      <c r="AC391" t="inlineStr">
        <is>
          <t>nao sorteada</t>
        </is>
      </c>
      <c r="AE391" t="inlineStr">
        <is>
          <t>DNS_FAIL</t>
        </is>
      </c>
      <c r="AF391" t="inlineStr"/>
    </row>
    <row r="392">
      <c r="A392" t="inlineStr">
        <is>
          <t>IT-DISC-2026-09-14-0391</t>
        </is>
      </c>
      <c r="B392" t="inlineStr">
        <is>
          <t>UNIFG Dipartimento di Scienze Agrarie Alimenti Risorse Naturali e Ingegneria</t>
        </is>
      </c>
      <c r="C392" t="inlineStr">
        <is>
          <t>CIENCIA</t>
        </is>
      </c>
      <c r="D392" t="inlineStr">
        <is>
          <t>ORG</t>
        </is>
      </c>
      <c r="E392" t="inlineStr">
        <is>
          <t>Universita di Foggia</t>
        </is>
      </c>
      <c r="F392" t="inlineStr">
        <is>
          <t>https://www.unifg.it/it/dipartimenti/dafne</t>
        </is>
      </c>
      <c r="G392" t="inlineStr">
        <is>
          <t>https://www.unifg.it/it/dipartimenti/dafne</t>
        </is>
      </c>
      <c r="H392" t="inlineStr">
        <is>
          <t>https://www.unifg.it/it/dipartimenti/dafne</t>
        </is>
      </c>
      <c r="I392" t="n">
        <v>404</v>
      </c>
      <c r="J392" t="inlineStr">
        <is>
          <t>text/html</t>
        </is>
      </c>
      <c r="K392" t="n">
        <v>0</v>
      </c>
      <c r="L392" t="b">
        <v>1</v>
      </c>
      <c r="M392" t="b">
        <v>1</v>
      </c>
      <c r="N392" t="inlineStr">
        <is>
          <t>PROVED_DIRECT</t>
        </is>
      </c>
      <c r="O392" t="inlineStr">
        <is>
          <t>SIM</t>
        </is>
      </c>
      <c r="P392" t="inlineStr">
        <is>
          <t>SIM — dominio .it e conteudo em italiano</t>
        </is>
      </c>
      <c r="Q392" t="inlineStr">
        <is>
          <t>Pagina non trovata | Università di Foggia</t>
        </is>
      </c>
      <c r="R392" t="inlineStr">
        <is>
          <t>sonda HTTP read-only (GET limitado, payload nao preservado)</t>
        </is>
      </c>
      <c r="S392" t="inlineStr">
        <is>
          <t>2026-09-14T11:24:50Z</t>
        </is>
      </c>
      <c r="T392" t="inlineStr">
        <is>
          <t>REJECT</t>
        </is>
      </c>
      <c r="U392" t="inlineStr">
        <is>
          <t>HTTP 200 com pagina de erro (soft-404)</t>
        </is>
      </c>
      <c r="V392" t="inlineStr">
        <is>
          <t>T5;T6;T1</t>
        </is>
      </c>
      <c r="W392" t="inlineStr">
        <is>
          <t>PUGLIA</t>
        </is>
      </c>
      <c r="X392" t="inlineStr">
        <is>
          <t>grano;pomodoro</t>
        </is>
      </c>
      <c r="Y392" t="inlineStr">
        <is>
          <t>grano duro;pomodoro;agronomia</t>
        </is>
      </c>
      <c r="Z392" t="inlineStr">
        <is>
          <t>titulo da pagina: Pagina non trovata | Università di Foggia</t>
        </is>
      </c>
      <c r="AA392" t="inlineStr">
        <is>
          <t>dominio institucional do dono</t>
        </is>
      </c>
      <c r="AB392" t="inlineStr">
        <is>
          <t>nao sorteada</t>
        </is>
      </c>
      <c r="AC392" t="inlineStr">
        <is>
          <t>nao sorteada</t>
        </is>
      </c>
      <c r="AE392" t="inlineStr">
        <is>
          <t>HTTP_404,SOFT_404</t>
        </is>
      </c>
      <c r="AF392" t="inlineStr"/>
    </row>
    <row r="393">
      <c r="A393" t="inlineStr">
        <is>
          <t>IT-DISC-2026-09-14-0392</t>
        </is>
      </c>
      <c r="B393" t="inlineStr">
        <is>
          <t>UNIMOL Dipartimento Agricoltura Ambiente e Alimenti</t>
        </is>
      </c>
      <c r="C393" t="inlineStr">
        <is>
          <t>CIENCIA</t>
        </is>
      </c>
      <c r="D393" t="inlineStr">
        <is>
          <t>ORG</t>
        </is>
      </c>
      <c r="E393" t="inlineStr">
        <is>
          <t>Universita del Molise</t>
        </is>
      </c>
      <c r="F393" t="inlineStr">
        <is>
          <t>https://www.unimol.it/ateneo/dipartimenti/dipartimento-agricoltura-ambiente-e-alimenti/</t>
        </is>
      </c>
      <c r="G393" t="inlineStr">
        <is>
          <t>https://www.unimol.it/ateneo/dipartimenti/dipartimento-agricoltura-ambiente-e-alimenti/</t>
        </is>
      </c>
      <c r="H393" t="inlineStr">
        <is>
          <t>https://www.unimol.it/ateneo/dipartimenti/dipartimento-agricoltura-ambiente-e-alimenti/</t>
        </is>
      </c>
      <c r="I393" t="n">
        <v>404</v>
      </c>
      <c r="J393" t="inlineStr">
        <is>
          <t>text/html</t>
        </is>
      </c>
      <c r="K393" t="n">
        <v>0</v>
      </c>
      <c r="L393" t="b">
        <v>1</v>
      </c>
      <c r="M393" t="b">
        <v>1</v>
      </c>
      <c r="N393" t="inlineStr">
        <is>
          <t>PROVED_DIRECT</t>
        </is>
      </c>
      <c r="O393" t="inlineStr">
        <is>
          <t>SIM</t>
        </is>
      </c>
      <c r="P393" t="inlineStr">
        <is>
          <t>SIM — dominio .it e conteudo em italiano</t>
        </is>
      </c>
      <c r="Q393" t="inlineStr">
        <is>
          <t>Pagina non trovata | Unimol &amp;#8211; Università degli Studi del Molise</t>
        </is>
      </c>
      <c r="R393" t="inlineStr">
        <is>
          <t>sonda HTTP read-only (GET limitado, payload nao preservado)</t>
        </is>
      </c>
      <c r="S393" t="inlineStr">
        <is>
          <t>2026-09-14T11:24:51Z</t>
        </is>
      </c>
      <c r="T393" t="inlineStr">
        <is>
          <t>REJECT</t>
        </is>
      </c>
      <c r="U393" t="inlineStr">
        <is>
          <t>HTTP 200 com pagina de erro (soft-404)</t>
        </is>
      </c>
      <c r="V393" t="inlineStr">
        <is>
          <t>T5;T6;T1</t>
        </is>
      </c>
      <c r="W393" t="inlineStr">
        <is>
          <t>MOLISE</t>
        </is>
      </c>
      <c r="X393" t="inlineStr"/>
      <c r="Y393" t="inlineStr">
        <is>
          <t>agraria;agronomia</t>
        </is>
      </c>
      <c r="Z393" t="inlineStr">
        <is>
          <t>titulo da pagina: Pagina non trovata | Unimol &amp;#8211; Università degli Studi del Molise</t>
        </is>
      </c>
      <c r="AA393" t="inlineStr">
        <is>
          <t>dominio institucional do dono</t>
        </is>
      </c>
      <c r="AB393" t="inlineStr">
        <is>
          <t>nao sorteada</t>
        </is>
      </c>
      <c r="AC393" t="inlineStr">
        <is>
          <t>nao sorteada</t>
        </is>
      </c>
      <c r="AE393" t="inlineStr">
        <is>
          <t>HTTP_404,SOFT_404</t>
        </is>
      </c>
      <c r="AF393" t="inlineStr"/>
    </row>
    <row r="394">
      <c r="A394" t="inlineStr">
        <is>
          <t>IT-DISC-2026-09-14-0393</t>
        </is>
      </c>
      <c r="B394" t="inlineStr">
        <is>
          <t>UNIBAS SAFE — Scuola di Scienze Agrarie Forestali Alimentari e Ambientali</t>
        </is>
      </c>
      <c r="C394" t="inlineStr">
        <is>
          <t>CIENCIA</t>
        </is>
      </c>
      <c r="D394" t="inlineStr">
        <is>
          <t>ORG</t>
        </is>
      </c>
      <c r="E394" t="inlineStr">
        <is>
          <t>Universita della Basilicata</t>
        </is>
      </c>
      <c r="F394" t="inlineStr">
        <is>
          <t>https://safe.unibas.it/</t>
        </is>
      </c>
      <c r="G394" t="inlineStr">
        <is>
          <t>https://safe.unibas.it/</t>
        </is>
      </c>
      <c r="K394" t="n">
        <v>0</v>
      </c>
      <c r="L394" t="b">
        <v>0</v>
      </c>
      <c r="N394" t="inlineStr">
        <is>
          <t>PROVED_DIRECT</t>
        </is>
      </c>
      <c r="O394" t="inlineStr">
        <is>
          <t>SIM</t>
        </is>
      </c>
      <c r="P394" t="inlineStr">
        <is>
          <t>SIM — dominio .it e conteudo em italiano</t>
        </is>
      </c>
      <c r="Q394" t="inlineStr"/>
      <c r="R394" t="inlineStr">
        <is>
          <t>sonda HTTP read-only (GET limitado, payload nao preservado)</t>
        </is>
      </c>
      <c r="S394" t="inlineStr">
        <is>
          <t>2026-09-14T11:24:52Z</t>
        </is>
      </c>
      <c r="T394" t="inlineStr">
        <is>
          <t>REJECT</t>
        </is>
      </c>
      <c r="U394" t="inlineStr">
        <is>
          <t>DNS nao resolve: o endereco nao existe</t>
        </is>
      </c>
      <c r="V394" t="inlineStr">
        <is>
          <t>T5;T6;T1</t>
        </is>
      </c>
      <c r="W394" t="inlineStr">
        <is>
          <t>BASILICATA</t>
        </is>
      </c>
      <c r="X394" t="inlineStr"/>
      <c r="Y394" t="inlineStr">
        <is>
          <t>agraria;difesa;colture</t>
        </is>
      </c>
      <c r="Z394" t="inlineStr">
        <is>
          <t xml:space="preserve">titulo da pagina: </t>
        </is>
      </c>
      <c r="AA394" t="inlineStr">
        <is>
          <t>dominio institucional do dono</t>
        </is>
      </c>
      <c r="AB394" t="inlineStr">
        <is>
          <t>nao sorteada</t>
        </is>
      </c>
      <c r="AC394" t="inlineStr">
        <is>
          <t>nao sorteada</t>
        </is>
      </c>
      <c r="AE394" t="inlineStr">
        <is>
          <t>DNS_FAIL</t>
        </is>
      </c>
      <c r="AF394" t="inlineStr"/>
    </row>
    <row r="395">
      <c r="A395" t="inlineStr">
        <is>
          <t>IT-DISC-2026-09-14-0394</t>
        </is>
      </c>
      <c r="B395" t="inlineStr">
        <is>
          <t>UNICATT DIPROVES — Dipartimento di Scienze delle Produzioni Vegetali Sostenibili</t>
        </is>
      </c>
      <c r="C395" t="inlineStr">
        <is>
          <t>CIENCIA</t>
        </is>
      </c>
      <c r="D395" t="inlineStr">
        <is>
          <t>ORG</t>
        </is>
      </c>
      <c r="E395" t="inlineStr">
        <is>
          <t>Universita Cattolica del Sacro Cuore Piacenza</t>
        </is>
      </c>
      <c r="F395" t="inlineStr">
        <is>
          <t>https://dipartimenti.unicatt.it/diproves</t>
        </is>
      </c>
      <c r="G395" t="inlineStr">
        <is>
          <t>https://dipartimenti.unicatt.it/diproves</t>
        </is>
      </c>
      <c r="H395" t="inlineStr">
        <is>
          <t>https://dipartimenti.unicatt.it/diproves</t>
        </is>
      </c>
      <c r="I395" t="n">
        <v>404</v>
      </c>
      <c r="J395" t="inlineStr">
        <is>
          <t>text/html</t>
        </is>
      </c>
      <c r="K395" t="n">
        <v>0</v>
      </c>
      <c r="L395" t="b">
        <v>1</v>
      </c>
      <c r="M395" t="b">
        <v>1</v>
      </c>
      <c r="N395" t="inlineStr">
        <is>
          <t>PROVED_DIRECT</t>
        </is>
      </c>
      <c r="O395" t="inlineStr">
        <is>
          <t>SIM</t>
        </is>
      </c>
      <c r="P395" t="inlineStr">
        <is>
          <t>SIM — dominio .it e conteudo em italiano</t>
        </is>
      </c>
      <c r="Q395" t="inlineStr">
        <is>
          <t>Pagina non trovata | Università Cattolica del Sacro Cuore</t>
        </is>
      </c>
      <c r="R395" t="inlineStr">
        <is>
          <t>sonda HTTP read-only (GET limitado, payload nao preservado)</t>
        </is>
      </c>
      <c r="S395" t="inlineStr">
        <is>
          <t>2026-09-14T11:24:52Z</t>
        </is>
      </c>
      <c r="T395" t="inlineStr">
        <is>
          <t>REJECT</t>
        </is>
      </c>
      <c r="U395" t="inlineStr">
        <is>
          <t>HTTP 200 com pagina de erro (soft-404)</t>
        </is>
      </c>
      <c r="V395" t="inlineStr">
        <is>
          <t>T5;T6;T3</t>
        </is>
      </c>
      <c r="W395" t="inlineStr">
        <is>
          <t>EMILIA-ROMAGNA</t>
        </is>
      </c>
      <c r="X395" t="inlineStr"/>
      <c r="Y395" t="inlineStr">
        <is>
          <t>viticoltura;micotossine;difesa</t>
        </is>
      </c>
      <c r="Z395" t="inlineStr">
        <is>
          <t>titulo da pagina: Pagina non trovata | Università Cattolica del Sacro Cuore</t>
        </is>
      </c>
      <c r="AA395" t="inlineStr">
        <is>
          <t>dominio institucional do dono</t>
        </is>
      </c>
      <c r="AB395" t="inlineStr">
        <is>
          <t>nao sorteada</t>
        </is>
      </c>
      <c r="AC395" t="inlineStr">
        <is>
          <t>nao sorteada</t>
        </is>
      </c>
      <c r="AE395" t="inlineStr">
        <is>
          <t>HTTP_404,SOFT_404</t>
        </is>
      </c>
      <c r="AF395" t="inlineStr"/>
    </row>
    <row r="396">
      <c r="A396" t="inlineStr">
        <is>
          <t>IT-DISC-2026-09-14-0395</t>
        </is>
      </c>
      <c r="B396" t="inlineStr">
        <is>
          <t>Italian Journal of Agronomy</t>
        </is>
      </c>
      <c r="C396" t="inlineStr">
        <is>
          <t>CIENCIA</t>
        </is>
      </c>
      <c r="D396" t="inlineStr">
        <is>
          <t>ORG</t>
        </is>
      </c>
      <c r="E396" t="inlineStr">
        <is>
          <t>PAGEPress / Societa Italiana di Agronomia</t>
        </is>
      </c>
      <c r="F396" t="inlineStr">
        <is>
          <t>https://www.agronomy.it/</t>
        </is>
      </c>
      <c r="G396" t="inlineStr">
        <is>
          <t>https://www.agronomy.it/</t>
        </is>
      </c>
      <c r="H396" t="inlineStr">
        <is>
          <t>https://www.grappolidisole.it/</t>
        </is>
      </c>
      <c r="I396" t="n">
        <v>200</v>
      </c>
      <c r="J396" t="inlineStr">
        <is>
          <t>text/html</t>
        </is>
      </c>
      <c r="K396" t="n">
        <v>2</v>
      </c>
      <c r="L396" t="b">
        <v>1</v>
      </c>
      <c r="M396" t="b">
        <v>1</v>
      </c>
      <c r="N396" t="inlineStr">
        <is>
          <t>PROVED_DIRECT</t>
        </is>
      </c>
      <c r="O396" t="inlineStr">
        <is>
          <t>SIM</t>
        </is>
      </c>
      <c r="P396" t="inlineStr">
        <is>
          <t>SIM — dominio .it e conteudo em italiano</t>
        </is>
      </c>
      <c r="Q396" t="inlineStr">
        <is>
          <t>Casino Non AAMS Senza Autoesclusione: I Siti Non AAMS Sicuri 2026</t>
        </is>
      </c>
      <c r="R396" t="inlineStr">
        <is>
          <t>sonda HTTP read-only (GET limitado, payload nao preservado)</t>
        </is>
      </c>
      <c r="S396" t="inlineStr">
        <is>
          <t>2026-09-14T11:24:57Z</t>
        </is>
      </c>
      <c r="T396" t="inlineStr">
        <is>
          <t>REJECT</t>
        </is>
      </c>
      <c r="U396" t="inlineStr">
        <is>
          <t>dominio reaproveitado: o conteudo nao e' agricola</t>
        </is>
      </c>
      <c r="V396" t="inlineStr">
        <is>
          <t>T5;T1</t>
        </is>
      </c>
      <c r="W396" t="inlineStr">
        <is>
          <t>NAZIONALE</t>
        </is>
      </c>
      <c r="X396" t="inlineStr"/>
      <c r="Y396" t="inlineStr">
        <is>
          <t>journal;agronomia</t>
        </is>
      </c>
      <c r="Z396" t="inlineStr">
        <is>
          <t>titulo da pagina: Casino Non AAMS Senza Autoesclusione: I Siti Non AAMS Sicuri 2026</t>
        </is>
      </c>
      <c r="AA396" t="inlineStr">
        <is>
          <t>meta description: Casino non AAMS senza autoesclusione e confronto 2026 Scopri i siti no</t>
        </is>
      </c>
      <c r="AB396" t="inlineStr">
        <is>
          <t>nao sorteada</t>
        </is>
      </c>
      <c r="AC396" t="inlineStr">
        <is>
          <t>nao sorteada</t>
        </is>
      </c>
      <c r="AE396" t="inlineStr">
        <is>
          <t>DOMAIN_REPURPOSED</t>
        </is>
      </c>
      <c r="AF396" t="inlineStr"/>
    </row>
    <row r="397">
      <c r="A397" t="inlineStr">
        <is>
          <t>IT-DISC-2026-09-14-0396</t>
        </is>
      </c>
      <c r="B397" t="inlineStr">
        <is>
          <t>Italian Journal of Food Safety</t>
        </is>
      </c>
      <c r="C397" t="inlineStr">
        <is>
          <t>CIENCIA</t>
        </is>
      </c>
      <c r="D397" t="inlineStr">
        <is>
          <t>ORG</t>
        </is>
      </c>
      <c r="E397" t="inlineStr">
        <is>
          <t>PAGEPress</t>
        </is>
      </c>
      <c r="F397" t="inlineStr">
        <is>
          <t>https://www.pagepress.org/journals/index.php/ijfs</t>
        </is>
      </c>
      <c r="G397" t="inlineStr">
        <is>
          <t>https://www.pagepress.org/journals/index.php/ijfs</t>
        </is>
      </c>
      <c r="H397" t="inlineStr">
        <is>
          <t>https://www.pagepress.org/journals/index.php/ijfs</t>
        </is>
      </c>
      <c r="I397" t="n">
        <v>404</v>
      </c>
      <c r="J397" t="inlineStr">
        <is>
          <t>text/html</t>
        </is>
      </c>
      <c r="K397" t="n">
        <v>0</v>
      </c>
      <c r="L397" t="b">
        <v>1</v>
      </c>
      <c r="M397" t="b">
        <v>1</v>
      </c>
      <c r="N397" t="inlineStr">
        <is>
          <t>PROVED_DIRECT</t>
        </is>
      </c>
      <c r="O397" t="inlineStr">
        <is>
          <t>SIM</t>
        </is>
      </c>
      <c r="P397" t="inlineStr">
        <is>
          <t>SIM — dono italiano identificado na pagina</t>
        </is>
      </c>
      <c r="Q397" t="inlineStr">
        <is>
          <t>404 Not Found</t>
        </is>
      </c>
      <c r="R397" t="inlineStr">
        <is>
          <t>sonda HTTP read-only (GET limitado, payload nao preservado)</t>
        </is>
      </c>
      <c r="S397" t="inlineStr">
        <is>
          <t>2026-09-14T11:24:58Z</t>
        </is>
      </c>
      <c r="T397" t="inlineStr">
        <is>
          <t>REJECT</t>
        </is>
      </c>
      <c r="U397" t="inlineStr">
        <is>
          <t>HTTP 200 com pagina de erro (soft-404)</t>
        </is>
      </c>
      <c r="V397" t="inlineStr">
        <is>
          <t>T5;T10</t>
        </is>
      </c>
      <c r="W397" t="inlineStr">
        <is>
          <t>NAZIONALE</t>
        </is>
      </c>
      <c r="X397" t="inlineStr"/>
      <c r="Y397" t="inlineStr">
        <is>
          <t>journal;sicurezza alimentare</t>
        </is>
      </c>
      <c r="Z397" t="inlineStr">
        <is>
          <t>titulo da pagina: 404 Not Found</t>
        </is>
      </c>
      <c r="AA397" t="inlineStr">
        <is>
          <t>dominio institucional do dono</t>
        </is>
      </c>
      <c r="AB397" t="inlineStr">
        <is>
          <t>nao sorteada</t>
        </is>
      </c>
      <c r="AC397" t="inlineStr">
        <is>
          <t>nao sorteada</t>
        </is>
      </c>
      <c r="AE397" t="inlineStr">
        <is>
          <t>HTTP_404,SOFT_404,THIN_BODY</t>
        </is>
      </c>
      <c r="AF397" t="inlineStr"/>
    </row>
    <row r="398">
      <c r="A398" t="inlineStr">
        <is>
          <t>IT-DISC-2026-09-14-0397</t>
        </is>
      </c>
      <c r="B398" t="inlineStr">
        <is>
          <t>L'Informatore Agrario</t>
        </is>
      </c>
      <c r="C398" t="inlineStr">
        <is>
          <t>IMPRENSA</t>
        </is>
      </c>
      <c r="D398" t="inlineStr">
        <is>
          <t>ORG</t>
        </is>
      </c>
      <c r="E398" t="inlineStr">
        <is>
          <t>Edizioni L'Informatore Agrario</t>
        </is>
      </c>
      <c r="F398" t="inlineStr">
        <is>
          <t>https://www.informatoreagrario.it/</t>
        </is>
      </c>
      <c r="G398" t="inlineStr">
        <is>
          <t>https://www.informatoreagrario.it/</t>
        </is>
      </c>
      <c r="H398" t="inlineStr">
        <is>
          <t>https://informatoreagrario.it/</t>
        </is>
      </c>
      <c r="I398" t="n">
        <v>202</v>
      </c>
      <c r="J398" t="inlineStr">
        <is>
          <t>text/html</t>
        </is>
      </c>
      <c r="K398" t="n">
        <v>1</v>
      </c>
      <c r="L398" t="b">
        <v>1</v>
      </c>
      <c r="M398" t="b">
        <v>1</v>
      </c>
      <c r="N398" t="inlineStr">
        <is>
          <t>NOT_PROVED</t>
        </is>
      </c>
      <c r="O398" t="inlineStr">
        <is>
          <t>SIM</t>
        </is>
      </c>
      <c r="P398" t="inlineStr">
        <is>
          <t>SIM — dominio .it e conteudo em italiano</t>
        </is>
      </c>
      <c r="Q398" t="inlineStr"/>
      <c r="R398" t="inlineStr">
        <is>
          <t>sonda HTTP read-only (GET limitado, payload nao preservado)</t>
        </is>
      </c>
      <c r="S398" t="inlineStr">
        <is>
          <t>2026-09-14T11:24:58Z</t>
        </is>
      </c>
      <c r="T398" t="inlineStr">
        <is>
          <t>UNKNOWN</t>
        </is>
      </c>
      <c r="U398" t="inlineStr">
        <is>
          <t>bloqueio/inconclusivo no datacenter (status=202, flags=ANTIBOT,THIN_BODY)</t>
        </is>
      </c>
      <c r="V398" t="inlineStr">
        <is>
          <t>T1;T3;T7</t>
        </is>
      </c>
      <c r="W398" t="inlineStr">
        <is>
          <t>VENETO</t>
        </is>
      </c>
      <c r="X398" t="inlineStr"/>
      <c r="Y398" t="inlineStr">
        <is>
          <t>rivista tecnica;difesa;agronomia</t>
        </is>
      </c>
      <c r="Z398" t="inlineStr">
        <is>
          <t xml:space="preserve">titulo da pagina: </t>
        </is>
      </c>
      <c r="AA398" t="inlineStr">
        <is>
          <t>dominio institucional do dono</t>
        </is>
      </c>
      <c r="AB398" t="inlineStr">
        <is>
          <t>nao sorteada</t>
        </is>
      </c>
      <c r="AC398" t="inlineStr">
        <is>
          <t>nao sorteada</t>
        </is>
      </c>
      <c r="AE398" t="inlineStr">
        <is>
          <t>ANTIBOT,THIN_BODY</t>
        </is>
      </c>
      <c r="AF398" t="inlineStr"/>
    </row>
    <row r="399">
      <c r="A399" t="inlineStr">
        <is>
          <t>IT-DISC-2026-09-14-0398</t>
        </is>
      </c>
      <c r="B399" t="inlineStr">
        <is>
          <t>Vigne Vini e Qualita — VVQ</t>
        </is>
      </c>
      <c r="C399" t="inlineStr">
        <is>
          <t>IMPRENSA</t>
        </is>
      </c>
      <c r="D399" t="inlineStr">
        <is>
          <t>ORG</t>
        </is>
      </c>
      <c r="E399" t="inlineStr">
        <is>
          <t>Edagricole — New Business Media</t>
        </is>
      </c>
      <c r="F399" t="inlineStr">
        <is>
          <t>https://vvq.edagricole.it/</t>
        </is>
      </c>
      <c r="G399" t="inlineStr">
        <is>
          <t>https://vvq.edagricole.it/</t>
        </is>
      </c>
      <c r="K399" t="n">
        <v>0</v>
      </c>
      <c r="L399" t="b">
        <v>0</v>
      </c>
      <c r="N399" t="inlineStr">
        <is>
          <t>PROVED_DIRECT</t>
        </is>
      </c>
      <c r="O399" t="inlineStr">
        <is>
          <t>SIM</t>
        </is>
      </c>
      <c r="P399" t="inlineStr">
        <is>
          <t>SIM — dominio .it e conteudo em italiano</t>
        </is>
      </c>
      <c r="Q399" t="inlineStr"/>
      <c r="R399" t="inlineStr">
        <is>
          <t>sonda HTTP read-only (GET limitado, payload nao preservado)</t>
        </is>
      </c>
      <c r="S399" t="inlineStr">
        <is>
          <t>2026-09-14T11:24:59Z</t>
        </is>
      </c>
      <c r="T399" t="inlineStr">
        <is>
          <t>REJECT</t>
        </is>
      </c>
      <c r="U399" t="inlineStr">
        <is>
          <t>DNS nao resolve: o endereco nao existe</t>
        </is>
      </c>
      <c r="V399" t="inlineStr">
        <is>
          <t>T1;T3</t>
        </is>
      </c>
      <c r="W399" t="inlineStr">
        <is>
          <t>NAZIONALE</t>
        </is>
      </c>
      <c r="X399" t="inlineStr"/>
      <c r="Y399" t="inlineStr">
        <is>
          <t>viticoltura;enologia</t>
        </is>
      </c>
      <c r="Z399" t="inlineStr">
        <is>
          <t xml:space="preserve">titulo da pagina: </t>
        </is>
      </c>
      <c r="AA399" t="inlineStr">
        <is>
          <t>dominio institucional do dono</t>
        </is>
      </c>
      <c r="AB399" t="inlineStr">
        <is>
          <t>nao sorteada</t>
        </is>
      </c>
      <c r="AC399" t="inlineStr">
        <is>
          <t>nao sorteada</t>
        </is>
      </c>
      <c r="AE399" t="inlineStr">
        <is>
          <t>DNS_FAIL</t>
        </is>
      </c>
      <c r="AF399" t="inlineStr"/>
    </row>
    <row r="400">
      <c r="A400" t="inlineStr">
        <is>
          <t>IT-DISC-2026-09-14-0399</t>
        </is>
      </c>
      <c r="B400" t="inlineStr">
        <is>
          <t>Colture Protette — Edagricole</t>
        </is>
      </c>
      <c r="C400" t="inlineStr">
        <is>
          <t>IMPRENSA</t>
        </is>
      </c>
      <c r="D400" t="inlineStr">
        <is>
          <t>ORG</t>
        </is>
      </c>
      <c r="E400" t="inlineStr">
        <is>
          <t>Edagricole — New Business Media</t>
        </is>
      </c>
      <c r="F400" t="inlineStr">
        <is>
          <t>https://coltureprotette.edagricole.it/</t>
        </is>
      </c>
      <c r="G400" t="inlineStr">
        <is>
          <t>https://coltureprotette.edagricole.it/</t>
        </is>
      </c>
      <c r="K400" t="n">
        <v>0</v>
      </c>
      <c r="L400" t="b">
        <v>0</v>
      </c>
      <c r="N400" t="inlineStr">
        <is>
          <t>PROVED_DIRECT</t>
        </is>
      </c>
      <c r="O400" t="inlineStr">
        <is>
          <t>SIM</t>
        </is>
      </c>
      <c r="P400" t="inlineStr">
        <is>
          <t>SIM — dominio .it e conteudo em italiano</t>
        </is>
      </c>
      <c r="Q400" t="inlineStr"/>
      <c r="R400" t="inlineStr">
        <is>
          <t>sonda HTTP read-only (GET limitado, payload nao preservado)</t>
        </is>
      </c>
      <c r="S400" t="inlineStr">
        <is>
          <t>2026-09-14T11:24:59Z</t>
        </is>
      </c>
      <c r="T400" t="inlineStr">
        <is>
          <t>REJECT</t>
        </is>
      </c>
      <c r="U400" t="inlineStr">
        <is>
          <t>DNS nao resolve: o endereco nao existe</t>
        </is>
      </c>
      <c r="V400" t="inlineStr">
        <is>
          <t>T1;T3</t>
        </is>
      </c>
      <c r="W400" t="inlineStr">
        <is>
          <t>NAZIONALE</t>
        </is>
      </c>
      <c r="X400" t="inlineStr"/>
      <c r="Y400" t="inlineStr">
        <is>
          <t>serre;orticoltura</t>
        </is>
      </c>
      <c r="Z400" t="inlineStr">
        <is>
          <t xml:space="preserve">titulo da pagina: </t>
        </is>
      </c>
      <c r="AA400" t="inlineStr">
        <is>
          <t>dominio institucional do dono</t>
        </is>
      </c>
      <c r="AB400" t="inlineStr">
        <is>
          <t>nao sorteada</t>
        </is>
      </c>
      <c r="AC400" t="inlineStr">
        <is>
          <t>nao sorteada</t>
        </is>
      </c>
      <c r="AE400" t="inlineStr">
        <is>
          <t>DNS_FAIL</t>
        </is>
      </c>
      <c r="AF400" t="inlineStr"/>
    </row>
    <row r="401">
      <c r="A401" t="inlineStr">
        <is>
          <t>IT-DISC-2026-09-14-0400</t>
        </is>
      </c>
      <c r="B401" t="inlineStr">
        <is>
          <t>Corriere Ortofrutticolo</t>
        </is>
      </c>
      <c r="C401" t="inlineStr">
        <is>
          <t>IMPRENSA</t>
        </is>
      </c>
      <c r="D401" t="inlineStr">
        <is>
          <t>ORG</t>
        </is>
      </c>
      <c r="E401" t="inlineStr">
        <is>
          <t>Corriere Ortofrutticolo</t>
        </is>
      </c>
      <c r="F401" t="inlineStr">
        <is>
          <t>https://www.corriereortofrutticolo.it/</t>
        </is>
      </c>
      <c r="G401" t="inlineStr">
        <is>
          <t>https://www.corriereortofrutticolo.it/</t>
        </is>
      </c>
      <c r="H401" t="inlineStr">
        <is>
          <t>https://www.corriereortofrutticolo.it/</t>
        </is>
      </c>
      <c r="I401" t="n">
        <v>200</v>
      </c>
      <c r="J401" t="inlineStr">
        <is>
          <t>text/html</t>
        </is>
      </c>
      <c r="K401" t="n">
        <v>0</v>
      </c>
      <c r="L401" t="b">
        <v>1</v>
      </c>
      <c r="M401" t="b">
        <v>1</v>
      </c>
      <c r="N401" t="inlineStr">
        <is>
          <t>PROVED_BY_DOMAIN</t>
        </is>
      </c>
      <c r="O401" t="inlineStr">
        <is>
          <t>SIM</t>
        </is>
      </c>
      <c r="P401" t="inlineStr">
        <is>
          <t>SIM — dominio .it e conteudo em italiano</t>
        </is>
      </c>
      <c r="Q401" t="inlineStr">
        <is>
          <t>Test PHP riuscito</t>
        </is>
      </c>
      <c r="R401" t="inlineStr">
        <is>
          <t>sonda HTTP read-only (GET limitado, payload nao preservado)</t>
        </is>
      </c>
      <c r="S401" t="inlineStr">
        <is>
          <t>2026-09-14T11:24:59Z</t>
        </is>
      </c>
      <c r="T401" t="inlineStr">
        <is>
          <t>REJECT</t>
        </is>
      </c>
      <c r="U401" t="inlineStr">
        <is>
          <t>pagina de placeholder do servidor, nao a fonte</t>
        </is>
      </c>
      <c r="V401" t="inlineStr">
        <is>
          <t>T10;T1</t>
        </is>
      </c>
      <c r="W401" t="inlineStr">
        <is>
          <t>NAZIONALE</t>
        </is>
      </c>
      <c r="X401" t="inlineStr">
        <is>
          <t>ortofrutta</t>
        </is>
      </c>
      <c r="Y401" t="inlineStr">
        <is>
          <t>ortofrutta;mercato</t>
        </is>
      </c>
      <c r="Z401" t="inlineStr">
        <is>
          <t>titulo da pagina: Test PHP riuscito</t>
        </is>
      </c>
      <c r="AA401" t="inlineStr">
        <is>
          <t>dominio institucional do dono</t>
        </is>
      </c>
      <c r="AB401" t="inlineStr">
        <is>
          <t>nao sorteada</t>
        </is>
      </c>
      <c r="AC401" t="inlineStr">
        <is>
          <t>nao sorteada</t>
        </is>
      </c>
      <c r="AE401" t="inlineStr">
        <is>
          <t>PLACEHOLDER_PAGE,THIN_BODY</t>
        </is>
      </c>
      <c r="AF401" t="inlineStr"/>
    </row>
    <row r="402">
      <c r="A402" t="inlineStr">
        <is>
          <t>IT-DISC-2026-09-14-0401</t>
        </is>
      </c>
      <c r="B402" t="inlineStr">
        <is>
          <t>Agricolae</t>
        </is>
      </c>
      <c r="C402" t="inlineStr">
        <is>
          <t>IMPRENSA</t>
        </is>
      </c>
      <c r="D402" t="inlineStr">
        <is>
          <t>ORG</t>
        </is>
      </c>
      <c r="E402" t="inlineStr">
        <is>
          <t>Agricolae</t>
        </is>
      </c>
      <c r="F402" t="inlineStr">
        <is>
          <t>https://www.agricolae.eu/</t>
        </is>
      </c>
      <c r="G402" t="inlineStr">
        <is>
          <t>https://www.agricolae.eu/</t>
        </is>
      </c>
      <c r="H402" t="inlineStr">
        <is>
          <t>https://www.agricolae.eu/</t>
        </is>
      </c>
      <c r="I402" t="n">
        <v>403</v>
      </c>
      <c r="J402" t="inlineStr">
        <is>
          <t>text/html</t>
        </is>
      </c>
      <c r="K402" t="n">
        <v>0</v>
      </c>
      <c r="L402" t="b">
        <v>1</v>
      </c>
      <c r="M402" t="b">
        <v>1</v>
      </c>
      <c r="N402" t="inlineStr">
        <is>
          <t>PROVED_DIRECT</t>
        </is>
      </c>
      <c r="O402" t="inlineStr">
        <is>
          <t>SIM</t>
        </is>
      </c>
      <c r="P402" t="inlineStr">
        <is>
          <t>SIM — dono italiano identificado na pagina</t>
        </is>
      </c>
      <c r="Q402" t="inlineStr">
        <is>
          <t>Just a moment...</t>
        </is>
      </c>
      <c r="R402" t="inlineStr">
        <is>
          <t>sonda HTTP read-only (GET limitado, payload nao preservado)</t>
        </is>
      </c>
      <c r="S402" t="inlineStr">
        <is>
          <t>2026-09-14T11:25:00Z</t>
        </is>
      </c>
      <c r="T402" t="inlineStr">
        <is>
          <t>UNKNOWN</t>
        </is>
      </c>
      <c r="U402" t="inlineStr">
        <is>
          <t>bloqueio/inconclusivo no datacenter (status=403, flags=ANTIBOT,HTTP_403)</t>
        </is>
      </c>
      <c r="V402" t="inlineStr">
        <is>
          <t>T12;T10</t>
        </is>
      </c>
      <c r="W402" t="inlineStr">
        <is>
          <t>NAZIONALE</t>
        </is>
      </c>
      <c r="X402" t="inlineStr"/>
      <c r="Y402" t="inlineStr">
        <is>
          <t>politica agricola;istituzioni</t>
        </is>
      </c>
      <c r="Z402" t="inlineStr">
        <is>
          <t>titulo da pagina: Just a moment...</t>
        </is>
      </c>
      <c r="AA402" t="inlineStr">
        <is>
          <t>dominio institucional do dono</t>
        </is>
      </c>
      <c r="AB402" t="inlineStr">
        <is>
          <t>nao sorteada</t>
        </is>
      </c>
      <c r="AC402" t="inlineStr">
        <is>
          <t>nao sorteada</t>
        </is>
      </c>
      <c r="AE402" t="inlineStr">
        <is>
          <t>ANTIBOT,HTTP_403</t>
        </is>
      </c>
      <c r="AF402" t="inlineStr"/>
    </row>
    <row r="403">
      <c r="A403" t="inlineStr">
        <is>
          <t>IT-DISC-2026-09-14-0402</t>
        </is>
      </c>
      <c r="B403" t="inlineStr">
        <is>
          <t>Millevigne</t>
        </is>
      </c>
      <c r="C403" t="inlineStr">
        <is>
          <t>IMPRENSA</t>
        </is>
      </c>
      <c r="D403" t="inlineStr">
        <is>
          <t>ORG</t>
        </is>
      </c>
      <c r="E403" t="inlineStr">
        <is>
          <t>Millevigne</t>
        </is>
      </c>
      <c r="F403" t="inlineStr">
        <is>
          <t>https://www.millevigne.it/</t>
        </is>
      </c>
      <c r="G403" t="inlineStr">
        <is>
          <t>https://www.millevigne.it/</t>
        </is>
      </c>
      <c r="H403" t="inlineStr">
        <is>
          <t>https://www.millevigne.it/</t>
        </is>
      </c>
      <c r="I403" t="n">
        <v>202</v>
      </c>
      <c r="J403" t="inlineStr">
        <is>
          <t>text/html</t>
        </is>
      </c>
      <c r="K403" t="n">
        <v>0</v>
      </c>
      <c r="L403" t="b">
        <v>1</v>
      </c>
      <c r="M403" t="b">
        <v>1</v>
      </c>
      <c r="N403" t="inlineStr">
        <is>
          <t>PROVED_DIRECT</t>
        </is>
      </c>
      <c r="O403" t="inlineStr">
        <is>
          <t>SIM</t>
        </is>
      </c>
      <c r="P403" t="inlineStr">
        <is>
          <t>SIM — dominio .it e conteudo em italiano</t>
        </is>
      </c>
      <c r="Q403" t="inlineStr"/>
      <c r="R403" t="inlineStr">
        <is>
          <t>sonda HTTP read-only (GET limitado, payload nao preservado)</t>
        </is>
      </c>
      <c r="S403" t="inlineStr">
        <is>
          <t>2026-09-14T11:25:01Z</t>
        </is>
      </c>
      <c r="T403" t="inlineStr">
        <is>
          <t>UNKNOWN</t>
        </is>
      </c>
      <c r="U403" t="inlineStr">
        <is>
          <t>bloqueio/inconclusivo no datacenter (status=202, flags=ANTIBOT,THIN_BODY)</t>
        </is>
      </c>
      <c r="V403" t="inlineStr">
        <is>
          <t>T1;T3</t>
        </is>
      </c>
      <c r="W403" t="inlineStr">
        <is>
          <t>PIEMONTE</t>
        </is>
      </c>
      <c r="X403" t="inlineStr"/>
      <c r="Y403" t="inlineStr">
        <is>
          <t>viticoltura;difesa;biologico</t>
        </is>
      </c>
      <c r="Z403" t="inlineStr">
        <is>
          <t xml:space="preserve">titulo da pagina: </t>
        </is>
      </c>
      <c r="AA403" t="inlineStr">
        <is>
          <t>dominio institucional do dono</t>
        </is>
      </c>
      <c r="AB403" t="inlineStr">
        <is>
          <t>nao sorteada</t>
        </is>
      </c>
      <c r="AC403" t="inlineStr">
        <is>
          <t>nao sorteada</t>
        </is>
      </c>
      <c r="AE403" t="inlineStr">
        <is>
          <t>ANTIBOT,THIN_BODY</t>
        </is>
      </c>
      <c r="AF403" t="inlineStr"/>
    </row>
    <row r="404">
      <c r="A404" t="inlineStr">
        <is>
          <t>IT-DISC-2026-09-14-0403</t>
        </is>
      </c>
      <c r="B404" t="inlineStr">
        <is>
          <t>Agricultura.it</t>
        </is>
      </c>
      <c r="C404" t="inlineStr">
        <is>
          <t>IMPRENSA</t>
        </is>
      </c>
      <c r="D404" t="inlineStr">
        <is>
          <t>ORG</t>
        </is>
      </c>
      <c r="E404" t="inlineStr">
        <is>
          <t>Agricultura.it</t>
        </is>
      </c>
      <c r="F404" t="inlineStr">
        <is>
          <t>https://www.agricultura.it/</t>
        </is>
      </c>
      <c r="G404" t="inlineStr">
        <is>
          <t>https://www.agricultura.it/</t>
        </is>
      </c>
      <c r="H404" t="inlineStr">
        <is>
          <t>https://www.agricultura.it/</t>
        </is>
      </c>
      <c r="I404" t="n">
        <v>403</v>
      </c>
      <c r="J404" t="inlineStr">
        <is>
          <t>text/html</t>
        </is>
      </c>
      <c r="K404" t="n">
        <v>0</v>
      </c>
      <c r="L404" t="b">
        <v>1</v>
      </c>
      <c r="M404" t="b">
        <v>1</v>
      </c>
      <c r="N404" t="inlineStr">
        <is>
          <t>PROVED_DIRECT</t>
        </is>
      </c>
      <c r="O404" t="inlineStr">
        <is>
          <t>SIM</t>
        </is>
      </c>
      <c r="P404" t="inlineStr">
        <is>
          <t>SIM — dominio .it e conteudo em italiano</t>
        </is>
      </c>
      <c r="Q404" t="inlineStr">
        <is>
          <t>Just a moment...</t>
        </is>
      </c>
      <c r="R404" t="inlineStr">
        <is>
          <t>sonda HTTP read-only (GET limitado, payload nao preservado)</t>
        </is>
      </c>
      <c r="S404" t="inlineStr">
        <is>
          <t>2026-09-14T11:25:01Z</t>
        </is>
      </c>
      <c r="T404" t="inlineStr">
        <is>
          <t>UNKNOWN</t>
        </is>
      </c>
      <c r="U404" t="inlineStr">
        <is>
          <t>bloqueio/inconclusivo no datacenter (status=403, flags=ANTIBOT,HTTP_403)</t>
        </is>
      </c>
      <c r="V404" t="inlineStr">
        <is>
          <t>T1;T12</t>
        </is>
      </c>
      <c r="W404" t="inlineStr">
        <is>
          <t>NAZIONALE</t>
        </is>
      </c>
      <c r="X404" t="inlineStr"/>
      <c r="Y404" t="inlineStr">
        <is>
          <t>notizie agricole</t>
        </is>
      </c>
      <c r="Z404" t="inlineStr">
        <is>
          <t>titulo da pagina: Just a moment...</t>
        </is>
      </c>
      <c r="AA404" t="inlineStr">
        <is>
          <t>dominio institucional do dono</t>
        </is>
      </c>
      <c r="AB404" t="inlineStr">
        <is>
          <t>nao sorteada</t>
        </is>
      </c>
      <c r="AC404" t="inlineStr">
        <is>
          <t>nao sorteada</t>
        </is>
      </c>
      <c r="AE404" t="inlineStr">
        <is>
          <t>ANTIBOT,HTTP_403</t>
        </is>
      </c>
      <c r="AF404" t="inlineStr"/>
    </row>
    <row r="405">
      <c r="A405" t="inlineStr">
        <is>
          <t>IT-DISC-2026-09-14-0404</t>
        </is>
      </c>
      <c r="B405" t="inlineStr">
        <is>
          <t>Il Divulgatore</t>
        </is>
      </c>
      <c r="C405" t="inlineStr">
        <is>
          <t>IMPRENSA</t>
        </is>
      </c>
      <c r="D405" t="inlineStr">
        <is>
          <t>ORG</t>
        </is>
      </c>
      <c r="E405" t="inlineStr">
        <is>
          <t>Citta metropolitana di Bologna</t>
        </is>
      </c>
      <c r="F405" t="inlineStr">
        <is>
          <t>https://ildivulgatore.it/</t>
        </is>
      </c>
      <c r="G405" t="inlineStr">
        <is>
          <t>https://ildivulgatore.it/</t>
        </is>
      </c>
      <c r="K405" t="n">
        <v>0</v>
      </c>
      <c r="L405" t="b">
        <v>1</v>
      </c>
      <c r="M405" t="b">
        <v>1</v>
      </c>
      <c r="N405" t="inlineStr">
        <is>
          <t>NOT_PROVED</t>
        </is>
      </c>
      <c r="O405" t="inlineStr">
        <is>
          <t>SIM</t>
        </is>
      </c>
      <c r="P405" t="inlineStr">
        <is>
          <t>SIM — dominio .it e conteudo em italiano</t>
        </is>
      </c>
      <c r="Q405" t="inlineStr"/>
      <c r="R405" t="inlineStr">
        <is>
          <t>sonda HTTP read-only (GET limitado, payload nao preservado)</t>
        </is>
      </c>
      <c r="S405" t="inlineStr">
        <is>
          <t>2026-09-14T11:25:01Z</t>
        </is>
      </c>
      <c r="T405" t="inlineStr">
        <is>
          <t>REJECT</t>
        </is>
      </c>
      <c r="U405" t="inlineStr">
        <is>
          <t>handshake TLS falha mesmo com a cadeia completada por AIA</t>
        </is>
      </c>
      <c r="V405" t="inlineStr">
        <is>
          <t>T1;T7</t>
        </is>
      </c>
      <c r="W405" t="inlineStr">
        <is>
          <t>EMILIA-ROMAGNA</t>
        </is>
      </c>
      <c r="X405" t="inlineStr"/>
      <c r="Y405" t="inlineStr">
        <is>
          <t>divulgazione tecnica agricola</t>
        </is>
      </c>
      <c r="Z405" t="inlineStr">
        <is>
          <t xml:space="preserve">titulo da pagina: </t>
        </is>
      </c>
      <c r="AA405" t="inlineStr">
        <is>
          <t>dominio institucional do dono</t>
        </is>
      </c>
      <c r="AB405" t="inlineStr">
        <is>
          <t>nao sorteada</t>
        </is>
      </c>
      <c r="AC405" t="inlineStr">
        <is>
          <t>nao sorteada</t>
        </is>
      </c>
      <c r="AE405" t="inlineStr">
        <is>
          <t>TLS_ERROR</t>
        </is>
      </c>
      <c r="AF405" t="inlineStr"/>
    </row>
    <row r="406">
      <c r="A406" t="inlineStr">
        <is>
          <t>IT-DISC-2026-09-14-0405</t>
        </is>
      </c>
      <c r="B406" t="inlineStr">
        <is>
          <t>NovelFarm</t>
        </is>
      </c>
      <c r="C406" t="inlineStr">
        <is>
          <t>ORGANIZACAO</t>
        </is>
      </c>
      <c r="D406" t="inlineStr">
        <is>
          <t>ORG</t>
        </is>
      </c>
      <c r="E406" t="inlineStr">
        <is>
          <t>NovelFarm</t>
        </is>
      </c>
      <c r="F406" t="inlineStr">
        <is>
          <t>https://www.novelfarm.it/</t>
        </is>
      </c>
      <c r="G406" t="inlineStr">
        <is>
          <t>https://www.novelfarm.it/</t>
        </is>
      </c>
      <c r="K406" t="n">
        <v>0</v>
      </c>
      <c r="L406" t="b">
        <v>0</v>
      </c>
      <c r="N406" t="inlineStr">
        <is>
          <t>PROVED_DIRECT</t>
        </is>
      </c>
      <c r="O406" t="inlineStr">
        <is>
          <t>SIM</t>
        </is>
      </c>
      <c r="P406" t="inlineStr">
        <is>
          <t>SIM — dominio .it e conteudo em italiano</t>
        </is>
      </c>
      <c r="Q406" t="inlineStr"/>
      <c r="R406" t="inlineStr">
        <is>
          <t>sonda HTTP read-only (GET limitado, payload nao preservado)</t>
        </is>
      </c>
      <c r="S406" t="inlineStr">
        <is>
          <t>2026-09-14T11:25:04Z</t>
        </is>
      </c>
      <c r="T406" t="inlineStr">
        <is>
          <t>REJECT</t>
        </is>
      </c>
      <c r="U406" t="inlineStr">
        <is>
          <t>DNS nao resolve: o endereco nao existe</t>
        </is>
      </c>
      <c r="V406" t="inlineStr">
        <is>
          <t>T11;T5</t>
        </is>
      </c>
      <c r="W406" t="inlineStr">
        <is>
          <t>FRIULI-VENEZIA GIULIA</t>
        </is>
      </c>
      <c r="X406" t="inlineStr"/>
      <c r="Y406" t="inlineStr">
        <is>
          <t>fiera agricoltura innovativa;idroponica</t>
        </is>
      </c>
      <c r="Z406" t="inlineStr">
        <is>
          <t xml:space="preserve">titulo da pagina: </t>
        </is>
      </c>
      <c r="AA406" t="inlineStr">
        <is>
          <t>dominio institucional do dono</t>
        </is>
      </c>
      <c r="AB406" t="inlineStr">
        <is>
          <t>nao sorteada</t>
        </is>
      </c>
      <c r="AC406" t="inlineStr">
        <is>
          <t>nao sorteada</t>
        </is>
      </c>
      <c r="AE406" t="inlineStr">
        <is>
          <t>DNS_FAIL</t>
        </is>
      </c>
      <c r="AF406" t="inlineStr"/>
    </row>
    <row r="407">
      <c r="A407" t="inlineStr">
        <is>
          <t>IT-DISC-2026-09-14-0406</t>
        </is>
      </c>
      <c r="B407" t="inlineStr">
        <is>
          <t>Gowan Italia</t>
        </is>
      </c>
      <c r="C407" t="inlineStr">
        <is>
          <t>ORGANIZACAO</t>
        </is>
      </c>
      <c r="D407" t="inlineStr">
        <is>
          <t>ORG</t>
        </is>
      </c>
      <c r="E407" t="inlineStr">
        <is>
          <t>Gowan Company</t>
        </is>
      </c>
      <c r="F407" t="inlineStr">
        <is>
          <t>https://www.gowanco.it/</t>
        </is>
      </c>
      <c r="G407" t="inlineStr">
        <is>
          <t>https://www.gowanco.it/</t>
        </is>
      </c>
      <c r="K407" t="n">
        <v>0</v>
      </c>
      <c r="L407" t="b">
        <v>0</v>
      </c>
      <c r="N407" t="inlineStr">
        <is>
          <t>NOT_PROVED</t>
        </is>
      </c>
      <c r="O407" t="inlineStr">
        <is>
          <t>SIM</t>
        </is>
      </c>
      <c r="P407" t="inlineStr">
        <is>
          <t>SIM — dominio .it e conteudo em italiano</t>
        </is>
      </c>
      <c r="Q407" t="inlineStr"/>
      <c r="R407" t="inlineStr">
        <is>
          <t>sonda HTTP read-only (GET limitado, payload nao preservado)</t>
        </is>
      </c>
      <c r="S407" t="inlineStr">
        <is>
          <t>2026-09-14T11:25:05Z</t>
        </is>
      </c>
      <c r="T407" t="inlineStr">
        <is>
          <t>REJECT</t>
        </is>
      </c>
      <c r="U407" t="inlineStr">
        <is>
          <t>DNS nao resolve: o endereco nao existe</t>
        </is>
      </c>
      <c r="V407" t="inlineStr">
        <is>
          <t>T9;T10</t>
        </is>
      </c>
      <c r="W407" t="inlineStr">
        <is>
          <t>NAZIONALE</t>
        </is>
      </c>
      <c r="X407" t="inlineStr"/>
      <c r="Y407" t="inlineStr">
        <is>
          <t>agrofarmaci;concorrente</t>
        </is>
      </c>
      <c r="Z407" t="inlineStr">
        <is>
          <t xml:space="preserve">titulo da pagina: </t>
        </is>
      </c>
      <c r="AA407" t="inlineStr">
        <is>
          <t>dominio institucional do dono</t>
        </is>
      </c>
      <c r="AB407" t="inlineStr">
        <is>
          <t>nao sorteada</t>
        </is>
      </c>
      <c r="AC407" t="inlineStr">
        <is>
          <t>nao sorteada</t>
        </is>
      </c>
      <c r="AE407" t="inlineStr">
        <is>
          <t>DNS_FAIL</t>
        </is>
      </c>
      <c r="AF407" t="inlineStr"/>
    </row>
    <row r="408">
      <c r="A408" t="inlineStr">
        <is>
          <t>IT-DISC-2026-09-14-0407</t>
        </is>
      </c>
      <c r="B408" t="inlineStr">
        <is>
          <t>Sumitomo Chemical Italia</t>
        </is>
      </c>
      <c r="C408" t="inlineStr">
        <is>
          <t>ORGANIZACAO</t>
        </is>
      </c>
      <c r="D408" t="inlineStr">
        <is>
          <t>ORG</t>
        </is>
      </c>
      <c r="E408" t="inlineStr">
        <is>
          <t>Sumitomo Chemical</t>
        </is>
      </c>
      <c r="F408" t="inlineStr">
        <is>
          <t>https://www.sumitomo-chem.it/</t>
        </is>
      </c>
      <c r="G408" t="inlineStr">
        <is>
          <t>https://www.sumitomo-chem.it/</t>
        </is>
      </c>
      <c r="K408" t="n">
        <v>0</v>
      </c>
      <c r="L408" t="b">
        <v>1</v>
      </c>
      <c r="M408" t="b">
        <v>1</v>
      </c>
      <c r="N408" t="inlineStr">
        <is>
          <t>PROVED_DIRECT</t>
        </is>
      </c>
      <c r="O408" t="inlineStr">
        <is>
          <t>SIM</t>
        </is>
      </c>
      <c r="P408" t="inlineStr">
        <is>
          <t>SIM — dominio .it e conteudo em italiano</t>
        </is>
      </c>
      <c r="Q408" t="inlineStr"/>
      <c r="R408" t="inlineStr">
        <is>
          <t>sonda HTTP read-only (GET limitado, payload nao preservado)</t>
        </is>
      </c>
      <c r="S408" t="inlineStr">
        <is>
          <t>2026-09-14T11:25:05Z</t>
        </is>
      </c>
      <c r="T408" t="inlineStr">
        <is>
          <t>UNKNOWN</t>
        </is>
      </c>
      <c r="U408" t="inlineStr">
        <is>
          <t>bloqueio/inconclusivo no datacenter (status=None, flags=CONN_FAIL)</t>
        </is>
      </c>
      <c r="V408" t="inlineStr">
        <is>
          <t>T9;T10</t>
        </is>
      </c>
      <c r="W408" t="inlineStr">
        <is>
          <t>LOMBARDIA</t>
        </is>
      </c>
      <c r="X408" t="inlineStr"/>
      <c r="Y408" t="inlineStr">
        <is>
          <t>agrofarmaci;concorrente</t>
        </is>
      </c>
      <c r="Z408" t="inlineStr">
        <is>
          <t xml:space="preserve">titulo da pagina: </t>
        </is>
      </c>
      <c r="AA408" t="inlineStr">
        <is>
          <t>dominio institucional do dono</t>
        </is>
      </c>
      <c r="AB408" t="inlineStr">
        <is>
          <t>nao sorteada</t>
        </is>
      </c>
      <c r="AC408" t="inlineStr">
        <is>
          <t>nao sorteada</t>
        </is>
      </c>
      <c r="AE408" t="inlineStr">
        <is>
          <t>CONN_FAIL</t>
        </is>
      </c>
      <c r="AF408" t="inlineStr"/>
    </row>
    <row r="409">
      <c r="A409" t="inlineStr">
        <is>
          <t>IT-DISC-2026-09-14-0408</t>
        </is>
      </c>
      <c r="B409" t="inlineStr">
        <is>
          <t>Manica</t>
        </is>
      </c>
      <c r="C409" t="inlineStr">
        <is>
          <t>ORGANIZACAO</t>
        </is>
      </c>
      <c r="D409" t="inlineStr">
        <is>
          <t>ORG</t>
        </is>
      </c>
      <c r="E409" t="inlineStr">
        <is>
          <t>Manica S.p.A.</t>
        </is>
      </c>
      <c r="F409" t="inlineStr">
        <is>
          <t>https://www.manica.it/</t>
        </is>
      </c>
      <c r="G409" t="inlineStr">
        <is>
          <t>https://www.manica.it/</t>
        </is>
      </c>
      <c r="K409" t="n">
        <v>0</v>
      </c>
      <c r="L409" t="b">
        <v>1</v>
      </c>
      <c r="M409" t="b">
        <v>1</v>
      </c>
      <c r="N409" t="inlineStr">
        <is>
          <t>PROVED_DIRECT</t>
        </is>
      </c>
      <c r="O409" t="inlineStr">
        <is>
          <t>SIM</t>
        </is>
      </c>
      <c r="P409" t="inlineStr">
        <is>
          <t>SIM — dominio .it e conteudo em italiano</t>
        </is>
      </c>
      <c r="Q409" t="inlineStr"/>
      <c r="R409" t="inlineStr">
        <is>
          <t>sonda HTTP read-only (GET limitado, payload nao preservado)</t>
        </is>
      </c>
      <c r="S409" t="inlineStr">
        <is>
          <t>2026-09-14T11:25:07Z</t>
        </is>
      </c>
      <c r="T409" t="inlineStr">
        <is>
          <t>REJECT</t>
        </is>
      </c>
      <c r="U409" t="inlineStr">
        <is>
          <t>handshake TLS falha mesmo com a cadeia completada por AIA</t>
        </is>
      </c>
      <c r="V409" t="inlineStr">
        <is>
          <t>T9;T3</t>
        </is>
      </c>
      <c r="W409" t="inlineStr">
        <is>
          <t>TRENTINO-ALTO ADIGE</t>
        </is>
      </c>
      <c r="X409" t="inlineStr"/>
      <c r="Y409" t="inlineStr">
        <is>
          <t>rame;fitosanitari</t>
        </is>
      </c>
      <c r="Z409" t="inlineStr">
        <is>
          <t xml:space="preserve">titulo da pagina: </t>
        </is>
      </c>
      <c r="AA409" t="inlineStr">
        <is>
          <t>dominio institucional do dono</t>
        </is>
      </c>
      <c r="AB409" t="inlineStr">
        <is>
          <t>nao sorteada</t>
        </is>
      </c>
      <c r="AC409" t="inlineStr">
        <is>
          <t>nao sorteada</t>
        </is>
      </c>
      <c r="AE409" t="inlineStr">
        <is>
          <t>TLS_ERROR</t>
        </is>
      </c>
      <c r="AF409" t="inlineStr"/>
    </row>
    <row r="410">
      <c r="A410" t="inlineStr">
        <is>
          <t>IT-DISC-2026-09-14-0409</t>
        </is>
      </c>
      <c r="B410" t="inlineStr">
        <is>
          <t>Consorzio di Tutela Mela Val di Non DOP</t>
        </is>
      </c>
      <c r="C410" t="inlineStr">
        <is>
          <t>ORGANIZACAO</t>
        </is>
      </c>
      <c r="D410" t="inlineStr">
        <is>
          <t>ORG</t>
        </is>
      </c>
      <c r="E410" t="inlineStr">
        <is>
          <t>Consorzio Mela Val di Non</t>
        </is>
      </c>
      <c r="F410" t="inlineStr">
        <is>
          <t>https://www.melavaldinondop.it/</t>
        </is>
      </c>
      <c r="G410" t="inlineStr">
        <is>
          <t>https://www.melavaldinondop.it/</t>
        </is>
      </c>
      <c r="K410" t="n">
        <v>0</v>
      </c>
      <c r="L410" t="b">
        <v>0</v>
      </c>
      <c r="N410" t="inlineStr">
        <is>
          <t>NOT_PROVED</t>
        </is>
      </c>
      <c r="O410" t="inlineStr">
        <is>
          <t>SIM</t>
        </is>
      </c>
      <c r="P410" t="inlineStr">
        <is>
          <t>SIM — dominio .it e conteudo em italiano</t>
        </is>
      </c>
      <c r="Q410" t="inlineStr"/>
      <c r="R410" t="inlineStr">
        <is>
          <t>sonda HTTP read-only (GET limitado, payload nao preservado)</t>
        </is>
      </c>
      <c r="S410" t="inlineStr">
        <is>
          <t>2026-09-14T11:25:11Z</t>
        </is>
      </c>
      <c r="T410" t="inlineStr">
        <is>
          <t>REJECT</t>
        </is>
      </c>
      <c r="U410" t="inlineStr">
        <is>
          <t>DNS nao resolve: o endereco nao existe</t>
        </is>
      </c>
      <c r="V410" t="inlineStr">
        <is>
          <t>T10;T1</t>
        </is>
      </c>
      <c r="W410" t="inlineStr">
        <is>
          <t>TRENTINO-ALTO ADIGE</t>
        </is>
      </c>
      <c r="X410" t="inlineStr">
        <is>
          <t>melo</t>
        </is>
      </c>
      <c r="Y410" t="inlineStr">
        <is>
          <t>melo;DOP</t>
        </is>
      </c>
      <c r="Z410" t="inlineStr">
        <is>
          <t xml:space="preserve">titulo da pagina: </t>
        </is>
      </c>
      <c r="AA410" t="inlineStr">
        <is>
          <t>dominio institucional do dono</t>
        </is>
      </c>
      <c r="AB410" t="inlineStr">
        <is>
          <t>nao sorteada</t>
        </is>
      </c>
      <c r="AC410" t="inlineStr">
        <is>
          <t>nao sorteada</t>
        </is>
      </c>
      <c r="AE410" t="inlineStr">
        <is>
          <t>DNS_FAIL</t>
        </is>
      </c>
      <c r="AF410" t="inlineStr"/>
    </row>
    <row r="411">
      <c r="A411" t="inlineStr">
        <is>
          <t>IT-DISC-2026-09-14-0410</t>
        </is>
      </c>
      <c r="B411" t="inlineStr">
        <is>
          <t>Consorzio Tutela Pomodoro San Marzano DOP</t>
        </is>
      </c>
      <c r="C411" t="inlineStr">
        <is>
          <t>ORGANIZACAO</t>
        </is>
      </c>
      <c r="D411" t="inlineStr">
        <is>
          <t>ORG</t>
        </is>
      </c>
      <c r="E411" t="inlineStr">
        <is>
          <t>Consorzio San Marzano DOP</t>
        </is>
      </c>
      <c r="F411" t="inlineStr">
        <is>
          <t>https://www.consorziosanmarzano.it/</t>
        </is>
      </c>
      <c r="G411" t="inlineStr">
        <is>
          <t>https://www.consorziosanmarzano.it/</t>
        </is>
      </c>
      <c r="K411" t="n">
        <v>0</v>
      </c>
      <c r="L411" t="b">
        <v>0</v>
      </c>
      <c r="N411" t="inlineStr">
        <is>
          <t>NOT_PROVED</t>
        </is>
      </c>
      <c r="O411" t="inlineStr">
        <is>
          <t>SIM</t>
        </is>
      </c>
      <c r="P411" t="inlineStr">
        <is>
          <t>SIM — dominio .it e conteudo em italiano</t>
        </is>
      </c>
      <c r="Q411" t="inlineStr"/>
      <c r="R411" t="inlineStr">
        <is>
          <t>sonda HTTP read-only (GET limitado, payload nao preservado)</t>
        </is>
      </c>
      <c r="S411" t="inlineStr">
        <is>
          <t>2026-09-14T11:25:11Z</t>
        </is>
      </c>
      <c r="T411" t="inlineStr">
        <is>
          <t>REJECT</t>
        </is>
      </c>
      <c r="U411" t="inlineStr">
        <is>
          <t>DNS nao resolve: o endereco nao existe</t>
        </is>
      </c>
      <c r="V411" t="inlineStr">
        <is>
          <t>T10;T1</t>
        </is>
      </c>
      <c r="W411" t="inlineStr">
        <is>
          <t>CAMPANIA</t>
        </is>
      </c>
      <c r="X411" t="inlineStr">
        <is>
          <t>pomodoro</t>
        </is>
      </c>
      <c r="Y411" t="inlineStr">
        <is>
          <t>pomodoro;DOP</t>
        </is>
      </c>
      <c r="Z411" t="inlineStr">
        <is>
          <t xml:space="preserve">titulo da pagina: </t>
        </is>
      </c>
      <c r="AA411" t="inlineStr">
        <is>
          <t>dominio institucional do dono</t>
        </is>
      </c>
      <c r="AB411" t="inlineStr">
        <is>
          <t>nao sorteada</t>
        </is>
      </c>
      <c r="AC411" t="inlineStr">
        <is>
          <t>nao sorteada</t>
        </is>
      </c>
      <c r="AE411" t="inlineStr">
        <is>
          <t>DNS_FAIL</t>
        </is>
      </c>
      <c r="AF411" t="inlineStr"/>
    </row>
    <row r="412">
      <c r="A412" t="inlineStr">
        <is>
          <t>IT-DISC-2026-09-14-0411</t>
        </is>
      </c>
      <c r="B412" t="inlineStr">
        <is>
          <t>Consorzio Agrario del Nordest</t>
        </is>
      </c>
      <c r="C412" t="inlineStr">
        <is>
          <t>ORGANIZACAO</t>
        </is>
      </c>
      <c r="D412" t="inlineStr">
        <is>
          <t>ORG</t>
        </is>
      </c>
      <c r="E412" t="inlineStr">
        <is>
          <t>Consorzio Agrario del Nordest</t>
        </is>
      </c>
      <c r="F412" t="inlineStr">
        <is>
          <t>https://www.consorzioagrarionordest.it/</t>
        </is>
      </c>
      <c r="G412" t="inlineStr">
        <is>
          <t>https://www.consorzioagrarionordest.it/</t>
        </is>
      </c>
      <c r="K412" t="n">
        <v>0</v>
      </c>
      <c r="L412" t="b">
        <v>0</v>
      </c>
      <c r="N412" t="inlineStr">
        <is>
          <t>NOT_PROVED</t>
        </is>
      </c>
      <c r="O412" t="inlineStr">
        <is>
          <t>SIM</t>
        </is>
      </c>
      <c r="P412" t="inlineStr">
        <is>
          <t>SIM — dominio .it e conteudo em italiano</t>
        </is>
      </c>
      <c r="Q412" t="inlineStr"/>
      <c r="R412" t="inlineStr">
        <is>
          <t>sonda HTTP read-only (GET limitado, payload nao preservado)</t>
        </is>
      </c>
      <c r="S412" t="inlineStr">
        <is>
          <t>2026-09-14T11:25:13Z</t>
        </is>
      </c>
      <c r="T412" t="inlineStr">
        <is>
          <t>REJECT</t>
        </is>
      </c>
      <c r="U412" t="inlineStr">
        <is>
          <t>DNS nao resolve: o endereco nao existe</t>
        </is>
      </c>
      <c r="V412" t="inlineStr">
        <is>
          <t>T7;T10</t>
        </is>
      </c>
      <c r="W412" t="inlineStr">
        <is>
          <t>VENETO</t>
        </is>
      </c>
      <c r="X412" t="inlineStr"/>
      <c r="Y412" t="inlineStr">
        <is>
          <t>consorzio agrario;mezzi tecnici</t>
        </is>
      </c>
      <c r="Z412" t="inlineStr">
        <is>
          <t xml:space="preserve">titulo da pagina: </t>
        </is>
      </c>
      <c r="AA412" t="inlineStr">
        <is>
          <t>dominio institucional do dono</t>
        </is>
      </c>
      <c r="AB412" t="inlineStr">
        <is>
          <t>nao sorteada</t>
        </is>
      </c>
      <c r="AC412" t="inlineStr">
        <is>
          <t>nao sorteada</t>
        </is>
      </c>
      <c r="AE412" t="inlineStr">
        <is>
          <t>DNS_FAIL</t>
        </is>
      </c>
      <c r="AF412" t="inlineStr"/>
    </row>
    <row r="413">
      <c r="A413" t="inlineStr">
        <is>
          <t>IT-DISC-2026-09-14-0412</t>
        </is>
      </c>
      <c r="B413" t="inlineStr">
        <is>
          <t>Consorzio di Bonifica dell'Emilia Centrale</t>
        </is>
      </c>
      <c r="C413" t="inlineStr">
        <is>
          <t>ORGANIZACAO</t>
        </is>
      </c>
      <c r="D413" t="inlineStr">
        <is>
          <t>ORG</t>
        </is>
      </c>
      <c r="E413" t="inlineStr">
        <is>
          <t>Consorzio di Bonifica dell'Emilia Centrale</t>
        </is>
      </c>
      <c r="F413" t="inlineStr">
        <is>
          <t>https://www.emiliacentrale.it/</t>
        </is>
      </c>
      <c r="G413" t="inlineStr">
        <is>
          <t>https://www.emiliacentrale.it/</t>
        </is>
      </c>
      <c r="H413" t="inlineStr">
        <is>
          <t>https://www.emiliacentrale.it/</t>
        </is>
      </c>
      <c r="I413" t="n">
        <v>202</v>
      </c>
      <c r="J413" t="inlineStr">
        <is>
          <t>text/html</t>
        </is>
      </c>
      <c r="K413" t="n">
        <v>0</v>
      </c>
      <c r="L413" t="b">
        <v>1</v>
      </c>
      <c r="M413" t="b">
        <v>1</v>
      </c>
      <c r="N413" t="inlineStr">
        <is>
          <t>NOT_PROVED</t>
        </is>
      </c>
      <c r="O413" t="inlineStr">
        <is>
          <t>SIM</t>
        </is>
      </c>
      <c r="P413" t="inlineStr">
        <is>
          <t>SIM — dominio .it e conteudo em italiano</t>
        </is>
      </c>
      <c r="Q413" t="inlineStr"/>
      <c r="R413" t="inlineStr">
        <is>
          <t>sonda HTTP read-only (GET limitado, payload nao preservado)</t>
        </is>
      </c>
      <c r="S413" t="inlineStr">
        <is>
          <t>2026-09-14T11:25:13Z</t>
        </is>
      </c>
      <c r="T413" t="inlineStr">
        <is>
          <t>UNKNOWN</t>
        </is>
      </c>
      <c r="U413" t="inlineStr">
        <is>
          <t>bloqueio/inconclusivo no datacenter (status=202, flags=ANTIBOT,THIN_BODY)</t>
        </is>
      </c>
      <c r="V413" t="inlineStr">
        <is>
          <t>T2;T1</t>
        </is>
      </c>
      <c r="W413" t="inlineStr">
        <is>
          <t>EMILIA-ROMAGNA</t>
        </is>
      </c>
      <c r="X413" t="inlineStr"/>
      <c r="Y413" t="inlineStr">
        <is>
          <t>irrigazione;bonifica;acqua</t>
        </is>
      </c>
      <c r="Z413" t="inlineStr">
        <is>
          <t xml:space="preserve">titulo da pagina: </t>
        </is>
      </c>
      <c r="AA413" t="inlineStr">
        <is>
          <t>dominio institucional do dono</t>
        </is>
      </c>
      <c r="AB413" t="inlineStr">
        <is>
          <t>nao sorteada</t>
        </is>
      </c>
      <c r="AC413" t="inlineStr">
        <is>
          <t>nao sorteada</t>
        </is>
      </c>
      <c r="AE413" t="inlineStr">
        <is>
          <t>ANTIBOT,THIN_BODY</t>
        </is>
      </c>
      <c r="AF413" t="inlineStr"/>
    </row>
    <row r="414">
      <c r="A414" t="inlineStr">
        <is>
          <t>IT-DISC-2026-09-14-0413</t>
        </is>
      </c>
      <c r="B414" t="inlineStr">
        <is>
          <t>Consorzio di Bonifica Veronese</t>
        </is>
      </c>
      <c r="C414" t="inlineStr">
        <is>
          <t>ORGANIZACAO</t>
        </is>
      </c>
      <c r="D414" t="inlineStr">
        <is>
          <t>ORG</t>
        </is>
      </c>
      <c r="E414" t="inlineStr">
        <is>
          <t>Consorzio di Bonifica Veronese</t>
        </is>
      </c>
      <c r="F414" t="inlineStr">
        <is>
          <t>https://www.bonificaveronese.it/</t>
        </is>
      </c>
      <c r="G414" t="inlineStr">
        <is>
          <t>https://www.bonificaveronese.it/</t>
        </is>
      </c>
      <c r="H414" t="inlineStr">
        <is>
          <t>http://www.portale.bonificaveronese.it/</t>
        </is>
      </c>
      <c r="I414" t="n">
        <v>202</v>
      </c>
      <c r="J414" t="inlineStr">
        <is>
          <t>text/html</t>
        </is>
      </c>
      <c r="K414" t="n">
        <v>1</v>
      </c>
      <c r="L414" t="b">
        <v>1</v>
      </c>
      <c r="M414" t="b">
        <v>1</v>
      </c>
      <c r="N414" t="inlineStr">
        <is>
          <t>NOT_PROVED</t>
        </is>
      </c>
      <c r="O414" t="inlineStr">
        <is>
          <t>SIM</t>
        </is>
      </c>
      <c r="P414" t="inlineStr">
        <is>
          <t>SIM — dominio .it e conteudo em italiano</t>
        </is>
      </c>
      <c r="Q414" t="inlineStr"/>
      <c r="R414" t="inlineStr">
        <is>
          <t>sonda HTTP read-only (GET limitado, payload nao preservado)</t>
        </is>
      </c>
      <c r="S414" t="inlineStr">
        <is>
          <t>2026-09-14T11:25:13Z</t>
        </is>
      </c>
      <c r="T414" t="inlineStr">
        <is>
          <t>UNKNOWN</t>
        </is>
      </c>
      <c r="U414" t="inlineStr">
        <is>
          <t>bloqueio/inconclusivo no datacenter (status=202, flags=ANTIBOT,THIN_BODY)</t>
        </is>
      </c>
      <c r="V414" t="inlineStr">
        <is>
          <t>T2;T1</t>
        </is>
      </c>
      <c r="W414" t="inlineStr">
        <is>
          <t>VENETO</t>
        </is>
      </c>
      <c r="X414" t="inlineStr"/>
      <c r="Y414" t="inlineStr">
        <is>
          <t>irrigazione;bonifica</t>
        </is>
      </c>
      <c r="Z414" t="inlineStr">
        <is>
          <t xml:space="preserve">titulo da pagina: </t>
        </is>
      </c>
      <c r="AA414" t="inlineStr">
        <is>
          <t>dominio institucional do dono</t>
        </is>
      </c>
      <c r="AB414" t="inlineStr">
        <is>
          <t>nao sorteada</t>
        </is>
      </c>
      <c r="AC414" t="inlineStr">
        <is>
          <t>nao sorteada</t>
        </is>
      </c>
      <c r="AE414" t="inlineStr">
        <is>
          <t>ANTIBOT,THIN_BODY</t>
        </is>
      </c>
      <c r="AF414" t="inlineStr"/>
    </row>
    <row r="415">
      <c r="A415" t="inlineStr">
        <is>
          <t>IT-DISC-2026-09-14-0414</t>
        </is>
      </c>
      <c r="B415" t="inlineStr">
        <is>
          <t>Consorzio di Bonifica Tevere Nera</t>
        </is>
      </c>
      <c r="C415" t="inlineStr">
        <is>
          <t>ORGANIZACAO</t>
        </is>
      </c>
      <c r="D415" t="inlineStr">
        <is>
          <t>ORG</t>
        </is>
      </c>
      <c r="E415" t="inlineStr">
        <is>
          <t>Consorzio di Bonifica Tevere Nera</t>
        </is>
      </c>
      <c r="F415" t="inlineStr">
        <is>
          <t>https://www.tevere-nera.it/</t>
        </is>
      </c>
      <c r="G415" t="inlineStr">
        <is>
          <t>https://www.tevere-nera.it/</t>
        </is>
      </c>
      <c r="K415" t="n">
        <v>0</v>
      </c>
      <c r="L415" t="b">
        <v>0</v>
      </c>
      <c r="N415" t="inlineStr">
        <is>
          <t>PROVED_DIRECT</t>
        </is>
      </c>
      <c r="O415" t="inlineStr">
        <is>
          <t>SIM</t>
        </is>
      </c>
      <c r="P415" t="inlineStr">
        <is>
          <t>SIM — dominio .it e conteudo em italiano</t>
        </is>
      </c>
      <c r="Q415" t="inlineStr"/>
      <c r="R415" t="inlineStr">
        <is>
          <t>sonda HTTP read-only (GET limitado, payload nao preservado)</t>
        </is>
      </c>
      <c r="S415" t="inlineStr">
        <is>
          <t>2026-09-14T11:25:14Z</t>
        </is>
      </c>
      <c r="T415" t="inlineStr">
        <is>
          <t>REJECT</t>
        </is>
      </c>
      <c r="U415" t="inlineStr">
        <is>
          <t>DNS nao resolve: o endereco nao existe</t>
        </is>
      </c>
      <c r="V415" t="inlineStr">
        <is>
          <t>T2;T1</t>
        </is>
      </c>
      <c r="W415" t="inlineStr">
        <is>
          <t>UMBRIA</t>
        </is>
      </c>
      <c r="X415" t="inlineStr"/>
      <c r="Y415" t="inlineStr">
        <is>
          <t>irrigazione;bonifica</t>
        </is>
      </c>
      <c r="Z415" t="inlineStr">
        <is>
          <t xml:space="preserve">titulo da pagina: </t>
        </is>
      </c>
      <c r="AA415" t="inlineStr">
        <is>
          <t>dominio institucional do dono</t>
        </is>
      </c>
      <c r="AB415" t="inlineStr">
        <is>
          <t>nao sorteada</t>
        </is>
      </c>
      <c r="AC415" t="inlineStr">
        <is>
          <t>nao sorteada</t>
        </is>
      </c>
      <c r="AE415" t="inlineStr">
        <is>
          <t>DNS_FAIL</t>
        </is>
      </c>
      <c r="AF415" t="inlineStr"/>
    </row>
    <row r="416">
      <c r="A416" t="inlineStr">
        <is>
          <t>IT-DISC-2026-09-14-0415</t>
        </is>
      </c>
      <c r="B416" t="inlineStr">
        <is>
          <t>Consorzio di Bonifica Centro Sardegna</t>
        </is>
      </c>
      <c r="C416" t="inlineStr">
        <is>
          <t>ORGANIZACAO</t>
        </is>
      </c>
      <c r="D416" t="inlineStr">
        <is>
          <t>ORG</t>
        </is>
      </c>
      <c r="E416" t="inlineStr">
        <is>
          <t>Consorzio di Bonifica Centro Sardegna</t>
        </is>
      </c>
      <c r="F416" t="inlineStr">
        <is>
          <t>https://www.cbcs.it/</t>
        </is>
      </c>
      <c r="G416" t="inlineStr">
        <is>
          <t>https://www.cbcs.it/</t>
        </is>
      </c>
      <c r="K416" t="n">
        <v>0</v>
      </c>
      <c r="L416" t="b">
        <v>1</v>
      </c>
      <c r="M416" t="b">
        <v>1</v>
      </c>
      <c r="N416" t="inlineStr">
        <is>
          <t>NOT_PROVED</t>
        </is>
      </c>
      <c r="O416" t="inlineStr">
        <is>
          <t>SIM</t>
        </is>
      </c>
      <c r="P416" t="inlineStr">
        <is>
          <t>SIM — dominio .it e conteudo em italiano</t>
        </is>
      </c>
      <c r="Q416" t="inlineStr"/>
      <c r="R416" t="inlineStr">
        <is>
          <t>sonda HTTP read-only (GET limitado, payload nao preservado)</t>
        </is>
      </c>
      <c r="S416" t="inlineStr">
        <is>
          <t>2026-09-14T11:25:14Z</t>
        </is>
      </c>
      <c r="T416" t="inlineStr">
        <is>
          <t>UNKNOWN</t>
        </is>
      </c>
      <c r="U416" t="inlineStr">
        <is>
          <t>bloqueio/inconclusivo no datacenter (status=None, flags=CONN_FAIL)</t>
        </is>
      </c>
      <c r="V416" t="inlineStr">
        <is>
          <t>T2;T1</t>
        </is>
      </c>
      <c r="W416" t="inlineStr">
        <is>
          <t>SARDEGNA</t>
        </is>
      </c>
      <c r="X416" t="inlineStr"/>
      <c r="Y416" t="inlineStr">
        <is>
          <t>irrigazione;acqua</t>
        </is>
      </c>
      <c r="Z416" t="inlineStr">
        <is>
          <t xml:space="preserve">titulo da pagina: </t>
        </is>
      </c>
      <c r="AA416" t="inlineStr">
        <is>
          <t>dominio institucional do dono</t>
        </is>
      </c>
      <c r="AB416" t="inlineStr">
        <is>
          <t>nao sorteada</t>
        </is>
      </c>
      <c r="AC416" t="inlineStr">
        <is>
          <t>nao sorteada</t>
        </is>
      </c>
      <c r="AE416" t="inlineStr">
        <is>
          <t>CONN_FAIL</t>
        </is>
      </c>
      <c r="AF416" t="inlineStr"/>
    </row>
    <row r="417">
      <c r="A417" t="inlineStr">
        <is>
          <t>IT-DISC-2026-09-14-0416</t>
        </is>
      </c>
      <c r="B417" t="inlineStr">
        <is>
          <t>Consorzio di Tutela dell'Olio Extravergine di Oliva Toscano IGP</t>
        </is>
      </c>
      <c r="C417" t="inlineStr">
        <is>
          <t>ORGANIZACAO</t>
        </is>
      </c>
      <c r="D417" t="inlineStr">
        <is>
          <t>ORG</t>
        </is>
      </c>
      <c r="E417" t="inlineStr">
        <is>
          <t>Consorzio Olio Toscano IGP</t>
        </is>
      </c>
      <c r="F417" t="inlineStr">
        <is>
          <t>https://www.oliotoscanoigp.it/</t>
        </is>
      </c>
      <c r="G417" t="inlineStr">
        <is>
          <t>https://www.oliotoscanoigp.it/</t>
        </is>
      </c>
      <c r="K417" t="n">
        <v>0</v>
      </c>
      <c r="L417" t="b">
        <v>1</v>
      </c>
      <c r="M417" t="b">
        <v>1</v>
      </c>
      <c r="N417" t="inlineStr">
        <is>
          <t>NOT_PROVED</t>
        </is>
      </c>
      <c r="O417" t="inlineStr">
        <is>
          <t>SIM</t>
        </is>
      </c>
      <c r="P417" t="inlineStr">
        <is>
          <t>SIM — dominio .it e conteudo em italiano</t>
        </is>
      </c>
      <c r="Q417" t="inlineStr"/>
      <c r="R417" t="inlineStr">
        <is>
          <t>sonda HTTP read-only (GET limitado, payload nao preservado)</t>
        </is>
      </c>
      <c r="S417" t="inlineStr">
        <is>
          <t>2026-09-14T11:25:14Z</t>
        </is>
      </c>
      <c r="T417" t="inlineStr">
        <is>
          <t>UNKNOWN</t>
        </is>
      </c>
      <c r="U417" t="inlineStr">
        <is>
          <t>bloqueio/inconclusivo no datacenter (status=None, flags=CONN_FAIL)</t>
        </is>
      </c>
      <c r="V417" t="inlineStr">
        <is>
          <t>T10;T1</t>
        </is>
      </c>
      <c r="W417" t="inlineStr">
        <is>
          <t>TOSCANA</t>
        </is>
      </c>
      <c r="X417" t="inlineStr">
        <is>
          <t>olivo</t>
        </is>
      </c>
      <c r="Y417" t="inlineStr">
        <is>
          <t>olivo;IGP</t>
        </is>
      </c>
      <c r="Z417" t="inlineStr">
        <is>
          <t xml:space="preserve">titulo da pagina: </t>
        </is>
      </c>
      <c r="AA417" t="inlineStr">
        <is>
          <t>dominio institucional do dono</t>
        </is>
      </c>
      <c r="AB417" t="inlineStr">
        <is>
          <t>nao sorteada</t>
        </is>
      </c>
      <c r="AC417" t="inlineStr">
        <is>
          <t>nao sorteada</t>
        </is>
      </c>
      <c r="AE417" t="inlineStr">
        <is>
          <t>CONN_FAIL</t>
        </is>
      </c>
      <c r="AF417" t="inlineStr"/>
    </row>
    <row r="418">
      <c r="A418" t="inlineStr">
        <is>
          <t>IT-DISC-2026-09-14-0417</t>
        </is>
      </c>
      <c r="B418" t="inlineStr">
        <is>
          <t>Associazione Nazionale Bieticoltori</t>
        </is>
      </c>
      <c r="C418" t="inlineStr">
        <is>
          <t>ORGANIZACAO</t>
        </is>
      </c>
      <c r="D418" t="inlineStr">
        <is>
          <t>ORG</t>
        </is>
      </c>
      <c r="E418" t="inlineStr">
        <is>
          <t>ANB</t>
        </is>
      </c>
      <c r="F418" t="inlineStr">
        <is>
          <t>https://www.anb.it/</t>
        </is>
      </c>
      <c r="G418" t="inlineStr">
        <is>
          <t>https://www.anb.it/</t>
        </is>
      </c>
      <c r="H418" t="inlineStr">
        <is>
          <t>https://www.anb.it/</t>
        </is>
      </c>
      <c r="I418" t="n">
        <v>202</v>
      </c>
      <c r="J418" t="inlineStr">
        <is>
          <t>text/html</t>
        </is>
      </c>
      <c r="K418" t="n">
        <v>0</v>
      </c>
      <c r="L418" t="b">
        <v>1</v>
      </c>
      <c r="M418" t="b">
        <v>1</v>
      </c>
      <c r="N418" t="inlineStr">
        <is>
          <t>PROVED_DIRECT</t>
        </is>
      </c>
      <c r="O418" t="inlineStr">
        <is>
          <t>SIM</t>
        </is>
      </c>
      <c r="P418" t="inlineStr">
        <is>
          <t>SIM — dominio .it e conteudo em italiano</t>
        </is>
      </c>
      <c r="Q418" t="inlineStr"/>
      <c r="R418" t="inlineStr">
        <is>
          <t>sonda HTTP read-only (GET limitado, payload nao preservado)</t>
        </is>
      </c>
      <c r="S418" t="inlineStr">
        <is>
          <t>2026-09-14T11:25:19Z</t>
        </is>
      </c>
      <c r="T418" t="inlineStr">
        <is>
          <t>UNKNOWN</t>
        </is>
      </c>
      <c r="U418" t="inlineStr">
        <is>
          <t>bloqueio/inconclusivo no datacenter (status=202, flags=ANTIBOT,THIN_BODY)</t>
        </is>
      </c>
      <c r="V418" t="inlineStr">
        <is>
          <t>T1;T10</t>
        </is>
      </c>
      <c r="W418" t="inlineStr">
        <is>
          <t>EMILIA-ROMAGNA</t>
        </is>
      </c>
      <c r="X418" t="inlineStr">
        <is>
          <t>barbabietola</t>
        </is>
      </c>
      <c r="Y418" t="inlineStr">
        <is>
          <t>barbabietola;bieticoltura</t>
        </is>
      </c>
      <c r="Z418" t="inlineStr">
        <is>
          <t xml:space="preserve">titulo da pagina: </t>
        </is>
      </c>
      <c r="AA418" t="inlineStr">
        <is>
          <t>dominio institucional do dono</t>
        </is>
      </c>
      <c r="AB418" t="inlineStr">
        <is>
          <t>nao sorteada</t>
        </is>
      </c>
      <c r="AC418" t="inlineStr">
        <is>
          <t>nao sorteada</t>
        </is>
      </c>
      <c r="AE418" t="inlineStr">
        <is>
          <t>ANTIBOT,THIN_BODY</t>
        </is>
      </c>
      <c r="AF418" t="inlineStr"/>
    </row>
    <row r="419">
      <c r="A419" t="inlineStr">
        <is>
          <t>IT-DISC-2026-09-14-0418</t>
        </is>
      </c>
      <c r="B419" t="inlineStr">
        <is>
          <t>ISPRA — Istituto Superiore per la Protezione e la Ricerca Ambientale — Instagram ufficiale</t>
        </is>
      </c>
      <c r="C419" t="inlineStr">
        <is>
          <t>INSTAGRAM</t>
        </is>
      </c>
      <c r="D419" t="inlineStr">
        <is>
          <t>ORG</t>
        </is>
      </c>
      <c r="E419" t="inlineStr">
        <is>
          <t>ISPRA</t>
        </is>
      </c>
      <c r="F419" t="inlineStr">
        <is>
          <t>https://www.instagram.com/ispra_ambiente</t>
        </is>
      </c>
      <c r="G419" t="inlineStr">
        <is>
          <t>https://www.instagram.com/ispra_ambiente</t>
        </is>
      </c>
      <c r="H419" t="inlineStr">
        <is>
          <t>https://www.instagram.com/accounts/login/?next=https%3A%2F%2Fwww.instagram.com%2Fispra_ambiente&amp;is_from_rle</t>
        </is>
      </c>
      <c r="I419" t="n">
        <v>429</v>
      </c>
      <c r="J419" t="inlineStr">
        <is>
          <t>text/html</t>
        </is>
      </c>
      <c r="K419" t="n">
        <v>1</v>
      </c>
      <c r="L419" t="b">
        <v>1</v>
      </c>
      <c r="M419" t="b">
        <v>1</v>
      </c>
      <c r="N419" t="inlineStr">
        <is>
          <t>PROVED_BY_OWNER_SITE</t>
        </is>
      </c>
      <c r="O419" t="inlineStr">
        <is>
          <t>SIM</t>
        </is>
      </c>
      <c r="P419" t="inlineStr">
        <is>
          <t>SIM — declarado por dono italiano no proprio site</t>
        </is>
      </c>
      <c r="Q419" t="inlineStr">
        <is>
          <t>https://www.isprambiente.gov.it/</t>
        </is>
      </c>
      <c r="R419" t="inlineStr">
        <is>
          <t>sonda HTTP read-only (GET limitado, payload nao preservado) + declaracao do perfil no site oficial do dono (rota publica, secao 10)</t>
        </is>
      </c>
      <c r="S419" t="inlineStr">
        <is>
          <t>2026-09-14T11:25:21Z</t>
        </is>
      </c>
      <c r="T419" t="inlineStr">
        <is>
          <t>NAO_SELECIONADA</t>
        </is>
      </c>
      <c r="U419" t="inlineStr">
        <is>
          <t>validada, mas fora do teto de 25 para INSTAGRAM (secao 20): a plataforma nao permite prova direta de identidade a partir do datacenter</t>
        </is>
      </c>
      <c r="V419" t="inlineStr">
        <is>
          <t>T2;T12</t>
        </is>
      </c>
      <c r="W419" t="inlineStr">
        <is>
          <t>NAZIONALE</t>
        </is>
      </c>
      <c r="X419" t="inlineStr"/>
      <c r="Y419" t="inlineStr">
        <is>
          <t>ambiente;acque;suolo;indicatori</t>
        </is>
      </c>
      <c r="Z419" t="inlineStr">
        <is>
          <t xml:space="preserve">titulo da pagina: </t>
        </is>
      </c>
      <c r="AA419" t="inlineStr">
        <is>
          <t>site oficial do dono: https://www.isprambiente.gov.it/</t>
        </is>
      </c>
      <c r="AB419" t="inlineStr">
        <is>
          <t>nao sorteada</t>
        </is>
      </c>
      <c r="AC419" t="inlineStr">
        <is>
          <t>nao sorteada</t>
        </is>
      </c>
      <c r="AE419" t="inlineStr">
        <is>
          <t>HTTP_429,THIN_BODY</t>
        </is>
      </c>
      <c r="AF419" t="inlineStr"/>
    </row>
    <row r="420">
      <c r="A420" t="inlineStr">
        <is>
          <t>IT-DISC-2026-09-14-0419</t>
        </is>
      </c>
      <c r="B420" t="inlineStr">
        <is>
          <t>Rete Rurale Nazionale — Facebook ufficiale</t>
        </is>
      </c>
      <c r="C420" t="inlineStr">
        <is>
          <t>FACEBOOK</t>
        </is>
      </c>
      <c r="D420" t="inlineStr">
        <is>
          <t>ORG</t>
        </is>
      </c>
      <c r="E420" t="inlineStr">
        <is>
          <t>MASAF — Rete Rurale Nazionale</t>
        </is>
      </c>
      <c r="F420" t="inlineStr">
        <is>
          <t>https://www.facebook.com/retenazionalepac</t>
        </is>
      </c>
      <c r="G420" t="inlineStr">
        <is>
          <t>https://www.facebook.com/retenazionalepac</t>
        </is>
      </c>
      <c r="H420" t="inlineStr">
        <is>
          <t>https://www.facebook.com/login/?next=https%3A%2F%2Fwww.facebook.com%2Fretenazionalepac</t>
        </is>
      </c>
      <c r="I420" t="n">
        <v>200</v>
      </c>
      <c r="J420" t="inlineStr">
        <is>
          <t>text/html</t>
        </is>
      </c>
      <c r="K420" t="n">
        <v>1</v>
      </c>
      <c r="L420" t="b">
        <v>1</v>
      </c>
      <c r="M420" t="b">
        <v>1</v>
      </c>
      <c r="N420" t="inlineStr">
        <is>
          <t>PROVED_BY_OWNER_SITE</t>
        </is>
      </c>
      <c r="O420" t="inlineStr">
        <is>
          <t>SIM</t>
        </is>
      </c>
      <c r="P420" t="inlineStr">
        <is>
          <t>SIM — declarado por dono italiano no proprio site</t>
        </is>
      </c>
      <c r="Q420" t="inlineStr">
        <is>
          <t>https://www.reterurale.it/</t>
        </is>
      </c>
      <c r="R420" t="inlineStr">
        <is>
          <t>sonda HTTP read-only (GET limitado, payload nao preservado) + declaracao do perfil no site oficial do dono (rota publica, secao 10)</t>
        </is>
      </c>
      <c r="S420" t="inlineStr">
        <is>
          <t>2026-09-14T11:25:21Z</t>
        </is>
      </c>
      <c r="T420" t="inlineStr">
        <is>
          <t>NAO_SELECIONADA</t>
        </is>
      </c>
      <c r="U420" t="inlineStr">
        <is>
          <t>validada, mas fora do teto de 20 para FACEBOOK (secao 20): a plataforma nao permite prova direta de identidade a partir do datacenter</t>
        </is>
      </c>
      <c r="V420" t="inlineStr">
        <is>
          <t>T12;T7</t>
        </is>
      </c>
      <c r="W420" t="inlineStr">
        <is>
          <t>NAZIONALE</t>
        </is>
      </c>
      <c r="X420" t="inlineStr"/>
      <c r="Y420" t="inlineStr">
        <is>
          <t>PSR;sviluppo rurale;CAP</t>
        </is>
      </c>
      <c r="Z420" t="inlineStr">
        <is>
          <t>titulo da pagina: Facebook</t>
        </is>
      </c>
      <c r="AA420" t="inlineStr">
        <is>
          <t>site oficial do dono: https://www.reterurale.it/</t>
        </is>
      </c>
      <c r="AB420" t="inlineStr">
        <is>
          <t>nao sorteada</t>
        </is>
      </c>
      <c r="AC420" t="inlineStr">
        <is>
          <t>nao sorteada</t>
        </is>
      </c>
      <c r="AE420" t="inlineStr">
        <is>
          <t>PLATFORM_GENERIC_TITLE</t>
        </is>
      </c>
      <c r="AF420" t="inlineStr"/>
    </row>
    <row r="421">
      <c r="A421" t="inlineStr">
        <is>
          <t>IT-DISC-2026-09-14-0420</t>
        </is>
      </c>
      <c r="B421" t="inlineStr">
        <is>
          <t>Rete Rurale Nazionale — Instagram ufficiale</t>
        </is>
      </c>
      <c r="C421" t="inlineStr">
        <is>
          <t>INSTAGRAM</t>
        </is>
      </c>
      <c r="D421" t="inlineStr">
        <is>
          <t>ORG</t>
        </is>
      </c>
      <c r="E421" t="inlineStr">
        <is>
          <t>MASAF — Rete Rurale Nazionale</t>
        </is>
      </c>
      <c r="F421" t="inlineStr">
        <is>
          <t>https://www.instagram.com/retenazionalepac</t>
        </is>
      </c>
      <c r="G421" t="inlineStr">
        <is>
          <t>https://www.instagram.com/retenazionalepac</t>
        </is>
      </c>
      <c r="H421" t="inlineStr">
        <is>
          <t>https://www.instagram.com/accounts/login/?next=https%3A%2F%2Fwww.instagram.com%2Fretenazionalepac&amp;is_from_rle</t>
        </is>
      </c>
      <c r="I421" t="n">
        <v>429</v>
      </c>
      <c r="J421" t="inlineStr">
        <is>
          <t>text/html</t>
        </is>
      </c>
      <c r="K421" t="n">
        <v>1</v>
      </c>
      <c r="L421" t="b">
        <v>1</v>
      </c>
      <c r="M421" t="b">
        <v>1</v>
      </c>
      <c r="N421" t="inlineStr">
        <is>
          <t>PROVED_BY_OWNER_SITE</t>
        </is>
      </c>
      <c r="O421" t="inlineStr">
        <is>
          <t>SIM</t>
        </is>
      </c>
      <c r="P421" t="inlineStr">
        <is>
          <t>SIM — declarado por dono italiano no proprio site</t>
        </is>
      </c>
      <c r="Q421" t="inlineStr">
        <is>
          <t>https://www.reterurale.it/</t>
        </is>
      </c>
      <c r="R421" t="inlineStr">
        <is>
          <t>sonda HTTP read-only (GET limitado, payload nao preservado) + declaracao do perfil no site oficial do dono (rota publica, secao 10)</t>
        </is>
      </c>
      <c r="S421" t="inlineStr">
        <is>
          <t>2026-09-14T11:25:21Z</t>
        </is>
      </c>
      <c r="T421" t="inlineStr">
        <is>
          <t>NAO_SELECIONADA</t>
        </is>
      </c>
      <c r="U421" t="inlineStr">
        <is>
          <t>validada, mas fora do teto de 25 para INSTAGRAM (secao 20): a plataforma nao permite prova direta de identidade a partir do datacenter</t>
        </is>
      </c>
      <c r="V421" t="inlineStr">
        <is>
          <t>T12;T7</t>
        </is>
      </c>
      <c r="W421" t="inlineStr">
        <is>
          <t>NAZIONALE</t>
        </is>
      </c>
      <c r="X421" t="inlineStr"/>
      <c r="Y421" t="inlineStr">
        <is>
          <t>PSR;sviluppo rurale;CAP</t>
        </is>
      </c>
      <c r="Z421" t="inlineStr">
        <is>
          <t xml:space="preserve">titulo da pagina: </t>
        </is>
      </c>
      <c r="AA421" t="inlineStr">
        <is>
          <t>site oficial do dono: https://www.reterurale.it/</t>
        </is>
      </c>
      <c r="AB421" t="inlineStr">
        <is>
          <t>nao sorteada</t>
        </is>
      </c>
      <c r="AC421" t="inlineStr">
        <is>
          <t>nao sorteada</t>
        </is>
      </c>
      <c r="AE421" t="inlineStr">
        <is>
          <t>HTTP_429,THIN_BODY</t>
        </is>
      </c>
      <c r="AF421" t="inlineStr"/>
    </row>
    <row r="422">
      <c r="A422" t="inlineStr">
        <is>
          <t>IT-DISC-2026-09-14-0421</t>
        </is>
      </c>
      <c r="B422" t="inlineStr">
        <is>
          <t>CNR — Consiglio Nazionale delle Ricerche — Facebook ufficiale</t>
        </is>
      </c>
      <c r="C422" t="inlineStr">
        <is>
          <t>FACEBOOK</t>
        </is>
      </c>
      <c r="D422" t="inlineStr">
        <is>
          <t>ORG</t>
        </is>
      </c>
      <c r="E422" t="inlineStr">
        <is>
          <t>CNR</t>
        </is>
      </c>
      <c r="F422" t="inlineStr">
        <is>
          <t>https://www.facebook.com/CNRsocialFB</t>
        </is>
      </c>
      <c r="G422" t="inlineStr">
        <is>
          <t>https://www.facebook.com/CNRsocialFB</t>
        </is>
      </c>
      <c r="H422" t="inlineStr">
        <is>
          <t>https://www.facebook.com/login/?next=https%3A%2F%2Fwww.facebook.com%2FCNRsocialFB</t>
        </is>
      </c>
      <c r="I422" t="n">
        <v>200</v>
      </c>
      <c r="J422" t="inlineStr">
        <is>
          <t>text/html</t>
        </is>
      </c>
      <c r="K422" t="n">
        <v>1</v>
      </c>
      <c r="L422" t="b">
        <v>1</v>
      </c>
      <c r="M422" t="b">
        <v>1</v>
      </c>
      <c r="N422" t="inlineStr">
        <is>
          <t>PROVED_BY_OWNER_SITE</t>
        </is>
      </c>
      <c r="O422" t="inlineStr">
        <is>
          <t>SIM</t>
        </is>
      </c>
      <c r="P422" t="inlineStr">
        <is>
          <t>SIM — declarado por dono italiano no proprio site</t>
        </is>
      </c>
      <c r="Q422" t="inlineStr">
        <is>
          <t>https://www.cnr.it/</t>
        </is>
      </c>
      <c r="R422" t="inlineStr">
        <is>
          <t>sonda HTTP read-only (GET limitado, payload nao preservado) + declaracao do perfil no site oficial do dono (rota publica, secao 10)</t>
        </is>
      </c>
      <c r="S422" t="inlineStr">
        <is>
          <t>2026-09-14T11:25:22Z</t>
        </is>
      </c>
      <c r="T422" t="inlineStr">
        <is>
          <t>NAO_SELECIONADA</t>
        </is>
      </c>
      <c r="U422" t="inlineStr">
        <is>
          <t>validada, mas fora do teto de 20 para FACEBOOK (secao 20): a plataforma nao permite prova direta de identidade a partir do datacenter</t>
        </is>
      </c>
      <c r="V422" t="inlineStr">
        <is>
          <t>T5;T6</t>
        </is>
      </c>
      <c r="W422" t="inlineStr">
        <is>
          <t>NAZIONALE</t>
        </is>
      </c>
      <c r="X422" t="inlineStr"/>
      <c r="Y422" t="inlineStr">
        <is>
          <t>ricerca;istituti</t>
        </is>
      </c>
      <c r="Z422" t="inlineStr">
        <is>
          <t>titulo da pagina: Facebook</t>
        </is>
      </c>
      <c r="AA422" t="inlineStr">
        <is>
          <t>site oficial do dono: https://www.cnr.it/</t>
        </is>
      </c>
      <c r="AB422" t="inlineStr">
        <is>
          <t>nao sorteada</t>
        </is>
      </c>
      <c r="AC422" t="inlineStr">
        <is>
          <t>nao sorteada</t>
        </is>
      </c>
      <c r="AE422" t="inlineStr">
        <is>
          <t>PLATFORM_GENERIC_TITLE</t>
        </is>
      </c>
      <c r="AF422" t="inlineStr"/>
    </row>
    <row r="423">
      <c r="A423" t="inlineStr">
        <is>
          <t>IT-DISC-2026-09-14-0422</t>
        </is>
      </c>
      <c r="B423" t="inlineStr">
        <is>
          <t>CNR — Consiglio Nazionale delle Ricerche — Instagram ufficiale</t>
        </is>
      </c>
      <c r="C423" t="inlineStr">
        <is>
          <t>INSTAGRAM</t>
        </is>
      </c>
      <c r="D423" t="inlineStr">
        <is>
          <t>ORG</t>
        </is>
      </c>
      <c r="E423" t="inlineStr">
        <is>
          <t>CNR</t>
        </is>
      </c>
      <c r="F423" t="inlineStr">
        <is>
          <t>https://www.instagram.com/cnrsocial</t>
        </is>
      </c>
      <c r="G423" t="inlineStr">
        <is>
          <t>https://www.instagram.com/cnrsocial</t>
        </is>
      </c>
      <c r="H423" t="inlineStr">
        <is>
          <t>https://www.instagram.com/accounts/login/?next=https%3A%2F%2Fwww.instagram.com%2Fcnrsocial&amp;is_from_rle</t>
        </is>
      </c>
      <c r="I423" t="n">
        <v>429</v>
      </c>
      <c r="J423" t="inlineStr">
        <is>
          <t>text/html</t>
        </is>
      </c>
      <c r="K423" t="n">
        <v>1</v>
      </c>
      <c r="L423" t="b">
        <v>1</v>
      </c>
      <c r="M423" t="b">
        <v>1</v>
      </c>
      <c r="N423" t="inlineStr">
        <is>
          <t>PROVED_BY_OWNER_SITE</t>
        </is>
      </c>
      <c r="O423" t="inlineStr">
        <is>
          <t>SIM</t>
        </is>
      </c>
      <c r="P423" t="inlineStr">
        <is>
          <t>SIM — declarado por dono italiano no proprio site</t>
        </is>
      </c>
      <c r="Q423" t="inlineStr">
        <is>
          <t>https://www.cnr.it/</t>
        </is>
      </c>
      <c r="R423" t="inlineStr">
        <is>
          <t>sonda HTTP read-only (GET limitado, payload nao preservado) + declaracao do perfil no site oficial do dono (rota publica, secao 10)</t>
        </is>
      </c>
      <c r="S423" t="inlineStr">
        <is>
          <t>2026-09-14T11:25:22Z</t>
        </is>
      </c>
      <c r="T423" t="inlineStr">
        <is>
          <t>NAO_SELECIONADA</t>
        </is>
      </c>
      <c r="U423" t="inlineStr">
        <is>
          <t>validada, mas fora do teto de 25 para INSTAGRAM (secao 20): a plataforma nao permite prova direta de identidade a partir do datacenter</t>
        </is>
      </c>
      <c r="V423" t="inlineStr">
        <is>
          <t>T5;T6</t>
        </is>
      </c>
      <c r="W423" t="inlineStr">
        <is>
          <t>NAZIONALE</t>
        </is>
      </c>
      <c r="X423" t="inlineStr"/>
      <c r="Y423" t="inlineStr">
        <is>
          <t>ricerca;istituti</t>
        </is>
      </c>
      <c r="Z423" t="inlineStr">
        <is>
          <t xml:space="preserve">titulo da pagina: </t>
        </is>
      </c>
      <c r="AA423" t="inlineStr">
        <is>
          <t>site oficial do dono: https://www.cnr.it/</t>
        </is>
      </c>
      <c r="AB423" t="inlineStr">
        <is>
          <t>nao sorteada</t>
        </is>
      </c>
      <c r="AC423" t="inlineStr">
        <is>
          <t>nao sorteada</t>
        </is>
      </c>
      <c r="AE423" t="inlineStr">
        <is>
          <t>HTTP_429,THIN_BODY</t>
        </is>
      </c>
      <c r="AF423" t="inlineStr"/>
    </row>
    <row r="424">
      <c r="A424" t="inlineStr">
        <is>
          <t>IT-DISC-2026-09-14-0423</t>
        </is>
      </c>
      <c r="B424" t="inlineStr">
        <is>
          <t>Georgofili INFO — notiziario — Facebook ufficiale</t>
        </is>
      </c>
      <c r="C424" t="inlineStr">
        <is>
          <t>FACEBOOK</t>
        </is>
      </c>
      <c r="D424" t="inlineStr">
        <is>
          <t>ORG</t>
        </is>
      </c>
      <c r="E424" t="inlineStr">
        <is>
          <t>Accademia dei Georgofili</t>
        </is>
      </c>
      <c r="F424" t="inlineStr">
        <is>
          <t>https://www.facebook.com/georgofili</t>
        </is>
      </c>
      <c r="G424" t="inlineStr">
        <is>
          <t>https://www.facebook.com/georgofili</t>
        </is>
      </c>
      <c r="H424" t="inlineStr">
        <is>
          <t>https://www.facebook.com/login/?next=https%3A%2F%2Fwww.facebook.com%2Fgeorgofili</t>
        </is>
      </c>
      <c r="I424" t="n">
        <v>400</v>
      </c>
      <c r="J424" t="inlineStr">
        <is>
          <t>text/html</t>
        </is>
      </c>
      <c r="K424" t="n">
        <v>1</v>
      </c>
      <c r="L424" t="b">
        <v>1</v>
      </c>
      <c r="M424" t="b">
        <v>1</v>
      </c>
      <c r="N424" t="inlineStr">
        <is>
          <t>PROVED_BY_OWNER_SITE</t>
        </is>
      </c>
      <c r="O424" t="inlineStr">
        <is>
          <t>SIM</t>
        </is>
      </c>
      <c r="P424" t="inlineStr">
        <is>
          <t>SIM — declarado por dono italiano no proprio site</t>
        </is>
      </c>
      <c r="Q424" t="inlineStr">
        <is>
          <t>https://www.georgofili.info/</t>
        </is>
      </c>
      <c r="R424" t="inlineStr">
        <is>
          <t>sonda HTTP read-only (GET limitado, payload nao preservado) + declaracao do perfil no site oficial do dono (rota publica, secao 10)</t>
        </is>
      </c>
      <c r="S424" t="inlineStr">
        <is>
          <t>2026-09-14T11:25:23Z</t>
        </is>
      </c>
      <c r="T424" t="inlineStr">
        <is>
          <t>REJECT</t>
        </is>
      </c>
      <c r="U424" t="inlineStr">
        <is>
          <t>HTTP 200 com pagina de erro (soft-404)</t>
        </is>
      </c>
      <c r="V424" t="inlineStr">
        <is>
          <t>T5;T12;T11</t>
        </is>
      </c>
      <c r="W424" t="inlineStr">
        <is>
          <t>TOSCANA</t>
        </is>
      </c>
      <c r="X424" t="inlineStr"/>
      <c r="Y424" t="inlineStr">
        <is>
          <t>notiziario tecnico;divulgazione</t>
        </is>
      </c>
      <c r="Z424" t="inlineStr">
        <is>
          <t>titulo da pagina: Error</t>
        </is>
      </c>
      <c r="AA424" t="inlineStr">
        <is>
          <t>site oficial do dono: https://www.georgofili.info/</t>
        </is>
      </c>
      <c r="AB424" t="inlineStr">
        <is>
          <t>nao sorteada</t>
        </is>
      </c>
      <c r="AC424" t="inlineStr">
        <is>
          <t>nao sorteada</t>
        </is>
      </c>
      <c r="AE424" t="inlineStr">
        <is>
          <t>HTTP_400,SOFT_404</t>
        </is>
      </c>
      <c r="AF424" t="inlineStr"/>
    </row>
    <row r="425">
      <c r="A425" t="inlineStr">
        <is>
          <t>IT-DISC-2026-09-14-0424</t>
        </is>
      </c>
      <c r="B425" t="inlineStr">
        <is>
          <t>Georgofili INFO — notiziario — Instagram ufficiale</t>
        </is>
      </c>
      <c r="C425" t="inlineStr">
        <is>
          <t>INSTAGRAM</t>
        </is>
      </c>
      <c r="D425" t="inlineStr">
        <is>
          <t>ORG</t>
        </is>
      </c>
      <c r="E425" t="inlineStr">
        <is>
          <t>Accademia dei Georgofili</t>
        </is>
      </c>
      <c r="F425" t="inlineStr">
        <is>
          <t>https://www.instagram.com/georgofili</t>
        </is>
      </c>
      <c r="G425" t="inlineStr">
        <is>
          <t>https://www.instagram.com/georgofili</t>
        </is>
      </c>
      <c r="H425" t="inlineStr">
        <is>
          <t>https://www.instagram.com/accounts/login/?next=https%3A%2F%2Fwww.instagram.com%2Fgeorgofili&amp;is_from_rle</t>
        </is>
      </c>
      <c r="I425" t="n">
        <v>429</v>
      </c>
      <c r="J425" t="inlineStr">
        <is>
          <t>text/html</t>
        </is>
      </c>
      <c r="K425" t="n">
        <v>1</v>
      </c>
      <c r="L425" t="b">
        <v>1</v>
      </c>
      <c r="M425" t="b">
        <v>1</v>
      </c>
      <c r="N425" t="inlineStr">
        <is>
          <t>PROVED_BY_OWNER_SITE</t>
        </is>
      </c>
      <c r="O425" t="inlineStr">
        <is>
          <t>SIM</t>
        </is>
      </c>
      <c r="P425" t="inlineStr">
        <is>
          <t>SIM — declarado por dono italiano no proprio site</t>
        </is>
      </c>
      <c r="Q425" t="inlineStr">
        <is>
          <t>https://www.georgofili.info/</t>
        </is>
      </c>
      <c r="R425" t="inlineStr">
        <is>
          <t>sonda HTTP read-only (GET limitado, payload nao preservado) + declaracao do perfil no site oficial do dono (rota publica, secao 10)</t>
        </is>
      </c>
      <c r="S425" t="inlineStr">
        <is>
          <t>2026-09-14T11:25:23Z</t>
        </is>
      </c>
      <c r="T425" t="inlineStr">
        <is>
          <t>NAO_SELECIONADA</t>
        </is>
      </c>
      <c r="U425" t="inlineStr">
        <is>
          <t>validada, mas fora do teto de 25 para INSTAGRAM (secao 20): a plataforma nao permite prova direta de identidade a partir do datacenter</t>
        </is>
      </c>
      <c r="V425" t="inlineStr">
        <is>
          <t>T5;T12;T11</t>
        </is>
      </c>
      <c r="W425" t="inlineStr">
        <is>
          <t>TOSCANA</t>
        </is>
      </c>
      <c r="X425" t="inlineStr"/>
      <c r="Y425" t="inlineStr">
        <is>
          <t>notiziario tecnico;divulgazione</t>
        </is>
      </c>
      <c r="Z425" t="inlineStr">
        <is>
          <t xml:space="preserve">titulo da pagina: </t>
        </is>
      </c>
      <c r="AA425" t="inlineStr">
        <is>
          <t>site oficial do dono: https://www.georgofili.info/</t>
        </is>
      </c>
      <c r="AB425" t="inlineStr">
        <is>
          <t>nao sorteada</t>
        </is>
      </c>
      <c r="AC425" t="inlineStr">
        <is>
          <t>nao sorteada</t>
        </is>
      </c>
      <c r="AE425" t="inlineStr">
        <is>
          <t>HTTP_429,THIN_BODY</t>
        </is>
      </c>
      <c r="AF425" t="inlineStr"/>
    </row>
    <row r="426">
      <c r="A426" t="inlineStr">
        <is>
          <t>IT-DISC-2026-09-14-0425</t>
        </is>
      </c>
      <c r="B426" t="inlineStr">
        <is>
          <t>CONAF — Consiglio Ordine Nazionale Dottori Agronomi e Forestali — Facebook ufficiale</t>
        </is>
      </c>
      <c r="C426" t="inlineStr">
        <is>
          <t>FACEBOOK</t>
        </is>
      </c>
      <c r="D426" t="inlineStr">
        <is>
          <t>ORG</t>
        </is>
      </c>
      <c r="E426" t="inlineStr">
        <is>
          <t>CONAF</t>
        </is>
      </c>
      <c r="F426" t="inlineStr">
        <is>
          <t>https://www.facebook.com/2008/fbml</t>
        </is>
      </c>
      <c r="G426" t="inlineStr">
        <is>
          <t>https://www.facebook.com/2008/fbml</t>
        </is>
      </c>
      <c r="H426" t="inlineStr">
        <is>
          <t>https://www.facebook.com/2008/fbml</t>
        </is>
      </c>
      <c r="I426" t="n">
        <v>404</v>
      </c>
      <c r="J426" t="inlineStr">
        <is>
          <t>text/html</t>
        </is>
      </c>
      <c r="K426" t="n">
        <v>0</v>
      </c>
      <c r="L426" t="b">
        <v>1</v>
      </c>
      <c r="M426" t="b">
        <v>1</v>
      </c>
      <c r="N426" t="inlineStr">
        <is>
          <t>PROVED_BY_OWNER_SITE</t>
        </is>
      </c>
      <c r="O426" t="inlineStr">
        <is>
          <t>SIM</t>
        </is>
      </c>
      <c r="P426" t="inlineStr">
        <is>
          <t>SIM — declarado por dono italiano no proprio site</t>
        </is>
      </c>
      <c r="Q426" t="inlineStr">
        <is>
          <t>https://www.conaf.it/</t>
        </is>
      </c>
      <c r="R426" t="inlineStr">
        <is>
          <t>sonda HTTP read-only (GET limitado, payload nao preservado) + declaracao do perfil no site oficial do dono (rota publica, secao 10)</t>
        </is>
      </c>
      <c r="S426" t="inlineStr">
        <is>
          <t>2026-09-14T11:25:24Z</t>
        </is>
      </c>
      <c r="T426" t="inlineStr">
        <is>
          <t>REJECT</t>
        </is>
      </c>
      <c r="U426" t="inlineStr">
        <is>
          <t>HTTP 404</t>
        </is>
      </c>
      <c r="V426" t="inlineStr">
        <is>
          <t>T7;T12</t>
        </is>
      </c>
      <c r="W426" t="inlineStr">
        <is>
          <t>NAZIONALE</t>
        </is>
      </c>
      <c r="X426" t="inlineStr"/>
      <c r="Y426" t="inlineStr">
        <is>
          <t>agronomi;ordine professionale</t>
        </is>
      </c>
      <c r="Z426" t="inlineStr">
        <is>
          <t xml:space="preserve">titulo da pagina: </t>
        </is>
      </c>
      <c r="AA426" t="inlineStr">
        <is>
          <t>site oficial do dono: https://www.conaf.it/</t>
        </is>
      </c>
      <c r="AB426" t="inlineStr">
        <is>
          <t>nao sorteada</t>
        </is>
      </c>
      <c r="AC426" t="inlineStr">
        <is>
          <t>nao sorteada</t>
        </is>
      </c>
      <c r="AE426" t="inlineStr">
        <is>
          <t>HTTP_404,THIN_BODY</t>
        </is>
      </c>
      <c r="AF426" t="inlineStr"/>
    </row>
    <row r="427">
      <c r="A427" t="inlineStr">
        <is>
          <t>IT-DISC-2026-09-14-0426</t>
        </is>
      </c>
      <c r="B427" t="inlineStr">
        <is>
          <t>CONAF — Consiglio Ordine Nazionale Dottori Agronomi e Forestali — Instagram ufficiale</t>
        </is>
      </c>
      <c r="C427" t="inlineStr">
        <is>
          <t>INSTAGRAM</t>
        </is>
      </c>
      <c r="D427" t="inlineStr">
        <is>
          <t>ORG</t>
        </is>
      </c>
      <c r="E427" t="inlineStr">
        <is>
          <t>CONAF</t>
        </is>
      </c>
      <c r="F427" t="inlineStr">
        <is>
          <t>https://www.instagram.com/ordine_agronomi_e_forestali</t>
        </is>
      </c>
      <c r="G427" t="inlineStr">
        <is>
          <t>https://www.instagram.com/ordine_agronomi_e_forestali</t>
        </is>
      </c>
      <c r="H427" t="inlineStr">
        <is>
          <t>https://www.instagram.com/accounts/login/?next=https%3A%2F%2Fwww.instagram.com%2Fordine_agronomi_e_forestali&amp;is_from_rle</t>
        </is>
      </c>
      <c r="I427" t="n">
        <v>429</v>
      </c>
      <c r="J427" t="inlineStr">
        <is>
          <t>text/html</t>
        </is>
      </c>
      <c r="K427" t="n">
        <v>1</v>
      </c>
      <c r="L427" t="b">
        <v>1</v>
      </c>
      <c r="M427" t="b">
        <v>1</v>
      </c>
      <c r="N427" t="inlineStr">
        <is>
          <t>PROVED_BY_OWNER_SITE</t>
        </is>
      </c>
      <c r="O427" t="inlineStr">
        <is>
          <t>SIM</t>
        </is>
      </c>
      <c r="P427" t="inlineStr">
        <is>
          <t>SIM — declarado por dono italiano no proprio site</t>
        </is>
      </c>
      <c r="Q427" t="inlineStr">
        <is>
          <t>https://www.conaf.it/</t>
        </is>
      </c>
      <c r="R427" t="inlineStr">
        <is>
          <t>sonda HTTP read-only (GET limitado, payload nao preservado) + declaracao do perfil no site oficial do dono (rota publica, secao 10)</t>
        </is>
      </c>
      <c r="S427" t="inlineStr">
        <is>
          <t>2026-09-14T11:25:24Z</t>
        </is>
      </c>
      <c r="T427" t="inlineStr">
        <is>
          <t>NAO_SELECIONADA</t>
        </is>
      </c>
      <c r="U427" t="inlineStr">
        <is>
          <t>validada, mas fora do teto de 25 para INSTAGRAM (secao 20): a plataforma nao permite prova direta de identidade a partir do datacenter</t>
        </is>
      </c>
      <c r="V427" t="inlineStr">
        <is>
          <t>T7;T12</t>
        </is>
      </c>
      <c r="W427" t="inlineStr">
        <is>
          <t>NAZIONALE</t>
        </is>
      </c>
      <c r="X427" t="inlineStr"/>
      <c r="Y427" t="inlineStr">
        <is>
          <t>agronomi;ordine professionale</t>
        </is>
      </c>
      <c r="Z427" t="inlineStr">
        <is>
          <t xml:space="preserve">titulo da pagina: </t>
        </is>
      </c>
      <c r="AA427" t="inlineStr">
        <is>
          <t>site oficial do dono: https://www.conaf.it/</t>
        </is>
      </c>
      <c r="AB427" t="inlineStr">
        <is>
          <t>nao sorteada</t>
        </is>
      </c>
      <c r="AC427" t="inlineStr">
        <is>
          <t>nao sorteada</t>
        </is>
      </c>
      <c r="AE427" t="inlineStr">
        <is>
          <t>HTTP_429,THIN_BODY</t>
        </is>
      </c>
      <c r="AF427" t="inlineStr"/>
    </row>
    <row r="428">
      <c r="A428" t="inlineStr">
        <is>
          <t>IT-DISC-2026-09-14-0427</t>
        </is>
      </c>
      <c r="B428" t="inlineStr">
        <is>
          <t>SIPaV — Societa Italiana di Patologia Vegetale — Facebook ufficiale</t>
        </is>
      </c>
      <c r="C428" t="inlineStr">
        <is>
          <t>FACEBOOK</t>
        </is>
      </c>
      <c r="D428" t="inlineStr">
        <is>
          <t>ORG</t>
        </is>
      </c>
      <c r="E428" t="inlineStr">
        <is>
          <t>SIPaV</t>
        </is>
      </c>
      <c r="F428" t="inlineStr">
        <is>
          <t>https://www.facebook.com/SIPaV92</t>
        </is>
      </c>
      <c r="G428" t="inlineStr">
        <is>
          <t>https://www.facebook.com/SIPaV92</t>
        </is>
      </c>
      <c r="H428" t="inlineStr">
        <is>
          <t>https://www.facebook.com/login/?next=https%3A%2F%2Fwww.facebook.com%2FSIPaV92</t>
        </is>
      </c>
      <c r="I428" t="n">
        <v>200</v>
      </c>
      <c r="J428" t="inlineStr">
        <is>
          <t>text/html</t>
        </is>
      </c>
      <c r="K428" t="n">
        <v>1</v>
      </c>
      <c r="L428" t="b">
        <v>1</v>
      </c>
      <c r="M428" t="b">
        <v>1</v>
      </c>
      <c r="N428" t="inlineStr">
        <is>
          <t>PROVED_BY_OWNER_SITE</t>
        </is>
      </c>
      <c r="O428" t="inlineStr">
        <is>
          <t>SIM</t>
        </is>
      </c>
      <c r="P428" t="inlineStr">
        <is>
          <t>SIM — declarado por dono italiano no proprio site</t>
        </is>
      </c>
      <c r="Q428" t="inlineStr">
        <is>
          <t>https://www.sipav.org/</t>
        </is>
      </c>
      <c r="R428" t="inlineStr">
        <is>
          <t>sonda HTTP read-only (GET limitado, payload nao preservado) + declaracao do perfil no site oficial do dono (rota publica, secao 10)</t>
        </is>
      </c>
      <c r="S428" t="inlineStr">
        <is>
          <t>2026-09-14T11:25:24Z</t>
        </is>
      </c>
      <c r="T428" t="inlineStr">
        <is>
          <t>NAO_SELECIONADA</t>
        </is>
      </c>
      <c r="U428" t="inlineStr">
        <is>
          <t>validada, mas fora do teto de 20 para FACEBOOK (secao 20): a plataforma nao permite prova direta de identidade a partir do datacenter</t>
        </is>
      </c>
      <c r="V428" t="inlineStr">
        <is>
          <t>T3;T5;T6</t>
        </is>
      </c>
      <c r="W428" t="inlineStr">
        <is>
          <t>NAZIONALE</t>
        </is>
      </c>
      <c r="X428" t="inlineStr"/>
      <c r="Y428" t="inlineStr">
        <is>
          <t>patologia vegetale;congresso</t>
        </is>
      </c>
      <c r="Z428" t="inlineStr">
        <is>
          <t>titulo da pagina: Facebook</t>
        </is>
      </c>
      <c r="AA428" t="inlineStr">
        <is>
          <t>site oficial do dono: https://www.sipav.org/</t>
        </is>
      </c>
      <c r="AB428" t="inlineStr">
        <is>
          <t>nao sorteada</t>
        </is>
      </c>
      <c r="AC428" t="inlineStr">
        <is>
          <t>nao sorteada</t>
        </is>
      </c>
      <c r="AE428" t="inlineStr">
        <is>
          <t>PLATFORM_GENERIC_TITLE</t>
        </is>
      </c>
      <c r="AF428" t="inlineStr"/>
    </row>
    <row r="429">
      <c r="A429" t="inlineStr">
        <is>
          <t>IT-DISC-2026-09-14-0428</t>
        </is>
      </c>
      <c r="B429" t="inlineStr">
        <is>
          <t>SIA — Societa Italiana di Agronomia — Facebook ufficiale</t>
        </is>
      </c>
      <c r="C429" t="inlineStr">
        <is>
          <t>FACEBOOK</t>
        </is>
      </c>
      <c r="D429" t="inlineStr">
        <is>
          <t>ORG</t>
        </is>
      </c>
      <c r="E429" t="inlineStr">
        <is>
          <t>Societa Italiana di Agronomia</t>
        </is>
      </c>
      <c r="F429" t="inlineStr">
        <is>
          <t>https://www.facebook.com/siagr.org</t>
        </is>
      </c>
      <c r="G429" t="inlineStr">
        <is>
          <t>https://www.facebook.com/siagr.org</t>
        </is>
      </c>
      <c r="H429" t="inlineStr">
        <is>
          <t>https://www.facebook.com/login/?next=https%3A%2F%2Fwww.facebook.com%2Fsiagr.org</t>
        </is>
      </c>
      <c r="I429" t="n">
        <v>200</v>
      </c>
      <c r="J429" t="inlineStr">
        <is>
          <t>text/html</t>
        </is>
      </c>
      <c r="K429" t="n">
        <v>1</v>
      </c>
      <c r="L429" t="b">
        <v>1</v>
      </c>
      <c r="M429" t="b">
        <v>1</v>
      </c>
      <c r="N429" t="inlineStr">
        <is>
          <t>PROVED_BY_OWNER_SITE</t>
        </is>
      </c>
      <c r="O429" t="inlineStr">
        <is>
          <t>SIM</t>
        </is>
      </c>
      <c r="P429" t="inlineStr">
        <is>
          <t>SIM — declarado por dono italiano no proprio site</t>
        </is>
      </c>
      <c r="Q429" t="inlineStr">
        <is>
          <t>https://www.siagr.it/</t>
        </is>
      </c>
      <c r="R429" t="inlineStr">
        <is>
          <t>sonda HTTP read-only (GET limitado, payload nao preservado) + declaracao do perfil no site oficial do dono (rota publica, secao 10)</t>
        </is>
      </c>
      <c r="S429" t="inlineStr">
        <is>
          <t>2026-09-14T11:25:24Z</t>
        </is>
      </c>
      <c r="T429" t="inlineStr">
        <is>
          <t>NAO_SELECIONADA</t>
        </is>
      </c>
      <c r="U429" t="inlineStr">
        <is>
          <t>validada, mas fora do teto de 20 para FACEBOOK (secao 20): a plataforma nao permite prova direta de identidade a partir do datacenter</t>
        </is>
      </c>
      <c r="V429" t="inlineStr">
        <is>
          <t>T1;T5</t>
        </is>
      </c>
      <c r="W429" t="inlineStr">
        <is>
          <t>NAZIONALE</t>
        </is>
      </c>
      <c r="X429" t="inlineStr"/>
      <c r="Y429" t="inlineStr">
        <is>
          <t>agronomia;congresso</t>
        </is>
      </c>
      <c r="Z429" t="inlineStr">
        <is>
          <t>titulo da pagina: Facebook</t>
        </is>
      </c>
      <c r="AA429" t="inlineStr">
        <is>
          <t>site oficial do dono: https://www.siagr.it/</t>
        </is>
      </c>
      <c r="AB429" t="inlineStr">
        <is>
          <t>nao sorteada</t>
        </is>
      </c>
      <c r="AC429" t="inlineStr">
        <is>
          <t>nao sorteada</t>
        </is>
      </c>
      <c r="AE429" t="inlineStr">
        <is>
          <t>PLATFORM_GENERIC_TITLE</t>
        </is>
      </c>
      <c r="AF429" t="inlineStr"/>
    </row>
    <row r="430">
      <c r="A430" t="inlineStr">
        <is>
          <t>IT-DISC-2026-09-14-0429</t>
        </is>
      </c>
      <c r="B430" t="inlineStr">
        <is>
          <t>SIA — Societa Italiana di Agronomia — Instagram ufficiale</t>
        </is>
      </c>
      <c r="C430" t="inlineStr">
        <is>
          <t>INSTAGRAM</t>
        </is>
      </c>
      <c r="D430" t="inlineStr">
        <is>
          <t>ORG</t>
        </is>
      </c>
      <c r="E430" t="inlineStr">
        <is>
          <t>Societa Italiana di Agronomia</t>
        </is>
      </c>
      <c r="F430" t="inlineStr">
        <is>
          <t>https://www.instagram.com/siagr.it</t>
        </is>
      </c>
      <c r="G430" t="inlineStr">
        <is>
          <t>https://www.instagram.com/siagr.it</t>
        </is>
      </c>
      <c r="H430" t="inlineStr">
        <is>
          <t>https://www.instagram.com/accounts/login/?next=https%3A%2F%2Fwww.instagram.com%2Fsiagr.it&amp;is_from_rle</t>
        </is>
      </c>
      <c r="I430" t="n">
        <v>429</v>
      </c>
      <c r="J430" t="inlineStr">
        <is>
          <t>text/html</t>
        </is>
      </c>
      <c r="K430" t="n">
        <v>1</v>
      </c>
      <c r="L430" t="b">
        <v>1</v>
      </c>
      <c r="M430" t="b">
        <v>1</v>
      </c>
      <c r="N430" t="inlineStr">
        <is>
          <t>PROVED_BY_OWNER_SITE</t>
        </is>
      </c>
      <c r="O430" t="inlineStr">
        <is>
          <t>SIM</t>
        </is>
      </c>
      <c r="P430" t="inlineStr">
        <is>
          <t>SIM — declarado por dono italiano no proprio site</t>
        </is>
      </c>
      <c r="Q430" t="inlineStr">
        <is>
          <t>https://www.siagr.it/</t>
        </is>
      </c>
      <c r="R430" t="inlineStr">
        <is>
          <t>sonda HTTP read-only (GET limitado, payload nao preservado) + declaracao do perfil no site oficial do dono (rota publica, secao 10)</t>
        </is>
      </c>
      <c r="S430" t="inlineStr">
        <is>
          <t>2026-09-14T11:25:24Z</t>
        </is>
      </c>
      <c r="T430" t="inlineStr">
        <is>
          <t>NAO_SELECIONADA</t>
        </is>
      </c>
      <c r="U430" t="inlineStr">
        <is>
          <t>validada, mas fora do teto de 25 para INSTAGRAM (secao 20): a plataforma nao permite prova direta de identidade a partir do datacenter</t>
        </is>
      </c>
      <c r="V430" t="inlineStr">
        <is>
          <t>T1;T5</t>
        </is>
      </c>
      <c r="W430" t="inlineStr">
        <is>
          <t>NAZIONALE</t>
        </is>
      </c>
      <c r="X430" t="inlineStr"/>
      <c r="Y430" t="inlineStr">
        <is>
          <t>agronomia;congresso</t>
        </is>
      </c>
      <c r="Z430" t="inlineStr">
        <is>
          <t xml:space="preserve">titulo da pagina: </t>
        </is>
      </c>
      <c r="AA430" t="inlineStr">
        <is>
          <t>site oficial do dono: https://www.siagr.it/</t>
        </is>
      </c>
      <c r="AB430" t="inlineStr">
        <is>
          <t>nao sorteada</t>
        </is>
      </c>
      <c r="AC430" t="inlineStr">
        <is>
          <t>nao sorteada</t>
        </is>
      </c>
      <c r="AE430" t="inlineStr">
        <is>
          <t>HTTP_429,THIN_BODY</t>
        </is>
      </c>
      <c r="AF430" t="inlineStr"/>
    </row>
    <row r="431">
      <c r="A431" t="inlineStr">
        <is>
          <t>IT-DISC-2026-09-14-0430</t>
        </is>
      </c>
      <c r="B431" t="inlineStr">
        <is>
          <t>SOI — Societa di Ortoflorofrutticoltura Italiana — Facebook ufficiale</t>
        </is>
      </c>
      <c r="C431" t="inlineStr">
        <is>
          <t>FACEBOOK</t>
        </is>
      </c>
      <c r="D431" t="inlineStr">
        <is>
          <t>ORG</t>
        </is>
      </c>
      <c r="E431" t="inlineStr">
        <is>
          <t>SOI</t>
        </is>
      </c>
      <c r="F431" t="inlineStr">
        <is>
          <t>https://www.facebook.com/soihs</t>
        </is>
      </c>
      <c r="G431" t="inlineStr">
        <is>
          <t>https://www.facebook.com/soihs</t>
        </is>
      </c>
      <c r="H431" t="inlineStr">
        <is>
          <t>https://www.facebook.com/login/?next=https%3A%2F%2Fwww.facebook.com%2Fsoihs</t>
        </is>
      </c>
      <c r="I431" t="n">
        <v>200</v>
      </c>
      <c r="J431" t="inlineStr">
        <is>
          <t>text/html</t>
        </is>
      </c>
      <c r="K431" t="n">
        <v>1</v>
      </c>
      <c r="L431" t="b">
        <v>1</v>
      </c>
      <c r="M431" t="b">
        <v>1</v>
      </c>
      <c r="N431" t="inlineStr">
        <is>
          <t>PROVED_BY_OWNER_SITE</t>
        </is>
      </c>
      <c r="O431" t="inlineStr">
        <is>
          <t>SIM</t>
        </is>
      </c>
      <c r="P431" t="inlineStr">
        <is>
          <t>SIM — declarado por dono italiano no proprio site</t>
        </is>
      </c>
      <c r="Q431" t="inlineStr">
        <is>
          <t>https://www.soihs.it/</t>
        </is>
      </c>
      <c r="R431" t="inlineStr">
        <is>
          <t>sonda HTTP read-only (GET limitado, payload nao preservado) + declaracao do perfil no site oficial do dono (rota publica, secao 10)</t>
        </is>
      </c>
      <c r="S431" t="inlineStr">
        <is>
          <t>2026-09-14T11:25:24Z</t>
        </is>
      </c>
      <c r="T431" t="inlineStr">
        <is>
          <t>NAO_SELECIONADA</t>
        </is>
      </c>
      <c r="U431" t="inlineStr">
        <is>
          <t>validada, mas fora do teto de 20 para FACEBOOK (secao 20): a plataforma nao permite prova direta de identidade a partir do datacenter</t>
        </is>
      </c>
      <c r="V431" t="inlineStr">
        <is>
          <t>T1;T5;T11</t>
        </is>
      </c>
      <c r="W431" t="inlineStr">
        <is>
          <t>NAZIONALE</t>
        </is>
      </c>
      <c r="X431" t="inlineStr">
        <is>
          <t>ortofrutta</t>
        </is>
      </c>
      <c r="Y431" t="inlineStr">
        <is>
          <t>ortofrutta;floricoltura;congressi</t>
        </is>
      </c>
      <c r="Z431" t="inlineStr">
        <is>
          <t>titulo da pagina: Facebook</t>
        </is>
      </c>
      <c r="AA431" t="inlineStr">
        <is>
          <t>site oficial do dono: https://www.soihs.it/</t>
        </is>
      </c>
      <c r="AB431" t="inlineStr">
        <is>
          <t>nao sorteada</t>
        </is>
      </c>
      <c r="AC431" t="inlineStr">
        <is>
          <t>nao sorteada</t>
        </is>
      </c>
      <c r="AE431" t="inlineStr">
        <is>
          <t>PLATFORM_GENERIC_TITLE</t>
        </is>
      </c>
      <c r="AF431" t="inlineStr"/>
    </row>
    <row r="432">
      <c r="A432" t="inlineStr">
        <is>
          <t>IT-DISC-2026-09-14-0431</t>
        </is>
      </c>
      <c r="B432" t="inlineStr">
        <is>
          <t>Societa Entomologica Italiana — Facebook ufficiale</t>
        </is>
      </c>
      <c r="C432" t="inlineStr">
        <is>
          <t>FACEBOOK</t>
        </is>
      </c>
      <c r="D432" t="inlineStr">
        <is>
          <t>ORG</t>
        </is>
      </c>
      <c r="E432" t="inlineStr">
        <is>
          <t>SEI</t>
        </is>
      </c>
      <c r="F432" t="inlineStr">
        <is>
          <t>https://www.facebook.com/SocEntoIta</t>
        </is>
      </c>
      <c r="G432" t="inlineStr">
        <is>
          <t>https://www.facebook.com/SocEntoIta</t>
        </is>
      </c>
      <c r="H432" t="inlineStr">
        <is>
          <t>https://www.facebook.com/login/?next=https%3A%2F%2Fwww.facebook.com%2FSocEntoIta</t>
        </is>
      </c>
      <c r="I432" t="n">
        <v>200</v>
      </c>
      <c r="J432" t="inlineStr">
        <is>
          <t>text/html</t>
        </is>
      </c>
      <c r="K432" t="n">
        <v>1</v>
      </c>
      <c r="L432" t="b">
        <v>1</v>
      </c>
      <c r="M432" t="b">
        <v>1</v>
      </c>
      <c r="N432" t="inlineStr">
        <is>
          <t>PROVED_BY_OWNER_SITE</t>
        </is>
      </c>
      <c r="O432" t="inlineStr">
        <is>
          <t>SIM</t>
        </is>
      </c>
      <c r="P432" t="inlineStr">
        <is>
          <t>SIM — declarado por dono italiano no proprio site</t>
        </is>
      </c>
      <c r="Q432" t="inlineStr">
        <is>
          <t>https://www.societaentomologicaitaliana.it/</t>
        </is>
      </c>
      <c r="R432" t="inlineStr">
        <is>
          <t>sonda HTTP read-only (GET limitado, payload nao preservado) + declaracao do perfil no site oficial do dono (rota publica, secao 10)</t>
        </is>
      </c>
      <c r="S432" t="inlineStr">
        <is>
          <t>2026-09-14T11:25:24Z</t>
        </is>
      </c>
      <c r="T432" t="inlineStr">
        <is>
          <t>NAO_SELECIONADA</t>
        </is>
      </c>
      <c r="U432" t="inlineStr">
        <is>
          <t>validada, mas fora do teto de 20 para FACEBOOK (secao 20): a plataforma nao permite prova direta de identidade a partir do datacenter</t>
        </is>
      </c>
      <c r="V432" t="inlineStr">
        <is>
          <t>T3;T5</t>
        </is>
      </c>
      <c r="W432" t="inlineStr">
        <is>
          <t>NAZIONALE</t>
        </is>
      </c>
      <c r="X432" t="inlineStr"/>
      <c r="Y432" t="inlineStr">
        <is>
          <t>entomologia;insetti</t>
        </is>
      </c>
      <c r="Z432" t="inlineStr">
        <is>
          <t>titulo da pagina: Facebook</t>
        </is>
      </c>
      <c r="AA432" t="inlineStr">
        <is>
          <t>site oficial do dono: https://www.societaentomologicaitaliana.it/</t>
        </is>
      </c>
      <c r="AB432" t="inlineStr">
        <is>
          <t>nao sorteada</t>
        </is>
      </c>
      <c r="AC432" t="inlineStr">
        <is>
          <t>nao sorteada</t>
        </is>
      </c>
      <c r="AE432" t="inlineStr">
        <is>
          <t>PLATFORM_GENERIC_TITLE</t>
        </is>
      </c>
      <c r="AF432" t="inlineStr"/>
    </row>
    <row r="433">
      <c r="A433" t="inlineStr">
        <is>
          <t>IT-DISC-2026-09-14-0432</t>
        </is>
      </c>
      <c r="B433" t="inlineStr">
        <is>
          <t>Coldiretti — Facebook ufficiale</t>
        </is>
      </c>
      <c r="C433" t="inlineStr">
        <is>
          <t>FACEBOOK</t>
        </is>
      </c>
      <c r="D433" t="inlineStr">
        <is>
          <t>ORG</t>
        </is>
      </c>
      <c r="E433" t="inlineStr">
        <is>
          <t>Coldiretti</t>
        </is>
      </c>
      <c r="F433" t="inlineStr">
        <is>
          <t>https://www.facebook.com/ColdirettiOfficial</t>
        </is>
      </c>
      <c r="G433" t="inlineStr">
        <is>
          <t>https://www.facebook.com/ColdirettiOfficial</t>
        </is>
      </c>
      <c r="H433" t="inlineStr">
        <is>
          <t>https://www.facebook.com/login/?next=https%3A%2F%2Fwww.facebook.com%2FColdirettiOfficial</t>
        </is>
      </c>
      <c r="I433" t="n">
        <v>200</v>
      </c>
      <c r="J433" t="inlineStr">
        <is>
          <t>text/html</t>
        </is>
      </c>
      <c r="K433" t="n">
        <v>1</v>
      </c>
      <c r="L433" t="b">
        <v>1</v>
      </c>
      <c r="M433" t="b">
        <v>1</v>
      </c>
      <c r="N433" t="inlineStr">
        <is>
          <t>PROVED_BY_OWNER_SITE</t>
        </is>
      </c>
      <c r="O433" t="inlineStr">
        <is>
          <t>SIM</t>
        </is>
      </c>
      <c r="P433" t="inlineStr">
        <is>
          <t>SIM — declarado por dono italiano no proprio site</t>
        </is>
      </c>
      <c r="Q433" t="inlineStr">
        <is>
          <t>https://www.coldiretti.it/</t>
        </is>
      </c>
      <c r="R433" t="inlineStr">
        <is>
          <t>sonda HTTP read-only (GET limitado, payload nao preservado) + declaracao do perfil no site oficial do dono (rota publica, secao 10)</t>
        </is>
      </c>
      <c r="S433" t="inlineStr">
        <is>
          <t>2026-09-14T11:25:25Z</t>
        </is>
      </c>
      <c r="T433" t="inlineStr">
        <is>
          <t>NAO_SELECIONADA</t>
        </is>
      </c>
      <c r="U433" t="inlineStr">
        <is>
          <t>validada, mas fora do teto de 20 para FACEBOOK (secao 20): a plataforma nao permite prova direta de identidade a partir do datacenter</t>
        </is>
      </c>
      <c r="V433" t="inlineStr">
        <is>
          <t>T12;T7;T10</t>
        </is>
      </c>
      <c r="W433" t="inlineStr">
        <is>
          <t>NAZIONALE</t>
        </is>
      </c>
      <c r="X433" t="inlineStr"/>
      <c r="Y433" t="inlineStr">
        <is>
          <t>organizzazione agricola;policy</t>
        </is>
      </c>
      <c r="Z433" t="inlineStr">
        <is>
          <t>titulo da pagina: Facebook</t>
        </is>
      </c>
      <c r="AA433" t="inlineStr">
        <is>
          <t>site oficial do dono: https://www.coldiretti.it/</t>
        </is>
      </c>
      <c r="AB433" t="inlineStr">
        <is>
          <t>nao sorteada</t>
        </is>
      </c>
      <c r="AC433" t="inlineStr">
        <is>
          <t>nao sorteada</t>
        </is>
      </c>
      <c r="AE433" t="inlineStr">
        <is>
          <t>PLATFORM_GENERIC_TITLE</t>
        </is>
      </c>
      <c r="AF433" t="inlineStr"/>
    </row>
    <row r="434">
      <c r="A434" t="inlineStr">
        <is>
          <t>IT-DISC-2026-09-14-0433</t>
        </is>
      </c>
      <c r="B434" t="inlineStr">
        <is>
          <t>Coldiretti — Instagram ufficiale</t>
        </is>
      </c>
      <c r="C434" t="inlineStr">
        <is>
          <t>INSTAGRAM</t>
        </is>
      </c>
      <c r="D434" t="inlineStr">
        <is>
          <t>ORG</t>
        </is>
      </c>
      <c r="E434" t="inlineStr">
        <is>
          <t>Coldiretti</t>
        </is>
      </c>
      <c r="F434" t="inlineStr">
        <is>
          <t>https://www.instagram.com/coldiretti</t>
        </is>
      </c>
      <c r="G434" t="inlineStr">
        <is>
          <t>https://www.instagram.com/coldiretti</t>
        </is>
      </c>
      <c r="H434" t="inlineStr">
        <is>
          <t>https://www.instagram.com/accounts/login/?next=https%3A%2F%2Fwww.instagram.com%2Fcoldiretti&amp;is_from_rle</t>
        </is>
      </c>
      <c r="I434" t="n">
        <v>429</v>
      </c>
      <c r="J434" t="inlineStr">
        <is>
          <t>text/html</t>
        </is>
      </c>
      <c r="K434" t="n">
        <v>1</v>
      </c>
      <c r="L434" t="b">
        <v>1</v>
      </c>
      <c r="M434" t="b">
        <v>1</v>
      </c>
      <c r="N434" t="inlineStr">
        <is>
          <t>PROVED_BY_OWNER_SITE</t>
        </is>
      </c>
      <c r="O434" t="inlineStr">
        <is>
          <t>SIM</t>
        </is>
      </c>
      <c r="P434" t="inlineStr">
        <is>
          <t>SIM — declarado por dono italiano no proprio site</t>
        </is>
      </c>
      <c r="Q434" t="inlineStr">
        <is>
          <t>https://www.coldiretti.it/</t>
        </is>
      </c>
      <c r="R434" t="inlineStr">
        <is>
          <t>sonda HTTP read-only (GET limitado, payload nao preservado) + declaracao do perfil no site oficial do dono (rota publica, secao 10)</t>
        </is>
      </c>
      <c r="S434" t="inlineStr">
        <is>
          <t>2026-09-14T11:25:44Z</t>
        </is>
      </c>
      <c r="T434" t="inlineStr">
        <is>
          <t>NAO_SELECIONADA</t>
        </is>
      </c>
      <c r="U434" t="inlineStr">
        <is>
          <t>validada, mas fora do teto de 25 para INSTAGRAM (secao 20): a plataforma nao permite prova direta de identidade a partir do datacenter</t>
        </is>
      </c>
      <c r="V434" t="inlineStr">
        <is>
          <t>T12;T7;T10</t>
        </is>
      </c>
      <c r="W434" t="inlineStr">
        <is>
          <t>NAZIONALE</t>
        </is>
      </c>
      <c r="X434" t="inlineStr"/>
      <c r="Y434" t="inlineStr">
        <is>
          <t>organizzazione agricola;policy</t>
        </is>
      </c>
      <c r="Z434" t="inlineStr">
        <is>
          <t xml:space="preserve">titulo da pagina: </t>
        </is>
      </c>
      <c r="AA434" t="inlineStr">
        <is>
          <t>site oficial do dono: https://www.coldiretti.it/</t>
        </is>
      </c>
      <c r="AB434" t="inlineStr">
        <is>
          <t>nao sorteada</t>
        </is>
      </c>
      <c r="AC434" t="inlineStr">
        <is>
          <t>nao sorteada</t>
        </is>
      </c>
      <c r="AE434" t="inlineStr">
        <is>
          <t>HTTP_429,THIN_BODY</t>
        </is>
      </c>
      <c r="AF434" t="inlineStr"/>
    </row>
    <row r="435">
      <c r="A435" t="inlineStr">
        <is>
          <t>IT-DISC-2026-09-14-0434</t>
        </is>
      </c>
      <c r="B435" t="inlineStr">
        <is>
          <t>CIA — Agricoltori Italiani — Facebook ufficiale</t>
        </is>
      </c>
      <c r="C435" t="inlineStr">
        <is>
          <t>FACEBOOK</t>
        </is>
      </c>
      <c r="D435" t="inlineStr">
        <is>
          <t>ORG</t>
        </is>
      </c>
      <c r="E435" t="inlineStr">
        <is>
          <t>CIA</t>
        </is>
      </c>
      <c r="F435" t="inlineStr">
        <is>
          <t>https://www.facebook.com/CiaLaspesaincampagna</t>
        </is>
      </c>
      <c r="G435" t="inlineStr">
        <is>
          <t>https://www.facebook.com/CiaLaspesaincampagna</t>
        </is>
      </c>
      <c r="H435" t="inlineStr">
        <is>
          <t>https://www.facebook.com/login/?next=https%3A%2F%2Fwww.facebook.com%2FCiaLaspesaincampagna</t>
        </is>
      </c>
      <c r="I435" t="n">
        <v>200</v>
      </c>
      <c r="J435" t="inlineStr">
        <is>
          <t>text/html</t>
        </is>
      </c>
      <c r="K435" t="n">
        <v>1</v>
      </c>
      <c r="L435" t="b">
        <v>1</v>
      </c>
      <c r="M435" t="b">
        <v>1</v>
      </c>
      <c r="N435" t="inlineStr">
        <is>
          <t>PROVED_BY_OWNER_SITE</t>
        </is>
      </c>
      <c r="O435" t="inlineStr">
        <is>
          <t>SIM</t>
        </is>
      </c>
      <c r="P435" t="inlineStr">
        <is>
          <t>SIM — declarado por dono italiano no proprio site</t>
        </is>
      </c>
      <c r="Q435" t="inlineStr">
        <is>
          <t>https://www.cia.it/</t>
        </is>
      </c>
      <c r="R435" t="inlineStr">
        <is>
          <t>sonda HTTP read-only (GET limitado, payload nao preservado) + declaracao do perfil no site oficial do dono (rota publica, secao 10)</t>
        </is>
      </c>
      <c r="S435" t="inlineStr">
        <is>
          <t>2026-09-14T11:25:25Z</t>
        </is>
      </c>
      <c r="T435" t="inlineStr">
        <is>
          <t>NAO_SELECIONADA</t>
        </is>
      </c>
      <c r="U435" t="inlineStr">
        <is>
          <t>validada, mas fora do teto de 20 para FACEBOOK (secao 20): a plataforma nao permite prova direta de identidade a partir do datacenter</t>
        </is>
      </c>
      <c r="V435" t="inlineStr">
        <is>
          <t>T12;T7</t>
        </is>
      </c>
      <c r="W435" t="inlineStr">
        <is>
          <t>NAZIONALE</t>
        </is>
      </c>
      <c r="X435" t="inlineStr"/>
      <c r="Y435" t="inlineStr">
        <is>
          <t>organizzazione agricola;policy</t>
        </is>
      </c>
      <c r="Z435" t="inlineStr">
        <is>
          <t>titulo da pagina: Facebook</t>
        </is>
      </c>
      <c r="AA435" t="inlineStr">
        <is>
          <t>site oficial do dono: https://www.cia.it/</t>
        </is>
      </c>
      <c r="AB435" t="inlineStr">
        <is>
          <t>nao sorteada</t>
        </is>
      </c>
      <c r="AC435" t="inlineStr">
        <is>
          <t>nao sorteada</t>
        </is>
      </c>
      <c r="AE435" t="inlineStr">
        <is>
          <t>PLATFORM_GENERIC_TITLE</t>
        </is>
      </c>
      <c r="AF435" t="inlineStr"/>
    </row>
    <row r="436">
      <c r="A436" t="inlineStr">
        <is>
          <t>IT-DISC-2026-09-14-0435</t>
        </is>
      </c>
      <c r="B436" t="inlineStr">
        <is>
          <t>CIA — Agricoltori Italiani — Instagram ufficiale</t>
        </is>
      </c>
      <c r="C436" t="inlineStr">
        <is>
          <t>INSTAGRAM</t>
        </is>
      </c>
      <c r="D436" t="inlineStr">
        <is>
          <t>ORG</t>
        </is>
      </c>
      <c r="E436" t="inlineStr">
        <is>
          <t>CIA</t>
        </is>
      </c>
      <c r="F436" t="inlineStr">
        <is>
          <t>https://www.instagram.com/cia_agricoltori</t>
        </is>
      </c>
      <c r="G436" t="inlineStr">
        <is>
          <t>https://www.instagram.com/cia_agricoltori</t>
        </is>
      </c>
      <c r="H436" t="inlineStr">
        <is>
          <t>https://www.instagram.com/accounts/login/?next=https%3A%2F%2Fwww.instagram.com%2Fcia_agricoltori&amp;is_from_rle</t>
        </is>
      </c>
      <c r="I436" t="n">
        <v>429</v>
      </c>
      <c r="J436" t="inlineStr">
        <is>
          <t>text/html</t>
        </is>
      </c>
      <c r="K436" t="n">
        <v>1</v>
      </c>
      <c r="L436" t="b">
        <v>1</v>
      </c>
      <c r="M436" t="b">
        <v>1</v>
      </c>
      <c r="N436" t="inlineStr">
        <is>
          <t>PROVED_BY_OWNER_SITE</t>
        </is>
      </c>
      <c r="O436" t="inlineStr">
        <is>
          <t>SIM</t>
        </is>
      </c>
      <c r="P436" t="inlineStr">
        <is>
          <t>SIM — declarado por dono italiano no proprio site</t>
        </is>
      </c>
      <c r="Q436" t="inlineStr">
        <is>
          <t>https://www.cia.it/</t>
        </is>
      </c>
      <c r="R436" t="inlineStr">
        <is>
          <t>sonda HTTP read-only (GET limitado, payload nao preservado) + declaracao do perfil no site oficial do dono (rota publica, secao 10)</t>
        </is>
      </c>
      <c r="S436" t="inlineStr">
        <is>
          <t>2026-09-14T11:25:25Z</t>
        </is>
      </c>
      <c r="T436" t="inlineStr">
        <is>
          <t>NAO_SELECIONADA</t>
        </is>
      </c>
      <c r="U436" t="inlineStr">
        <is>
          <t>validada, mas fora do teto de 25 para INSTAGRAM (secao 20): a plataforma nao permite prova direta de identidade a partir do datacenter</t>
        </is>
      </c>
      <c r="V436" t="inlineStr">
        <is>
          <t>T12;T7</t>
        </is>
      </c>
      <c r="W436" t="inlineStr">
        <is>
          <t>NAZIONALE</t>
        </is>
      </c>
      <c r="X436" t="inlineStr"/>
      <c r="Y436" t="inlineStr">
        <is>
          <t>organizzazione agricola;policy</t>
        </is>
      </c>
      <c r="Z436" t="inlineStr">
        <is>
          <t xml:space="preserve">titulo da pagina: </t>
        </is>
      </c>
      <c r="AA436" t="inlineStr">
        <is>
          <t>site oficial do dono: https://www.cia.it/</t>
        </is>
      </c>
      <c r="AB436" t="inlineStr">
        <is>
          <t>nao sorteada</t>
        </is>
      </c>
      <c r="AC436" t="inlineStr">
        <is>
          <t>nao sorteada</t>
        </is>
      </c>
      <c r="AE436" t="inlineStr">
        <is>
          <t>HTTP_429,THIN_BODY</t>
        </is>
      </c>
      <c r="AF436" t="inlineStr"/>
    </row>
    <row r="437">
      <c r="A437" t="inlineStr">
        <is>
          <t>IT-DISC-2026-09-14-0436</t>
        </is>
      </c>
      <c r="B437" t="inlineStr">
        <is>
          <t>Confcooperative Fedagripesca — Facebook ufficiale</t>
        </is>
      </c>
      <c r="C437" t="inlineStr">
        <is>
          <t>FACEBOOK</t>
        </is>
      </c>
      <c r="D437" t="inlineStr">
        <is>
          <t>ORG</t>
        </is>
      </c>
      <c r="E437" t="inlineStr">
        <is>
          <t>Confcooperative</t>
        </is>
      </c>
      <c r="F437" t="inlineStr">
        <is>
          <t>https://www.facebook.com/fedagri</t>
        </is>
      </c>
      <c r="G437" t="inlineStr">
        <is>
          <t>https://www.facebook.com/fedagri</t>
        </is>
      </c>
      <c r="H437" t="inlineStr">
        <is>
          <t>https://www.facebook.com/login/?next=https%3A%2F%2Fwww.facebook.com%2Ffedagri</t>
        </is>
      </c>
      <c r="I437" t="n">
        <v>200</v>
      </c>
      <c r="J437" t="inlineStr">
        <is>
          <t>text/html</t>
        </is>
      </c>
      <c r="K437" t="n">
        <v>1</v>
      </c>
      <c r="L437" t="b">
        <v>1</v>
      </c>
      <c r="M437" t="b">
        <v>1</v>
      </c>
      <c r="N437" t="inlineStr">
        <is>
          <t>PROVED_BY_OWNER_SITE</t>
        </is>
      </c>
      <c r="O437" t="inlineStr">
        <is>
          <t>SIM</t>
        </is>
      </c>
      <c r="P437" t="inlineStr">
        <is>
          <t>SIM — declarado por dono italiano no proprio site</t>
        </is>
      </c>
      <c r="Q437" t="inlineStr">
        <is>
          <t>https://www.fedagripesca.confcooperative.it/</t>
        </is>
      </c>
      <c r="R437" t="inlineStr">
        <is>
          <t>sonda HTTP read-only (GET limitado, payload nao preservado) + declaracao do perfil no site oficial do dono (rota publica, secao 10)</t>
        </is>
      </c>
      <c r="S437" t="inlineStr">
        <is>
          <t>2026-09-14T11:25:26Z</t>
        </is>
      </c>
      <c r="T437" t="inlineStr">
        <is>
          <t>NAO_SELECIONADA</t>
        </is>
      </c>
      <c r="U437" t="inlineStr">
        <is>
          <t>validada, mas fora do teto de 20 para FACEBOOK (secao 20): a plataforma nao permite prova direta de identidade a partir do datacenter</t>
        </is>
      </c>
      <c r="V437" t="inlineStr">
        <is>
          <t>T10;T7</t>
        </is>
      </c>
      <c r="W437" t="inlineStr">
        <is>
          <t>NAZIONALE</t>
        </is>
      </c>
      <c r="X437" t="inlineStr"/>
      <c r="Y437" t="inlineStr">
        <is>
          <t>cooperative agricole</t>
        </is>
      </c>
      <c r="Z437" t="inlineStr">
        <is>
          <t>titulo da pagina: Facebook</t>
        </is>
      </c>
      <c r="AA437" t="inlineStr">
        <is>
          <t>site oficial do dono: https://www.fedagripesca.confcooperative.it/</t>
        </is>
      </c>
      <c r="AB437" t="inlineStr">
        <is>
          <t>nao sorteada</t>
        </is>
      </c>
      <c r="AC437" t="inlineStr">
        <is>
          <t>nao sorteada</t>
        </is>
      </c>
      <c r="AE437" t="inlineStr">
        <is>
          <t>PLATFORM_GENERIC_TITLE</t>
        </is>
      </c>
      <c r="AF437" t="inlineStr"/>
    </row>
    <row r="438">
      <c r="A438" t="inlineStr">
        <is>
          <t>IT-DISC-2026-09-14-0437</t>
        </is>
      </c>
      <c r="B438" t="inlineStr">
        <is>
          <t>Alleanza delle Cooperative Italiane Agroalimentare — Facebook ufficiale</t>
        </is>
      </c>
      <c r="C438" t="inlineStr">
        <is>
          <t>FACEBOOK</t>
        </is>
      </c>
      <c r="D438" t="inlineStr">
        <is>
          <t>ORG</t>
        </is>
      </c>
      <c r="E438" t="inlineStr">
        <is>
          <t>Alleanza Cooperative</t>
        </is>
      </c>
      <c r="F438" t="inlineStr">
        <is>
          <t>https://www.facebook.com/alleanzacooperativeitaliane</t>
        </is>
      </c>
      <c r="G438" t="inlineStr">
        <is>
          <t>https://www.facebook.com/alleanzacooperativeitaliane</t>
        </is>
      </c>
      <c r="H438" t="inlineStr">
        <is>
          <t>https://www.facebook.com/login/?next=https%3A%2F%2Fwww.facebook.com%2Falleanzacooperativeitaliane</t>
        </is>
      </c>
      <c r="I438" t="n">
        <v>200</v>
      </c>
      <c r="J438" t="inlineStr">
        <is>
          <t>text/html</t>
        </is>
      </c>
      <c r="K438" t="n">
        <v>1</v>
      </c>
      <c r="L438" t="b">
        <v>1</v>
      </c>
      <c r="M438" t="b">
        <v>1</v>
      </c>
      <c r="N438" t="inlineStr">
        <is>
          <t>PROVED_BY_OWNER_SITE</t>
        </is>
      </c>
      <c r="O438" t="inlineStr">
        <is>
          <t>SIM</t>
        </is>
      </c>
      <c r="P438" t="inlineStr">
        <is>
          <t>SIM — declarado por dono italiano no proprio site</t>
        </is>
      </c>
      <c r="Q438" t="inlineStr">
        <is>
          <t>https://www.alleanzacooperative.it/</t>
        </is>
      </c>
      <c r="R438" t="inlineStr">
        <is>
          <t>sonda HTTP read-only (GET limitado, payload nao preservado) + declaracao do perfil no site oficial do dono (rota publica, secao 10)</t>
        </is>
      </c>
      <c r="S438" t="inlineStr">
        <is>
          <t>2026-09-14T11:25:26Z</t>
        </is>
      </c>
      <c r="T438" t="inlineStr">
        <is>
          <t>NAO_SELECIONADA</t>
        </is>
      </c>
      <c r="U438" t="inlineStr">
        <is>
          <t>validada, mas fora do teto de 20 para FACEBOOK (secao 20): a plataforma nao permite prova direta de identidade a partir do datacenter</t>
        </is>
      </c>
      <c r="V438" t="inlineStr">
        <is>
          <t>T10;T12</t>
        </is>
      </c>
      <c r="W438" t="inlineStr">
        <is>
          <t>NAZIONALE</t>
        </is>
      </c>
      <c r="X438" t="inlineStr"/>
      <c r="Y438" t="inlineStr">
        <is>
          <t>cooperative</t>
        </is>
      </c>
      <c r="Z438" t="inlineStr">
        <is>
          <t>titulo da pagina: Facebook</t>
        </is>
      </c>
      <c r="AA438" t="inlineStr">
        <is>
          <t>site oficial do dono: https://www.alleanzacooperative.it/</t>
        </is>
      </c>
      <c r="AB438" t="inlineStr">
        <is>
          <t>nao sorteada</t>
        </is>
      </c>
      <c r="AC438" t="inlineStr">
        <is>
          <t>nao sorteada</t>
        </is>
      </c>
      <c r="AE438" t="inlineStr">
        <is>
          <t>PLATFORM_GENERIC_TITLE</t>
        </is>
      </c>
      <c r="AF438" t="inlineStr"/>
    </row>
    <row r="439">
      <c r="A439" t="inlineStr">
        <is>
          <t>IT-DISC-2026-09-14-0438</t>
        </is>
      </c>
      <c r="B439" t="inlineStr">
        <is>
          <t>Agrofarma — Federchimica — Facebook ufficiale</t>
        </is>
      </c>
      <c r="C439" t="inlineStr">
        <is>
          <t>FACEBOOK</t>
        </is>
      </c>
      <c r="D439" t="inlineStr">
        <is>
          <t>ORG</t>
        </is>
      </c>
      <c r="E439" t="inlineStr">
        <is>
          <t>Federchimica Agrofarma</t>
        </is>
      </c>
      <c r="F439" t="inlineStr">
        <is>
          <t>https://www.facebook.com/Agrofarma.agricolturamodomio</t>
        </is>
      </c>
      <c r="G439" t="inlineStr">
        <is>
          <t>https://www.facebook.com/Agrofarma.agricolturamodomio</t>
        </is>
      </c>
      <c r="H439" t="inlineStr">
        <is>
          <t>https://www.facebook.com/login/?next=https%3A%2F%2Fwww.facebook.com%2FAgrofarma.agricolturamodomio</t>
        </is>
      </c>
      <c r="I439" t="n">
        <v>200</v>
      </c>
      <c r="J439" t="inlineStr">
        <is>
          <t>text/html</t>
        </is>
      </c>
      <c r="K439" t="n">
        <v>1</v>
      </c>
      <c r="L439" t="b">
        <v>1</v>
      </c>
      <c r="M439" t="b">
        <v>1</v>
      </c>
      <c r="N439" t="inlineStr">
        <is>
          <t>PROVED_BY_OWNER_SITE</t>
        </is>
      </c>
      <c r="O439" t="inlineStr">
        <is>
          <t>SIM</t>
        </is>
      </c>
      <c r="P439" t="inlineStr">
        <is>
          <t>SIM — declarado por dono italiano no proprio site</t>
        </is>
      </c>
      <c r="Q439" t="inlineStr">
        <is>
          <t>https://agrofarma.federchimica.it/</t>
        </is>
      </c>
      <c r="R439" t="inlineStr">
        <is>
          <t>sonda HTTP read-only (GET limitado, payload nao preservado) + declaracao do perfil no site oficial do dono (rota publica, secao 10)</t>
        </is>
      </c>
      <c r="S439" t="inlineStr">
        <is>
          <t>2026-09-14T11:25:26Z</t>
        </is>
      </c>
      <c r="T439" t="inlineStr">
        <is>
          <t>NAO_SELECIONADA</t>
        </is>
      </c>
      <c r="U439" t="inlineStr">
        <is>
          <t>validada, mas fora do teto de 20 para FACEBOOK (secao 20): a plataforma nao permite prova direta de identidade a partir do datacenter</t>
        </is>
      </c>
      <c r="V439" t="inlineStr">
        <is>
          <t>T9;T10;T4</t>
        </is>
      </c>
      <c r="W439" t="inlineStr">
        <is>
          <t>NAZIONALE</t>
        </is>
      </c>
      <c r="X439" t="inlineStr"/>
      <c r="Y439" t="inlineStr">
        <is>
          <t>agrofarmaci;industria;regolatorio</t>
        </is>
      </c>
      <c r="Z439" t="inlineStr">
        <is>
          <t>titulo da pagina: Facebook</t>
        </is>
      </c>
      <c r="AA439" t="inlineStr">
        <is>
          <t>site oficial do dono: https://agrofarma.federchimica.it/</t>
        </is>
      </c>
      <c r="AB439" t="inlineStr">
        <is>
          <t>nao sorteada</t>
        </is>
      </c>
      <c r="AC439" t="inlineStr">
        <is>
          <t>nao sorteada</t>
        </is>
      </c>
      <c r="AE439" t="inlineStr">
        <is>
          <t>PLATFORM_GENERIC_TITLE</t>
        </is>
      </c>
      <c r="AF439" t="inlineStr"/>
    </row>
    <row r="440">
      <c r="A440" t="inlineStr">
        <is>
          <t>IT-DISC-2026-09-14-0439</t>
        </is>
      </c>
      <c r="B440" t="inlineStr">
        <is>
          <t>ANBI — Associazione Nazionale Consorzi di gestione e tutela del territorio e acque irrigue — Facebook ufficiale</t>
        </is>
      </c>
      <c r="C440" t="inlineStr">
        <is>
          <t>FACEBOOK</t>
        </is>
      </c>
      <c r="D440" t="inlineStr">
        <is>
          <t>ORG</t>
        </is>
      </c>
      <c r="E440" t="inlineStr">
        <is>
          <t>ANBI</t>
        </is>
      </c>
      <c r="F440" t="inlineStr">
        <is>
          <t>https://www.facebook.com/anbipage</t>
        </is>
      </c>
      <c r="G440" t="inlineStr">
        <is>
          <t>https://www.facebook.com/anbipage</t>
        </is>
      </c>
      <c r="H440" t="inlineStr">
        <is>
          <t>https://www.facebook.com/login/?next=https%3A%2F%2Fwww.facebook.com%2Fanbipage</t>
        </is>
      </c>
      <c r="I440" t="n">
        <v>200</v>
      </c>
      <c r="J440" t="inlineStr">
        <is>
          <t>text/html</t>
        </is>
      </c>
      <c r="K440" t="n">
        <v>1</v>
      </c>
      <c r="L440" t="b">
        <v>1</v>
      </c>
      <c r="M440" t="b">
        <v>1</v>
      </c>
      <c r="N440" t="inlineStr">
        <is>
          <t>PROVED_BY_OWNER_SITE</t>
        </is>
      </c>
      <c r="O440" t="inlineStr">
        <is>
          <t>SIM</t>
        </is>
      </c>
      <c r="P440" t="inlineStr">
        <is>
          <t>SIM — declarado por dono italiano no proprio site</t>
        </is>
      </c>
      <c r="Q440" t="inlineStr">
        <is>
          <t>https://www.anbi.it/</t>
        </is>
      </c>
      <c r="R440" t="inlineStr">
        <is>
          <t>sonda HTTP read-only (GET limitado, payload nao preservado) + declaracao do perfil no site oficial do dono (rota publica, secao 10)</t>
        </is>
      </c>
      <c r="S440" t="inlineStr">
        <is>
          <t>2026-09-14T11:25:27Z</t>
        </is>
      </c>
      <c r="T440" t="inlineStr">
        <is>
          <t>NAO_SELECIONADA</t>
        </is>
      </c>
      <c r="U440" t="inlineStr">
        <is>
          <t>validada, mas fora do teto de 20 para FACEBOOK (secao 20): a plataforma nao permite prova direta de identidade a partir do datacenter</t>
        </is>
      </c>
      <c r="V440" t="inlineStr">
        <is>
          <t>T2;T12</t>
        </is>
      </c>
      <c r="W440" t="inlineStr">
        <is>
          <t>NAZIONALE</t>
        </is>
      </c>
      <c r="X440" t="inlineStr"/>
      <c r="Y440" t="inlineStr">
        <is>
          <t>consorzi di bonifica;irrigazione</t>
        </is>
      </c>
      <c r="Z440" t="inlineStr">
        <is>
          <t>titulo da pagina: Facebook</t>
        </is>
      </c>
      <c r="AA440" t="inlineStr">
        <is>
          <t>site oficial do dono: https://www.anbi.it/</t>
        </is>
      </c>
      <c r="AB440" t="inlineStr">
        <is>
          <t>nao sorteada</t>
        </is>
      </c>
      <c r="AC440" t="inlineStr">
        <is>
          <t>nao sorteada</t>
        </is>
      </c>
      <c r="AE440" t="inlineStr">
        <is>
          <t>PLATFORM_GENERIC_TITLE</t>
        </is>
      </c>
      <c r="AF440" t="inlineStr"/>
    </row>
    <row r="441">
      <c r="A441" t="inlineStr">
        <is>
          <t>IT-DISC-2026-09-14-0440</t>
        </is>
      </c>
      <c r="B441" t="inlineStr">
        <is>
          <t>ANBI — Associazione Nazionale Consorzi di gestione e tutela del territorio e acque irrigue — Instagram ufficiale</t>
        </is>
      </c>
      <c r="C441" t="inlineStr">
        <is>
          <t>INSTAGRAM</t>
        </is>
      </c>
      <c r="D441" t="inlineStr">
        <is>
          <t>ORG</t>
        </is>
      </c>
      <c r="E441" t="inlineStr">
        <is>
          <t>ANBI</t>
        </is>
      </c>
      <c r="F441" t="inlineStr">
        <is>
          <t>https://www.instagram.com/anbinazionale</t>
        </is>
      </c>
      <c r="G441" t="inlineStr">
        <is>
          <t>https://www.instagram.com/anbinazionale</t>
        </is>
      </c>
      <c r="H441" t="inlineStr">
        <is>
          <t>https://www.instagram.com/accounts/login/?next=https%3A%2F%2Fwww.instagram.com%2Fanbinazionale&amp;is_from_rle</t>
        </is>
      </c>
      <c r="I441" t="n">
        <v>429</v>
      </c>
      <c r="J441" t="inlineStr">
        <is>
          <t>text/html</t>
        </is>
      </c>
      <c r="K441" t="n">
        <v>1</v>
      </c>
      <c r="L441" t="b">
        <v>1</v>
      </c>
      <c r="M441" t="b">
        <v>1</v>
      </c>
      <c r="N441" t="inlineStr">
        <is>
          <t>PROVED_BY_OWNER_SITE</t>
        </is>
      </c>
      <c r="O441" t="inlineStr">
        <is>
          <t>SIM</t>
        </is>
      </c>
      <c r="P441" t="inlineStr">
        <is>
          <t>SIM — declarado por dono italiano no proprio site</t>
        </is>
      </c>
      <c r="Q441" t="inlineStr">
        <is>
          <t>https://www.anbi.it/</t>
        </is>
      </c>
      <c r="R441" t="inlineStr">
        <is>
          <t>sonda HTTP read-only (GET limitado, payload nao preservado) + declaracao do perfil no site oficial do dono (rota publica, secao 10)</t>
        </is>
      </c>
      <c r="S441" t="inlineStr">
        <is>
          <t>2026-09-14T11:25:27Z</t>
        </is>
      </c>
      <c r="T441" t="inlineStr">
        <is>
          <t>NAO_SELECIONADA</t>
        </is>
      </c>
      <c r="U441" t="inlineStr">
        <is>
          <t>validada, mas fora do teto de 25 para INSTAGRAM (secao 20): a plataforma nao permite prova direta de identidade a partir do datacenter</t>
        </is>
      </c>
      <c r="V441" t="inlineStr">
        <is>
          <t>T2;T12</t>
        </is>
      </c>
      <c r="W441" t="inlineStr">
        <is>
          <t>NAZIONALE</t>
        </is>
      </c>
      <c r="X441" t="inlineStr"/>
      <c r="Y441" t="inlineStr">
        <is>
          <t>consorzi di bonifica;irrigazione</t>
        </is>
      </c>
      <c r="Z441" t="inlineStr">
        <is>
          <t xml:space="preserve">titulo da pagina: </t>
        </is>
      </c>
      <c r="AA441" t="inlineStr">
        <is>
          <t>site oficial do dono: https://www.anbi.it/</t>
        </is>
      </c>
      <c r="AB441" t="inlineStr">
        <is>
          <t>nao sorteada</t>
        </is>
      </c>
      <c r="AC441" t="inlineStr">
        <is>
          <t>nao sorteada</t>
        </is>
      </c>
      <c r="AE441" t="inlineStr">
        <is>
          <t>HTTP_429,THIN_BODY</t>
        </is>
      </c>
      <c r="AF441" t="inlineStr"/>
    </row>
    <row r="442">
      <c r="A442" t="inlineStr">
        <is>
          <t>IT-DISC-2026-09-14-0441</t>
        </is>
      </c>
      <c r="B442" t="inlineStr">
        <is>
          <t>Pianeta PSR — Facebook ufficiale</t>
        </is>
      </c>
      <c r="C442" t="inlineStr">
        <is>
          <t>FACEBOOK</t>
        </is>
      </c>
      <c r="D442" t="inlineStr">
        <is>
          <t>ORG</t>
        </is>
      </c>
      <c r="E442" t="inlineStr">
        <is>
          <t>Rete Rurale Nazionale / MASAF</t>
        </is>
      </c>
      <c r="F442" t="inlineStr">
        <is>
          <t>https://www.facebook.com/reterurale</t>
        </is>
      </c>
      <c r="G442" t="inlineStr">
        <is>
          <t>https://www.facebook.com/reterurale</t>
        </is>
      </c>
      <c r="H442" t="inlineStr">
        <is>
          <t>https://www.facebook.com/login/?next=https%3A%2F%2Fwww.facebook.com%2Freterurale</t>
        </is>
      </c>
      <c r="I442" t="n">
        <v>200</v>
      </c>
      <c r="J442" t="inlineStr">
        <is>
          <t>text/html</t>
        </is>
      </c>
      <c r="K442" t="n">
        <v>1</v>
      </c>
      <c r="L442" t="b">
        <v>1</v>
      </c>
      <c r="M442" t="b">
        <v>1</v>
      </c>
      <c r="N442" t="inlineStr">
        <is>
          <t>PROVED_BY_OWNER_SITE</t>
        </is>
      </c>
      <c r="O442" t="inlineStr">
        <is>
          <t>SIM</t>
        </is>
      </c>
      <c r="P442" t="inlineStr">
        <is>
          <t>SIM — declarado por dono italiano no proprio site</t>
        </is>
      </c>
      <c r="Q442" t="inlineStr">
        <is>
          <t>https://www.pianetapsr.it/</t>
        </is>
      </c>
      <c r="R442" t="inlineStr">
        <is>
          <t>sonda HTTP read-only (GET limitado, payload nao preservado) + declaracao do perfil no site oficial do dono (rota publica, secao 10)</t>
        </is>
      </c>
      <c r="S442" t="inlineStr">
        <is>
          <t>2026-09-14T11:25:27Z</t>
        </is>
      </c>
      <c r="T442" t="inlineStr">
        <is>
          <t>NAO_SELECIONADA</t>
        </is>
      </c>
      <c r="U442" t="inlineStr">
        <is>
          <t>validada, mas fora do teto de 20 para FACEBOOK (secao 20): a plataforma nao permite prova direta de identidade a partir do datacenter</t>
        </is>
      </c>
      <c r="V442" t="inlineStr">
        <is>
          <t>T12;T10</t>
        </is>
      </c>
      <c r="W442" t="inlineStr">
        <is>
          <t>NAZIONALE</t>
        </is>
      </c>
      <c r="X442" t="inlineStr"/>
      <c r="Y442" t="inlineStr">
        <is>
          <t>PSR;politica agricola;CAP</t>
        </is>
      </c>
      <c r="Z442" t="inlineStr">
        <is>
          <t>titulo da pagina: Facebook</t>
        </is>
      </c>
      <c r="AA442" t="inlineStr">
        <is>
          <t>site oficial do dono: https://www.pianetapsr.it/</t>
        </is>
      </c>
      <c r="AB442" t="inlineStr">
        <is>
          <t>nao sorteada</t>
        </is>
      </c>
      <c r="AC442" t="inlineStr">
        <is>
          <t>nao sorteada</t>
        </is>
      </c>
      <c r="AE442" t="inlineStr">
        <is>
          <t>PLATFORM_GENERIC_TITLE</t>
        </is>
      </c>
      <c r="AF442" t="inlineStr"/>
    </row>
    <row r="443">
      <c r="A443" t="inlineStr">
        <is>
          <t>IT-DISC-2026-09-14-0442</t>
        </is>
      </c>
      <c r="B443" t="inlineStr">
        <is>
          <t>Pianeta PSR — Linkedin ufficiale</t>
        </is>
      </c>
      <c r="C443" t="inlineStr">
        <is>
          <t>LINKEDIN</t>
        </is>
      </c>
      <c r="D443" t="inlineStr">
        <is>
          <t>ORG</t>
        </is>
      </c>
      <c r="E443" t="inlineStr">
        <is>
          <t>Rete Rurale Nazionale / MASAF</t>
        </is>
      </c>
      <c r="F443" t="inlineStr">
        <is>
          <t>https://www.linkedin.com/showcase/reterurale</t>
        </is>
      </c>
      <c r="G443" t="inlineStr">
        <is>
          <t>https://www.linkedin.com/showcase/reterurale</t>
        </is>
      </c>
      <c r="H443" t="inlineStr">
        <is>
          <t>https://www.linkedin.com/showcase/reterurale</t>
        </is>
      </c>
      <c r="I443" t="n">
        <v>404</v>
      </c>
      <c r="J443" t="inlineStr">
        <is>
          <t>text/html</t>
        </is>
      </c>
      <c r="K443" t="n">
        <v>0</v>
      </c>
      <c r="L443" t="b">
        <v>1</v>
      </c>
      <c r="M443" t="b">
        <v>1</v>
      </c>
      <c r="N443" t="inlineStr">
        <is>
          <t>PROVED_BY_OWNER_SITE</t>
        </is>
      </c>
      <c r="O443" t="inlineStr">
        <is>
          <t>SIM</t>
        </is>
      </c>
      <c r="P443" t="inlineStr">
        <is>
          <t>SIM — declarado por dono italiano no proprio site</t>
        </is>
      </c>
      <c r="Q443" t="inlineStr">
        <is>
          <t>https://www.pianetapsr.it/</t>
        </is>
      </c>
      <c r="R443" t="inlineStr">
        <is>
          <t>sonda HTTP read-only (GET limitado, payload nao preservado) + declaracao do perfil no site oficial do dono (rota publica, secao 10)</t>
        </is>
      </c>
      <c r="S443" t="inlineStr">
        <is>
          <t>2026-09-14T11:25:27Z</t>
        </is>
      </c>
      <c r="T443" t="inlineStr">
        <is>
          <t>REJECT</t>
        </is>
      </c>
      <c r="U443" t="inlineStr">
        <is>
          <t>HTTP 404</t>
        </is>
      </c>
      <c r="V443" t="inlineStr">
        <is>
          <t>T12;T10</t>
        </is>
      </c>
      <c r="W443" t="inlineStr">
        <is>
          <t>NAZIONALE</t>
        </is>
      </c>
      <c r="X443" t="inlineStr"/>
      <c r="Y443" t="inlineStr">
        <is>
          <t>PSR;politica agricola;CAP</t>
        </is>
      </c>
      <c r="Z443" t="inlineStr">
        <is>
          <t>titulo da pagina: LinkedIn</t>
        </is>
      </c>
      <c r="AA443" t="inlineStr">
        <is>
          <t>site oficial do dono: https://www.pianetapsr.it/</t>
        </is>
      </c>
      <c r="AB443" t="inlineStr">
        <is>
          <t>nao sorteada</t>
        </is>
      </c>
      <c r="AC443" t="inlineStr">
        <is>
          <t>nao sorteada</t>
        </is>
      </c>
      <c r="AE443" t="inlineStr">
        <is>
          <t>HTTP_404,PLATFORM_GENERIC_TITLE</t>
        </is>
      </c>
      <c r="AF443" t="inlineStr"/>
    </row>
    <row r="444">
      <c r="A444" t="inlineStr">
        <is>
          <t>IT-DISC-2026-09-14-0443</t>
        </is>
      </c>
      <c r="B444" t="inlineStr">
        <is>
          <t>ERSA FVG — Agenzia regionale per lo sviluppo rurale — Facebook ufficiale</t>
        </is>
      </c>
      <c r="C444" t="inlineStr">
        <is>
          <t>FACEBOOK</t>
        </is>
      </c>
      <c r="D444" t="inlineStr">
        <is>
          <t>ORG</t>
        </is>
      </c>
      <c r="E444" t="inlineStr">
        <is>
          <t>Regione Friuli-Venezia Giulia</t>
        </is>
      </c>
      <c r="F444" t="inlineStr">
        <is>
          <t>https://www.facebook.com/ERSAFVGINFORMA</t>
        </is>
      </c>
      <c r="G444" t="inlineStr">
        <is>
          <t>https://www.facebook.com/ERSAFVGINFORMA</t>
        </is>
      </c>
      <c r="H444" t="inlineStr">
        <is>
          <t>https://www.facebook.com/login/?next=https%3A%2F%2Fwww.facebook.com%2FERSAFVGINFORMA</t>
        </is>
      </c>
      <c r="I444" t="n">
        <v>400</v>
      </c>
      <c r="J444" t="inlineStr">
        <is>
          <t>text/html</t>
        </is>
      </c>
      <c r="K444" t="n">
        <v>1</v>
      </c>
      <c r="L444" t="b">
        <v>1</v>
      </c>
      <c r="M444" t="b">
        <v>1</v>
      </c>
      <c r="N444" t="inlineStr">
        <is>
          <t>PROVED_BY_OWNER_SITE</t>
        </is>
      </c>
      <c r="O444" t="inlineStr">
        <is>
          <t>SIM</t>
        </is>
      </c>
      <c r="P444" t="inlineStr">
        <is>
          <t>SIM — declarado por dono italiano no proprio site</t>
        </is>
      </c>
      <c r="Q444" t="inlineStr">
        <is>
          <t>https://www.ersa.fvg.it/</t>
        </is>
      </c>
      <c r="R444" t="inlineStr">
        <is>
          <t>sonda HTTP read-only (GET limitado, payload nao preservado) + declaracao do perfil no site oficial do dono (rota publica, secao 10)</t>
        </is>
      </c>
      <c r="S444" t="inlineStr">
        <is>
          <t>2026-09-14T11:25:27Z</t>
        </is>
      </c>
      <c r="T444" t="inlineStr">
        <is>
          <t>REJECT</t>
        </is>
      </c>
      <c r="U444" t="inlineStr">
        <is>
          <t>HTTP 200 com pagina de erro (soft-404)</t>
        </is>
      </c>
      <c r="V444" t="inlineStr">
        <is>
          <t>T3;T1;T7</t>
        </is>
      </c>
      <c r="W444" t="inlineStr">
        <is>
          <t>FRIULI-VENEZIA GIULIA</t>
        </is>
      </c>
      <c r="X444" t="inlineStr">
        <is>
          <t>vite</t>
        </is>
      </c>
      <c r="Y444" t="inlineStr">
        <is>
          <t>servizio fitosanitario;vite;divulgazione</t>
        </is>
      </c>
      <c r="Z444" t="inlineStr">
        <is>
          <t>titulo da pagina: Error</t>
        </is>
      </c>
      <c r="AA444" t="inlineStr">
        <is>
          <t>site oficial do dono: https://www.ersa.fvg.it/</t>
        </is>
      </c>
      <c r="AB444" t="inlineStr">
        <is>
          <t>nao sorteada</t>
        </is>
      </c>
      <c r="AC444" t="inlineStr">
        <is>
          <t>nao sorteada</t>
        </is>
      </c>
      <c r="AE444" t="inlineStr">
        <is>
          <t>HTTP_400,SOFT_404</t>
        </is>
      </c>
      <c r="AF444" t="inlineStr"/>
    </row>
    <row r="445">
      <c r="A445" t="inlineStr">
        <is>
          <t>IT-DISC-2026-09-14-0444</t>
        </is>
      </c>
      <c r="B445" t="inlineStr">
        <is>
          <t>ASSAM Marche — Agenzia Servizi Settore Agroalimentare delle Marche — Facebook ufficiale</t>
        </is>
      </c>
      <c r="C445" t="inlineStr">
        <is>
          <t>FACEBOOK</t>
        </is>
      </c>
      <c r="D445" t="inlineStr">
        <is>
          <t>ORG</t>
        </is>
      </c>
      <c r="E445" t="inlineStr">
        <is>
          <t>Regione Marche</t>
        </is>
      </c>
      <c r="F445" t="inlineStr">
        <is>
          <t>https://www.facebook.com/amap.marche</t>
        </is>
      </c>
      <c r="G445" t="inlineStr">
        <is>
          <t>https://www.facebook.com/amap.marche</t>
        </is>
      </c>
      <c r="H445" t="inlineStr">
        <is>
          <t>https://www.facebook.com/login/?next=https%3A%2F%2Fwww.facebook.com%2Famap.marche</t>
        </is>
      </c>
      <c r="I445" t="n">
        <v>400</v>
      </c>
      <c r="J445" t="inlineStr">
        <is>
          <t>text/html</t>
        </is>
      </c>
      <c r="K445" t="n">
        <v>1</v>
      </c>
      <c r="L445" t="b">
        <v>1</v>
      </c>
      <c r="M445" t="b">
        <v>1</v>
      </c>
      <c r="N445" t="inlineStr">
        <is>
          <t>PROVED_BY_OWNER_SITE</t>
        </is>
      </c>
      <c r="O445" t="inlineStr">
        <is>
          <t>SIM</t>
        </is>
      </c>
      <c r="P445" t="inlineStr">
        <is>
          <t>SIM — declarado por dono italiano no proprio site</t>
        </is>
      </c>
      <c r="Q445" t="inlineStr">
        <is>
          <t>https://www.assam.marche.it/</t>
        </is>
      </c>
      <c r="R445" t="inlineStr">
        <is>
          <t>sonda HTTP read-only (GET limitado, payload nao preservado) + declaracao do perfil no site oficial do dono (rota publica, secao 10)</t>
        </is>
      </c>
      <c r="S445" t="inlineStr">
        <is>
          <t>2026-09-14T11:25:27Z</t>
        </is>
      </c>
      <c r="T445" t="inlineStr">
        <is>
          <t>REJECT</t>
        </is>
      </c>
      <c r="U445" t="inlineStr">
        <is>
          <t>HTTP 200 com pagina de erro (soft-404)</t>
        </is>
      </c>
      <c r="V445" t="inlineStr">
        <is>
          <t>T3;T2;T7</t>
        </is>
      </c>
      <c r="W445" t="inlineStr">
        <is>
          <t>MARCHE</t>
        </is>
      </c>
      <c r="X445" t="inlineStr"/>
      <c r="Y445" t="inlineStr">
        <is>
          <t>servizio fitosanitario;agrometeo;assistenza tecnica</t>
        </is>
      </c>
      <c r="Z445" t="inlineStr">
        <is>
          <t>titulo da pagina: Error</t>
        </is>
      </c>
      <c r="AA445" t="inlineStr">
        <is>
          <t>site oficial do dono: https://www.assam.marche.it/</t>
        </is>
      </c>
      <c r="AB445" t="inlineStr">
        <is>
          <t>nao sorteada</t>
        </is>
      </c>
      <c r="AC445" t="inlineStr">
        <is>
          <t>nao sorteada</t>
        </is>
      </c>
      <c r="AE445" t="inlineStr">
        <is>
          <t>HTTP_400,SOFT_404</t>
        </is>
      </c>
      <c r="AF445" t="inlineStr"/>
    </row>
    <row r="446">
      <c r="A446" t="inlineStr">
        <is>
          <t>IT-DISC-2026-09-14-0445</t>
        </is>
      </c>
      <c r="B446" t="inlineStr">
        <is>
          <t>ARSIAL — Agenzia Regionale Sviluppo Innovazione Agricoltura Lazio — Linkedin ufficiale</t>
        </is>
      </c>
      <c r="C446" t="inlineStr">
        <is>
          <t>LINKEDIN</t>
        </is>
      </c>
      <c r="D446" t="inlineStr">
        <is>
          <t>ORG</t>
        </is>
      </c>
      <c r="E446" t="inlineStr">
        <is>
          <t>Regione Lazio</t>
        </is>
      </c>
      <c r="F446" t="inlineStr">
        <is>
          <t>https://www.linkedin.com/company/arsial-agenzia-regionale-per-lo-sviluppo-e-l-innovazione-dell-agricoltur</t>
        </is>
      </c>
      <c r="G446" t="inlineStr">
        <is>
          <t>https://www.linkedin.com/company/arsial-agenzia-regionale-per-lo-sviluppo-e-l-innovazione-dell-agricoltur</t>
        </is>
      </c>
      <c r="H446" t="inlineStr">
        <is>
          <t>https://www.linkedin.com/company/arsial-agenzia-regionale-per-lo-sviluppo-e-l-innovazione-dell-agricoltur</t>
        </is>
      </c>
      <c r="I446" t="n">
        <v>404</v>
      </c>
      <c r="J446" t="inlineStr">
        <is>
          <t>text/html</t>
        </is>
      </c>
      <c r="K446" t="n">
        <v>0</v>
      </c>
      <c r="L446" t="b">
        <v>1</v>
      </c>
      <c r="M446" t="b">
        <v>1</v>
      </c>
      <c r="N446" t="inlineStr">
        <is>
          <t>PROVED_BY_OWNER_SITE</t>
        </is>
      </c>
      <c r="O446" t="inlineStr">
        <is>
          <t>SIM</t>
        </is>
      </c>
      <c r="P446" t="inlineStr">
        <is>
          <t>SIM — declarado por dono italiano no proprio site</t>
        </is>
      </c>
      <c r="Q446" t="inlineStr">
        <is>
          <t>https://www.arsial.it/</t>
        </is>
      </c>
      <c r="R446" t="inlineStr">
        <is>
          <t>sonda HTTP read-only (GET limitado, payload nao preservado) + declaracao do perfil no site oficial do dono (rota publica, secao 10)</t>
        </is>
      </c>
      <c r="S446" t="inlineStr">
        <is>
          <t>2026-09-14T11:25:28Z</t>
        </is>
      </c>
      <c r="T446" t="inlineStr">
        <is>
          <t>REJECT</t>
        </is>
      </c>
      <c r="U446" t="inlineStr">
        <is>
          <t>HTTP 404</t>
        </is>
      </c>
      <c r="V446" t="inlineStr">
        <is>
          <t>T1;T7;T3</t>
        </is>
      </c>
      <c r="W446" t="inlineStr">
        <is>
          <t>LAZIO</t>
        </is>
      </c>
      <c r="X446" t="inlineStr"/>
      <c r="Y446" t="inlineStr">
        <is>
          <t>sviluppo agricolo;biodiversita;assistenza</t>
        </is>
      </c>
      <c r="Z446" t="inlineStr">
        <is>
          <t>titulo da pagina: LinkedIn</t>
        </is>
      </c>
      <c r="AA446" t="inlineStr">
        <is>
          <t>site oficial do dono: https://www.arsial.it/</t>
        </is>
      </c>
      <c r="AB446" t="inlineStr">
        <is>
          <t>nao sorteada</t>
        </is>
      </c>
      <c r="AC446" t="inlineStr">
        <is>
          <t>nao sorteada</t>
        </is>
      </c>
      <c r="AE446" t="inlineStr">
        <is>
          <t>HTTP_404,PLATFORM_GENERIC_TITLE</t>
        </is>
      </c>
      <c r="AF446" t="inlineStr"/>
    </row>
    <row r="447">
      <c r="A447" t="inlineStr">
        <is>
          <t>IT-DISC-2026-09-14-0446</t>
        </is>
      </c>
      <c r="B447" t="inlineStr">
        <is>
          <t>Regione Piemonte — Agricoltura e cibo — Instagram ufficiale</t>
        </is>
      </c>
      <c r="C447" t="inlineStr">
        <is>
          <t>INSTAGRAM</t>
        </is>
      </c>
      <c r="D447" t="inlineStr">
        <is>
          <t>ORG</t>
        </is>
      </c>
      <c r="E447" t="inlineStr">
        <is>
          <t>Regione Piemonte</t>
        </is>
      </c>
      <c r="F447" t="inlineStr">
        <is>
          <t>https://www.instagram.com/regionepiemonte.official</t>
        </is>
      </c>
      <c r="G447" t="inlineStr">
        <is>
          <t>https://www.instagram.com/regionepiemonte.official</t>
        </is>
      </c>
      <c r="H447" t="inlineStr">
        <is>
          <t>https://www.instagram.com/accounts/login/?next=https%3A%2F%2Fwww.instagram.com%2Fregionepiemonte.official&amp;is_from_rle</t>
        </is>
      </c>
      <c r="I447" t="n">
        <v>429</v>
      </c>
      <c r="J447" t="inlineStr">
        <is>
          <t>text/html</t>
        </is>
      </c>
      <c r="K447" t="n">
        <v>1</v>
      </c>
      <c r="L447" t="b">
        <v>1</v>
      </c>
      <c r="M447" t="b">
        <v>1</v>
      </c>
      <c r="N447" t="inlineStr">
        <is>
          <t>PROVED_BY_OWNER_SITE</t>
        </is>
      </c>
      <c r="O447" t="inlineStr">
        <is>
          <t>SIM</t>
        </is>
      </c>
      <c r="P447" t="inlineStr">
        <is>
          <t>SIM — declarado por dono italiano no proprio site</t>
        </is>
      </c>
      <c r="Q447" t="inlineStr">
        <is>
          <t>https://www.regione.piemonte.it/web/temi/agricoltura</t>
        </is>
      </c>
      <c r="R447" t="inlineStr">
        <is>
          <t>sonda HTTP read-only (GET limitado, payload nao preservado) + declaracao do perfil no site oficial do dono (rota publica, secao 10)</t>
        </is>
      </c>
      <c r="S447" t="inlineStr">
        <is>
          <t>2026-09-14T11:25:29Z</t>
        </is>
      </c>
      <c r="T447" t="inlineStr">
        <is>
          <t>NAO_SELECIONADA</t>
        </is>
      </c>
      <c r="U447" t="inlineStr">
        <is>
          <t>validada, mas fora do teto de 25 para INSTAGRAM (secao 20): a plataforma nao permite prova direta de identidade a partir do datacenter</t>
        </is>
      </c>
      <c r="V447" t="inlineStr">
        <is>
          <t>T1;T4;T3</t>
        </is>
      </c>
      <c r="W447" t="inlineStr">
        <is>
          <t>PIEMONTE</t>
        </is>
      </c>
      <c r="X447" t="inlineStr"/>
      <c r="Y447" t="inlineStr">
        <is>
          <t>agricoltura;fitosanitario;PSR</t>
        </is>
      </c>
      <c r="Z447" t="inlineStr">
        <is>
          <t xml:space="preserve">titulo da pagina: </t>
        </is>
      </c>
      <c r="AA447" t="inlineStr">
        <is>
          <t>site oficial do dono: https://www.regione.piemonte.it/web/temi/agricoltura</t>
        </is>
      </c>
      <c r="AB447" t="inlineStr">
        <is>
          <t>nao sorteada</t>
        </is>
      </c>
      <c r="AC447" t="inlineStr">
        <is>
          <t>nao sorteada</t>
        </is>
      </c>
      <c r="AE447" t="inlineStr">
        <is>
          <t>HTTP_429,THIN_BODY</t>
        </is>
      </c>
      <c r="AF447" t="inlineStr"/>
    </row>
    <row r="448">
      <c r="A448" t="inlineStr">
        <is>
          <t>IT-DISC-2026-09-14-0447</t>
        </is>
      </c>
      <c r="B448" t="inlineStr">
        <is>
          <t>Regione Toscana — Agricoltura — Facebook ufficiale</t>
        </is>
      </c>
      <c r="C448" t="inlineStr">
        <is>
          <t>FACEBOOK</t>
        </is>
      </c>
      <c r="D448" t="inlineStr">
        <is>
          <t>ORG</t>
        </is>
      </c>
      <c r="E448" t="inlineStr">
        <is>
          <t>Regione Toscana</t>
        </is>
      </c>
      <c r="F448" t="inlineStr">
        <is>
          <t>https://www.facebook.com/regionetoscana.paginaufficiale</t>
        </is>
      </c>
      <c r="G448" t="inlineStr">
        <is>
          <t>https://www.facebook.com/regionetoscana.paginaufficiale</t>
        </is>
      </c>
      <c r="H448" t="inlineStr">
        <is>
          <t>https://www.facebook.com/login/?next=https%3A%2F%2Fwww.facebook.com%2Fregionetoscana.paginaufficiale</t>
        </is>
      </c>
      <c r="I448" t="n">
        <v>200</v>
      </c>
      <c r="J448" t="inlineStr">
        <is>
          <t>text/html</t>
        </is>
      </c>
      <c r="K448" t="n">
        <v>1</v>
      </c>
      <c r="L448" t="b">
        <v>1</v>
      </c>
      <c r="M448" t="b">
        <v>1</v>
      </c>
      <c r="N448" t="inlineStr">
        <is>
          <t>PROVED_BY_OWNER_SITE</t>
        </is>
      </c>
      <c r="O448" t="inlineStr">
        <is>
          <t>SIM</t>
        </is>
      </c>
      <c r="P448" t="inlineStr">
        <is>
          <t>SIM — declarado por dono italiano no proprio site</t>
        </is>
      </c>
      <c r="Q448" t="inlineStr">
        <is>
          <t>https://www.regione.toscana.it/agricoltura</t>
        </is>
      </c>
      <c r="R448" t="inlineStr">
        <is>
          <t>sonda HTTP read-only (GET limitado, payload nao preservado) + declaracao do perfil no site oficial do dono (rota publica, secao 10)</t>
        </is>
      </c>
      <c r="S448" t="inlineStr">
        <is>
          <t>2026-09-14T11:25:29Z</t>
        </is>
      </c>
      <c r="T448" t="inlineStr">
        <is>
          <t>NAO_SELECIONADA</t>
        </is>
      </c>
      <c r="U448" t="inlineStr">
        <is>
          <t>validada, mas fora do teto de 20 para FACEBOOK (secao 20): a plataforma nao permite prova direta de identidade a partir do datacenter</t>
        </is>
      </c>
      <c r="V448" t="inlineStr">
        <is>
          <t>T1;T4;T12</t>
        </is>
      </c>
      <c r="W448" t="inlineStr">
        <is>
          <t>TOSCANA</t>
        </is>
      </c>
      <c r="X448" t="inlineStr">
        <is>
          <t>olivo;vite</t>
        </is>
      </c>
      <c r="Y448" t="inlineStr">
        <is>
          <t>agricoltura;PSR;olivo;vite</t>
        </is>
      </c>
      <c r="Z448" t="inlineStr">
        <is>
          <t>titulo da pagina: Facebook</t>
        </is>
      </c>
      <c r="AA448" t="inlineStr">
        <is>
          <t>site oficial do dono: https://www.regione.toscana.it/agricoltura</t>
        </is>
      </c>
      <c r="AB448" t="inlineStr">
        <is>
          <t>nao sorteada</t>
        </is>
      </c>
      <c r="AC448" t="inlineStr">
        <is>
          <t>nao sorteada</t>
        </is>
      </c>
      <c r="AE448" t="inlineStr">
        <is>
          <t>PLATFORM_GENERIC_TITLE</t>
        </is>
      </c>
      <c r="AF448" t="inlineStr"/>
    </row>
    <row r="449">
      <c r="A449" t="inlineStr">
        <is>
          <t>IT-DISC-2026-09-14-0448</t>
        </is>
      </c>
      <c r="B449" t="inlineStr">
        <is>
          <t>Regione Toscana — Agricoltura — Instagram ufficiale</t>
        </is>
      </c>
      <c r="C449" t="inlineStr">
        <is>
          <t>INSTAGRAM</t>
        </is>
      </c>
      <c r="D449" t="inlineStr">
        <is>
          <t>ORG</t>
        </is>
      </c>
      <c r="E449" t="inlineStr">
        <is>
          <t>Regione Toscana</t>
        </is>
      </c>
      <c r="F449" t="inlineStr">
        <is>
          <t>https://www.instagram.com/regionetoscana</t>
        </is>
      </c>
      <c r="G449" t="inlineStr">
        <is>
          <t>https://www.instagram.com/regionetoscana</t>
        </is>
      </c>
      <c r="H449" t="inlineStr">
        <is>
          <t>https://www.instagram.com/accounts/login/?next=https%3A%2F%2Fwww.instagram.com%2Fregionetoscana&amp;is_from_rle</t>
        </is>
      </c>
      <c r="I449" t="n">
        <v>429</v>
      </c>
      <c r="J449" t="inlineStr">
        <is>
          <t>text/html</t>
        </is>
      </c>
      <c r="K449" t="n">
        <v>1</v>
      </c>
      <c r="L449" t="b">
        <v>1</v>
      </c>
      <c r="M449" t="b">
        <v>1</v>
      </c>
      <c r="N449" t="inlineStr">
        <is>
          <t>PROVED_BY_OWNER_SITE</t>
        </is>
      </c>
      <c r="O449" t="inlineStr">
        <is>
          <t>SIM</t>
        </is>
      </c>
      <c r="P449" t="inlineStr">
        <is>
          <t>SIM — declarado por dono italiano no proprio site</t>
        </is>
      </c>
      <c r="Q449" t="inlineStr">
        <is>
          <t>https://www.regione.toscana.it/agricoltura</t>
        </is>
      </c>
      <c r="R449" t="inlineStr">
        <is>
          <t>sonda HTTP read-only (GET limitado, payload nao preservado) + declaracao do perfil no site oficial do dono (rota publica, secao 10)</t>
        </is>
      </c>
      <c r="S449" t="inlineStr">
        <is>
          <t>2026-09-14T11:25:29Z</t>
        </is>
      </c>
      <c r="T449" t="inlineStr">
        <is>
          <t>NAO_SELECIONADA</t>
        </is>
      </c>
      <c r="U449" t="inlineStr">
        <is>
          <t>validada, mas fora do teto de 25 para INSTAGRAM (secao 20): a plataforma nao permite prova direta de identidade a partir do datacenter</t>
        </is>
      </c>
      <c r="V449" t="inlineStr">
        <is>
          <t>T1;T4;T12</t>
        </is>
      </c>
      <c r="W449" t="inlineStr">
        <is>
          <t>TOSCANA</t>
        </is>
      </c>
      <c r="X449" t="inlineStr">
        <is>
          <t>olivo;vite</t>
        </is>
      </c>
      <c r="Y449" t="inlineStr">
        <is>
          <t>agricoltura;PSR;olivo;vite</t>
        </is>
      </c>
      <c r="Z449" t="inlineStr">
        <is>
          <t xml:space="preserve">titulo da pagina: </t>
        </is>
      </c>
      <c r="AA449" t="inlineStr">
        <is>
          <t>site oficial do dono: https://www.regione.toscana.it/agricoltura</t>
        </is>
      </c>
      <c r="AB449" t="inlineStr">
        <is>
          <t>nao sorteada</t>
        </is>
      </c>
      <c r="AC449" t="inlineStr">
        <is>
          <t>nao sorteada</t>
        </is>
      </c>
      <c r="AE449" t="inlineStr">
        <is>
          <t>HTTP_429,THIN_BODY</t>
        </is>
      </c>
      <c r="AF449" t="inlineStr"/>
    </row>
    <row r="450">
      <c r="A450" t="inlineStr">
        <is>
          <t>IT-DISC-2026-09-14-0449</t>
        </is>
      </c>
      <c r="B450" t="inlineStr">
        <is>
          <t>Regione Molise — Agricoltura — Facebook ufficiale</t>
        </is>
      </c>
      <c r="C450" t="inlineStr">
        <is>
          <t>FACEBOOK</t>
        </is>
      </c>
      <c r="D450" t="inlineStr">
        <is>
          <t>ORG</t>
        </is>
      </c>
      <c r="E450" t="inlineStr">
        <is>
          <t>Regione Molise</t>
        </is>
      </c>
      <c r="F450" t="inlineStr">
        <is>
          <t>https://www.facebook.com/regionemolisepaginaufficiale</t>
        </is>
      </c>
      <c r="G450" t="inlineStr">
        <is>
          <t>https://www.facebook.com/regionemolisepaginaufficiale</t>
        </is>
      </c>
      <c r="H450" t="inlineStr">
        <is>
          <t>https://www.facebook.com/login/?next=https%3A%2F%2Fwww.facebook.com%2Fregionemolisepaginaufficiale</t>
        </is>
      </c>
      <c r="I450" t="n">
        <v>400</v>
      </c>
      <c r="J450" t="inlineStr">
        <is>
          <t>text/html</t>
        </is>
      </c>
      <c r="K450" t="n">
        <v>1</v>
      </c>
      <c r="L450" t="b">
        <v>1</v>
      </c>
      <c r="M450" t="b">
        <v>1</v>
      </c>
      <c r="N450" t="inlineStr">
        <is>
          <t>PROVED_BY_OWNER_SITE</t>
        </is>
      </c>
      <c r="O450" t="inlineStr">
        <is>
          <t>SIM</t>
        </is>
      </c>
      <c r="P450" t="inlineStr">
        <is>
          <t>SIM — declarado por dono italiano no proprio site</t>
        </is>
      </c>
      <c r="Q450" t="inlineStr">
        <is>
          <t>https://www.regione.molise.it/flex/cm/pages/ServeBLOB.php/L/IT/IDPagina/11683</t>
        </is>
      </c>
      <c r="R450" t="inlineStr">
        <is>
          <t>sonda HTTP read-only (GET limitado, payload nao preservado) + declaracao do perfil no site oficial do dono (rota publica, secao 10)</t>
        </is>
      </c>
      <c r="S450" t="inlineStr">
        <is>
          <t>2026-09-14T11:25:29Z</t>
        </is>
      </c>
      <c r="T450" t="inlineStr">
        <is>
          <t>REJECT</t>
        </is>
      </c>
      <c r="U450" t="inlineStr">
        <is>
          <t>HTTP 200 com pagina de erro (soft-404)</t>
        </is>
      </c>
      <c r="V450" t="inlineStr">
        <is>
          <t>T1;T4</t>
        </is>
      </c>
      <c r="W450" t="inlineStr">
        <is>
          <t>MOLISE</t>
        </is>
      </c>
      <c r="X450" t="inlineStr"/>
      <c r="Y450" t="inlineStr">
        <is>
          <t>agricoltura;PSR</t>
        </is>
      </c>
      <c r="Z450" t="inlineStr">
        <is>
          <t>titulo da pagina: Error</t>
        </is>
      </c>
      <c r="AA450" t="inlineStr">
        <is>
          <t>site oficial do dono: https://www.regione.molise.it/flex/cm/pages/ServeBLOB.php/L/IT/IDPagina/11683</t>
        </is>
      </c>
      <c r="AB450" t="inlineStr">
        <is>
          <t>nao sorteada</t>
        </is>
      </c>
      <c r="AC450" t="inlineStr">
        <is>
          <t>nao sorteada</t>
        </is>
      </c>
      <c r="AE450" t="inlineStr">
        <is>
          <t>HTTP_400,SOFT_404</t>
        </is>
      </c>
      <c r="AF450" t="inlineStr"/>
    </row>
    <row r="451">
      <c r="A451" t="inlineStr">
        <is>
          <t>IT-DISC-2026-09-14-0450</t>
        </is>
      </c>
      <c r="B451" t="inlineStr">
        <is>
          <t>Regione Molise — Agricoltura — Instagram ufficiale</t>
        </is>
      </c>
      <c r="C451" t="inlineStr">
        <is>
          <t>INSTAGRAM</t>
        </is>
      </c>
      <c r="D451" t="inlineStr">
        <is>
          <t>ORG</t>
        </is>
      </c>
      <c r="E451" t="inlineStr">
        <is>
          <t>Regione Molise</t>
        </is>
      </c>
      <c r="F451" t="inlineStr">
        <is>
          <t>https://www.instagram.com/regionemolise</t>
        </is>
      </c>
      <c r="G451" t="inlineStr">
        <is>
          <t>https://www.instagram.com/regionemolise</t>
        </is>
      </c>
      <c r="H451" t="inlineStr">
        <is>
          <t>https://www.instagram.com/accounts/login/?next=https%3A%2F%2Fwww.instagram.com%2Fregionemolise&amp;is_from_rle</t>
        </is>
      </c>
      <c r="I451" t="n">
        <v>429</v>
      </c>
      <c r="J451" t="inlineStr">
        <is>
          <t>text/html</t>
        </is>
      </c>
      <c r="K451" t="n">
        <v>1</v>
      </c>
      <c r="L451" t="b">
        <v>1</v>
      </c>
      <c r="M451" t="b">
        <v>1</v>
      </c>
      <c r="N451" t="inlineStr">
        <is>
          <t>PROVED_BY_OWNER_SITE</t>
        </is>
      </c>
      <c r="O451" t="inlineStr">
        <is>
          <t>SIM</t>
        </is>
      </c>
      <c r="P451" t="inlineStr">
        <is>
          <t>SIM — declarado por dono italiano no proprio site</t>
        </is>
      </c>
      <c r="Q451" t="inlineStr">
        <is>
          <t>https://www.regione.molise.it/flex/cm/pages/ServeBLOB.php/L/IT/IDPagina/11683</t>
        </is>
      </c>
      <c r="R451" t="inlineStr">
        <is>
          <t>sonda HTTP read-only (GET limitado, payload nao preservado) + declaracao do perfil no site oficial do dono (rota publica, secao 10)</t>
        </is>
      </c>
      <c r="S451" t="inlineStr">
        <is>
          <t>2026-09-14T11:25:29Z</t>
        </is>
      </c>
      <c r="T451" t="inlineStr">
        <is>
          <t>NAO_SELECIONADA</t>
        </is>
      </c>
      <c r="U451" t="inlineStr">
        <is>
          <t>validada, mas fora do teto de 25 para INSTAGRAM (secao 20): a plataforma nao permite prova direta de identidade a partir do datacenter</t>
        </is>
      </c>
      <c r="V451" t="inlineStr">
        <is>
          <t>T1;T4</t>
        </is>
      </c>
      <c r="W451" t="inlineStr">
        <is>
          <t>MOLISE</t>
        </is>
      </c>
      <c r="X451" t="inlineStr"/>
      <c r="Y451" t="inlineStr">
        <is>
          <t>agricoltura;PSR</t>
        </is>
      </c>
      <c r="Z451" t="inlineStr">
        <is>
          <t xml:space="preserve">titulo da pagina: </t>
        </is>
      </c>
      <c r="AA451" t="inlineStr">
        <is>
          <t>site oficial do dono: https://www.regione.molise.it/flex/cm/pages/ServeBLOB.php/L/IT/IDPagina/11683</t>
        </is>
      </c>
      <c r="AB451" t="inlineStr">
        <is>
          <t>nao sorteada</t>
        </is>
      </c>
      <c r="AC451" t="inlineStr">
        <is>
          <t>nao sorteada</t>
        </is>
      </c>
      <c r="AE451" t="inlineStr">
        <is>
          <t>HTTP_429,THIN_BODY</t>
        </is>
      </c>
      <c r="AF451" t="inlineStr"/>
    </row>
    <row r="452">
      <c r="A452" t="inlineStr">
        <is>
          <t>IT-DISC-2026-09-14-0451</t>
        </is>
      </c>
      <c r="B452" t="inlineStr">
        <is>
          <t>Institut Agricole Regional — Aosta — Instagram ufficiale</t>
        </is>
      </c>
      <c r="C452" t="inlineStr">
        <is>
          <t>INSTAGRAM</t>
        </is>
      </c>
      <c r="D452" t="inlineStr">
        <is>
          <t>ORG</t>
        </is>
      </c>
      <c r="E452" t="inlineStr">
        <is>
          <t>Institut Agricole Regional</t>
        </is>
      </c>
      <c r="F452" t="inlineStr">
        <is>
          <t>https://www.instagram.com/institutagricoleregional</t>
        </is>
      </c>
      <c r="G452" t="inlineStr">
        <is>
          <t>https://www.instagram.com/institutagricoleregional</t>
        </is>
      </c>
      <c r="H452" t="inlineStr">
        <is>
          <t>https://www.instagram.com/accounts/login/?next=https%3A%2F%2Fwww.instagram.com%2Finstitutagricoleregional&amp;is_from_rle</t>
        </is>
      </c>
      <c r="I452" t="n">
        <v>429</v>
      </c>
      <c r="J452" t="inlineStr">
        <is>
          <t>text/html</t>
        </is>
      </c>
      <c r="K452" t="n">
        <v>1</v>
      </c>
      <c r="L452" t="b">
        <v>1</v>
      </c>
      <c r="M452" t="b">
        <v>1</v>
      </c>
      <c r="N452" t="inlineStr">
        <is>
          <t>PROVED_BY_OWNER_SITE</t>
        </is>
      </c>
      <c r="O452" t="inlineStr">
        <is>
          <t>SIM</t>
        </is>
      </c>
      <c r="P452" t="inlineStr">
        <is>
          <t>SIM — declarado por dono italiano no proprio site</t>
        </is>
      </c>
      <c r="Q452" t="inlineStr">
        <is>
          <t>https://www.iaraosta.it/</t>
        </is>
      </c>
      <c r="R452" t="inlineStr">
        <is>
          <t>sonda HTTP read-only (GET limitado, payload nao preservado) + declaracao do perfil no site oficial do dono (rota publica, secao 10)</t>
        </is>
      </c>
      <c r="S452" t="inlineStr">
        <is>
          <t>2026-09-14T11:25:30Z</t>
        </is>
      </c>
      <c r="T452" t="inlineStr">
        <is>
          <t>NAO_SELECIONADA</t>
        </is>
      </c>
      <c r="U452" t="inlineStr">
        <is>
          <t>validada, mas fora do teto de 25 para INSTAGRAM (secao 20): a plataforma nao permite prova direta de identidade a partir do datacenter</t>
        </is>
      </c>
      <c r="V452" t="inlineStr">
        <is>
          <t>T5;T1;T7</t>
        </is>
      </c>
      <c r="W452" t="inlineStr">
        <is>
          <t>VALLE D'AOSTA</t>
        </is>
      </c>
      <c r="X452" t="inlineStr"/>
      <c r="Y452" t="inlineStr">
        <is>
          <t>ricerca;formazione;viticoltura alpina</t>
        </is>
      </c>
      <c r="Z452" t="inlineStr">
        <is>
          <t xml:space="preserve">titulo da pagina: </t>
        </is>
      </c>
      <c r="AA452" t="inlineStr">
        <is>
          <t>site oficial do dono: https://www.iaraosta.it/</t>
        </is>
      </c>
      <c r="AB452" t="inlineStr">
        <is>
          <t>nao sorteada</t>
        </is>
      </c>
      <c r="AC452" t="inlineStr">
        <is>
          <t>nao sorteada</t>
        </is>
      </c>
      <c r="AE452" t="inlineStr">
        <is>
          <t>HTTP_429,THIN_BODY</t>
        </is>
      </c>
      <c r="AF452" t="inlineStr"/>
    </row>
    <row r="453">
      <c r="A453" t="inlineStr">
        <is>
          <t>IT-DISC-2026-09-14-0452</t>
        </is>
      </c>
      <c r="B453" t="inlineStr">
        <is>
          <t>Institut Agricole Regional — Aosta — Facebook ufficiale</t>
        </is>
      </c>
      <c r="C453" t="inlineStr">
        <is>
          <t>FACEBOOK</t>
        </is>
      </c>
      <c r="D453" t="inlineStr">
        <is>
          <t>ORG</t>
        </is>
      </c>
      <c r="E453" t="inlineStr">
        <is>
          <t>Institut Agricole Regional</t>
        </is>
      </c>
      <c r="F453" t="inlineStr">
        <is>
          <t>https://www.facebook.com/iaraosta</t>
        </is>
      </c>
      <c r="G453" t="inlineStr">
        <is>
          <t>https://www.facebook.com/iaraosta</t>
        </is>
      </c>
      <c r="H453" t="inlineStr">
        <is>
          <t>https://www.facebook.com/login/?next=https%3A%2F%2Fwww.facebook.com%2Fiaraosta</t>
        </is>
      </c>
      <c r="I453" t="n">
        <v>200</v>
      </c>
      <c r="J453" t="inlineStr">
        <is>
          <t>text/html</t>
        </is>
      </c>
      <c r="K453" t="n">
        <v>1</v>
      </c>
      <c r="L453" t="b">
        <v>1</v>
      </c>
      <c r="M453" t="b">
        <v>1</v>
      </c>
      <c r="N453" t="inlineStr">
        <is>
          <t>PROVED_BY_OWNER_SITE</t>
        </is>
      </c>
      <c r="O453" t="inlineStr">
        <is>
          <t>SIM</t>
        </is>
      </c>
      <c r="P453" t="inlineStr">
        <is>
          <t>SIM — declarado por dono italiano no proprio site</t>
        </is>
      </c>
      <c r="Q453" t="inlineStr">
        <is>
          <t>https://www.iaraosta.it/</t>
        </is>
      </c>
      <c r="R453" t="inlineStr">
        <is>
          <t>sonda HTTP read-only (GET limitado, payload nao preservado) + declaracao do perfil no site oficial do dono (rota publica, secao 10)</t>
        </is>
      </c>
      <c r="S453" t="inlineStr">
        <is>
          <t>2026-09-14T11:25:30Z</t>
        </is>
      </c>
      <c r="T453" t="inlineStr">
        <is>
          <t>NAO_SELECIONADA</t>
        </is>
      </c>
      <c r="U453" t="inlineStr">
        <is>
          <t>validada, mas fora do teto de 20 para FACEBOOK (secao 20): a plataforma nao permite prova direta de identidade a partir do datacenter</t>
        </is>
      </c>
      <c r="V453" t="inlineStr">
        <is>
          <t>T5;T1;T7</t>
        </is>
      </c>
      <c r="W453" t="inlineStr">
        <is>
          <t>VALLE D'AOSTA</t>
        </is>
      </c>
      <c r="X453" t="inlineStr"/>
      <c r="Y453" t="inlineStr">
        <is>
          <t>ricerca;formazione;viticoltura alpina</t>
        </is>
      </c>
      <c r="Z453" t="inlineStr">
        <is>
          <t>titulo da pagina: Facebook</t>
        </is>
      </c>
      <c r="AA453" t="inlineStr">
        <is>
          <t>site oficial do dono: https://www.iaraosta.it/</t>
        </is>
      </c>
      <c r="AB453" t="inlineStr">
        <is>
          <t>nao sorteada</t>
        </is>
      </c>
      <c r="AC453" t="inlineStr">
        <is>
          <t>nao sorteada</t>
        </is>
      </c>
      <c r="AE453" t="inlineStr">
        <is>
          <t>PLATFORM_GENERIC_TITLE</t>
        </is>
      </c>
      <c r="AF453" t="inlineStr"/>
    </row>
    <row r="454">
      <c r="A454" t="inlineStr">
        <is>
          <t>IT-DISC-2026-09-14-0453</t>
        </is>
      </c>
      <c r="B454" t="inlineStr">
        <is>
          <t>Institut Agricole Regional — Aosta — Linkedin ufficiale</t>
        </is>
      </c>
      <c r="C454" t="inlineStr">
        <is>
          <t>LINKEDIN</t>
        </is>
      </c>
      <c r="D454" t="inlineStr">
        <is>
          <t>ORG</t>
        </is>
      </c>
      <c r="E454" t="inlineStr">
        <is>
          <t>Institut Agricole Regional</t>
        </is>
      </c>
      <c r="F454" t="inlineStr">
        <is>
          <t>https://www.linkedin.com/company/institut-agricole-r</t>
        </is>
      </c>
      <c r="G454" t="inlineStr">
        <is>
          <t>https://www.linkedin.com/company/institut-agricole-r</t>
        </is>
      </c>
      <c r="H454" t="inlineStr">
        <is>
          <t>https://www.linkedin.com/company/institut-agricole-r</t>
        </is>
      </c>
      <c r="I454" t="n">
        <v>404</v>
      </c>
      <c r="J454" t="inlineStr">
        <is>
          <t>text/html</t>
        </is>
      </c>
      <c r="K454" t="n">
        <v>0</v>
      </c>
      <c r="L454" t="b">
        <v>1</v>
      </c>
      <c r="M454" t="b">
        <v>1</v>
      </c>
      <c r="N454" t="inlineStr">
        <is>
          <t>PROVED_BY_OWNER_SITE</t>
        </is>
      </c>
      <c r="O454" t="inlineStr">
        <is>
          <t>SIM</t>
        </is>
      </c>
      <c r="P454" t="inlineStr">
        <is>
          <t>SIM — declarado por dono italiano no proprio site</t>
        </is>
      </c>
      <c r="Q454" t="inlineStr">
        <is>
          <t>https://www.iaraosta.it/</t>
        </is>
      </c>
      <c r="R454" t="inlineStr">
        <is>
          <t>sonda HTTP read-only (GET limitado, payload nao preservado) + declaracao do perfil no site oficial do dono (rota publica, secao 10)</t>
        </is>
      </c>
      <c r="S454" t="inlineStr">
        <is>
          <t>2026-09-14T11:25:30Z</t>
        </is>
      </c>
      <c r="T454" t="inlineStr">
        <is>
          <t>REJECT</t>
        </is>
      </c>
      <c r="U454" t="inlineStr">
        <is>
          <t>HTTP 404</t>
        </is>
      </c>
      <c r="V454" t="inlineStr">
        <is>
          <t>T5;T1;T7</t>
        </is>
      </c>
      <c r="W454" t="inlineStr">
        <is>
          <t>VALLE D'AOSTA</t>
        </is>
      </c>
      <c r="X454" t="inlineStr"/>
      <c r="Y454" t="inlineStr">
        <is>
          <t>ricerca;formazione;viticoltura alpina</t>
        </is>
      </c>
      <c r="Z454" t="inlineStr">
        <is>
          <t>titulo da pagina: LinkedIn</t>
        </is>
      </c>
      <c r="AA454" t="inlineStr">
        <is>
          <t>site oficial do dono: https://www.iaraosta.it/</t>
        </is>
      </c>
      <c r="AB454" t="inlineStr">
        <is>
          <t>nao sorteada</t>
        </is>
      </c>
      <c r="AC454" t="inlineStr">
        <is>
          <t>nao sorteada</t>
        </is>
      </c>
      <c r="AE454" t="inlineStr">
        <is>
          <t>HTTP_404,PLATFORM_GENERIC_TITLE</t>
        </is>
      </c>
      <c r="AF454" t="inlineStr"/>
    </row>
    <row r="455">
      <c r="A455" t="inlineStr">
        <is>
          <t>IT-DISC-2026-09-14-0454</t>
        </is>
      </c>
      <c r="B455" t="inlineStr">
        <is>
          <t>Institut Agricole Regional — Aosta — Youtube ufficiale</t>
        </is>
      </c>
      <c r="C455" t="inlineStr">
        <is>
          <t>YOUTUBE</t>
        </is>
      </c>
      <c r="D455" t="inlineStr">
        <is>
          <t>ORG</t>
        </is>
      </c>
      <c r="E455" t="inlineStr">
        <is>
          <t>Institut Agricole Regional</t>
        </is>
      </c>
      <c r="F455" t="inlineStr">
        <is>
          <t>https://www.youtube.com/c/InstitutAgricoleR</t>
        </is>
      </c>
      <c r="G455" t="inlineStr">
        <is>
          <t>https://www.youtube.com/c/InstitutAgricoleR</t>
        </is>
      </c>
      <c r="H455" t="inlineStr">
        <is>
          <t>https://www.youtube.com/c/InstitutAgricoleR</t>
        </is>
      </c>
      <c r="I455" t="n">
        <v>404</v>
      </c>
      <c r="J455" t="inlineStr">
        <is>
          <t>text/html</t>
        </is>
      </c>
      <c r="K455" t="n">
        <v>0</v>
      </c>
      <c r="L455" t="b">
        <v>1</v>
      </c>
      <c r="M455" t="b">
        <v>1</v>
      </c>
      <c r="N455" t="inlineStr">
        <is>
          <t>PROVED_BY_OWNER_SITE</t>
        </is>
      </c>
      <c r="O455" t="inlineStr">
        <is>
          <t>SIM</t>
        </is>
      </c>
      <c r="P455" t="inlineStr">
        <is>
          <t>SIM — declarado por dono italiano no proprio site</t>
        </is>
      </c>
      <c r="Q455" t="inlineStr">
        <is>
          <t>https://www.iaraosta.it/</t>
        </is>
      </c>
      <c r="R455" t="inlineStr">
        <is>
          <t>sonda HTTP read-only (GET limitado, payload nao preservado) + declaracao do perfil no site oficial do dono (rota publica, secao 10)</t>
        </is>
      </c>
      <c r="S455" t="inlineStr">
        <is>
          <t>2026-09-14T11:25:30Z</t>
        </is>
      </c>
      <c r="T455" t="inlineStr">
        <is>
          <t>REJECT</t>
        </is>
      </c>
      <c r="U455" t="inlineStr">
        <is>
          <t>HTTP 200 com pagina de erro (soft-404)</t>
        </is>
      </c>
      <c r="V455" t="inlineStr">
        <is>
          <t>T5;T1;T7</t>
        </is>
      </c>
      <c r="W455" t="inlineStr">
        <is>
          <t>VALLE D'AOSTA</t>
        </is>
      </c>
      <c r="X455" t="inlineStr"/>
      <c r="Y455" t="inlineStr">
        <is>
          <t>ricerca;formazione;viticoltura alpina</t>
        </is>
      </c>
      <c r="Z455" t="inlineStr">
        <is>
          <t>titulo da pagina: 404 Not Found</t>
        </is>
      </c>
      <c r="AA455" t="inlineStr">
        <is>
          <t>site oficial do dono: https://www.iaraosta.it/</t>
        </is>
      </c>
      <c r="AB455" t="inlineStr">
        <is>
          <t>nao sorteada</t>
        </is>
      </c>
      <c r="AC455" t="inlineStr">
        <is>
          <t>nao sorteada</t>
        </is>
      </c>
      <c r="AE455" t="inlineStr">
        <is>
          <t>HTTP_404,SOFT_404,THIN_BODY</t>
        </is>
      </c>
      <c r="AF455" t="inlineStr"/>
    </row>
    <row r="456">
      <c r="A456" t="inlineStr">
        <is>
          <t>IT-DISC-2026-09-14-0455</t>
        </is>
      </c>
      <c r="B456" t="inlineStr">
        <is>
          <t>ARPAT Toscana — Facebook ufficiale</t>
        </is>
      </c>
      <c r="C456" t="inlineStr">
        <is>
          <t>FACEBOOK</t>
        </is>
      </c>
      <c r="D456" t="inlineStr">
        <is>
          <t>ORG</t>
        </is>
      </c>
      <c r="E456" t="inlineStr">
        <is>
          <t>ARPAT</t>
        </is>
      </c>
      <c r="F456" t="inlineStr">
        <is>
          <t>https://www.facebook.com/Arpatnews</t>
        </is>
      </c>
      <c r="G456" t="inlineStr">
        <is>
          <t>https://www.facebook.com/Arpatnews</t>
        </is>
      </c>
      <c r="H456" t="inlineStr">
        <is>
          <t>https://www.facebook.com/login/?next=https%3A%2F%2Fwww.facebook.com%2FArpatnews</t>
        </is>
      </c>
      <c r="I456" t="n">
        <v>400</v>
      </c>
      <c r="J456" t="inlineStr">
        <is>
          <t>text/html</t>
        </is>
      </c>
      <c r="K456" t="n">
        <v>1</v>
      </c>
      <c r="L456" t="b">
        <v>1</v>
      </c>
      <c r="M456" t="b">
        <v>1</v>
      </c>
      <c r="N456" t="inlineStr">
        <is>
          <t>PROVED_BY_OWNER_SITE</t>
        </is>
      </c>
      <c r="O456" t="inlineStr">
        <is>
          <t>SIM</t>
        </is>
      </c>
      <c r="P456" t="inlineStr">
        <is>
          <t>SIM — declarado por dono italiano no proprio site</t>
        </is>
      </c>
      <c r="Q456" t="inlineStr">
        <is>
          <t>https://www.arpat.toscana.it/</t>
        </is>
      </c>
      <c r="R456" t="inlineStr">
        <is>
          <t>sonda HTTP read-only (GET limitado, payload nao preservado) + declaracao do perfil no site oficial do dono (rota publica, secao 10)</t>
        </is>
      </c>
      <c r="S456" t="inlineStr">
        <is>
          <t>2026-09-14T11:25:30Z</t>
        </is>
      </c>
      <c r="T456" t="inlineStr">
        <is>
          <t>REJECT</t>
        </is>
      </c>
      <c r="U456" t="inlineStr">
        <is>
          <t>HTTP 200 com pagina de erro (soft-404)</t>
        </is>
      </c>
      <c r="V456" t="inlineStr">
        <is>
          <t>T2;T12</t>
        </is>
      </c>
      <c r="W456" t="inlineStr">
        <is>
          <t>TOSCANA</t>
        </is>
      </c>
      <c r="X456" t="inlineStr"/>
      <c r="Y456" t="inlineStr">
        <is>
          <t>ambiente;acque;monitoraggio</t>
        </is>
      </c>
      <c r="Z456" t="inlineStr">
        <is>
          <t>titulo da pagina: Error</t>
        </is>
      </c>
      <c r="AA456" t="inlineStr">
        <is>
          <t>site oficial do dono: https://www.arpat.toscana.it/</t>
        </is>
      </c>
      <c r="AB456" t="inlineStr">
        <is>
          <t>nao sorteada</t>
        </is>
      </c>
      <c r="AC456" t="inlineStr">
        <is>
          <t>nao sorteada</t>
        </is>
      </c>
      <c r="AE456" t="inlineStr">
        <is>
          <t>HTTP_400,SOFT_404</t>
        </is>
      </c>
      <c r="AF456" t="inlineStr"/>
    </row>
    <row r="457">
      <c r="A457" t="inlineStr">
        <is>
          <t>IT-DISC-2026-09-14-0456</t>
        </is>
      </c>
      <c r="B457" t="inlineStr">
        <is>
          <t>ARPA Liguria — Linkedin ufficiale</t>
        </is>
      </c>
      <c r="C457" t="inlineStr">
        <is>
          <t>LINKEDIN</t>
        </is>
      </c>
      <c r="D457" t="inlineStr">
        <is>
          <t>ORG</t>
        </is>
      </c>
      <c r="E457" t="inlineStr">
        <is>
          <t>ARPAL</t>
        </is>
      </c>
      <c r="F457" t="inlineStr">
        <is>
          <t>https://www.linkedin.com/company/arpal-agenziaregionaleperl</t>
        </is>
      </c>
      <c r="G457" t="inlineStr">
        <is>
          <t>https://www.linkedin.com/company/arpal-agenziaregionaleperl</t>
        </is>
      </c>
      <c r="H457" t="inlineStr">
        <is>
          <t>https://www.linkedin.com/company/arpal-agenziaregionaleperl</t>
        </is>
      </c>
      <c r="I457" t="n">
        <v>404</v>
      </c>
      <c r="J457" t="inlineStr">
        <is>
          <t>text/html</t>
        </is>
      </c>
      <c r="K457" t="n">
        <v>0</v>
      </c>
      <c r="L457" t="b">
        <v>1</v>
      </c>
      <c r="M457" t="b">
        <v>1</v>
      </c>
      <c r="N457" t="inlineStr">
        <is>
          <t>PROVED_BY_OWNER_SITE</t>
        </is>
      </c>
      <c r="O457" t="inlineStr">
        <is>
          <t>SIM</t>
        </is>
      </c>
      <c r="P457" t="inlineStr">
        <is>
          <t>SIM — declarado por dono italiano no proprio site</t>
        </is>
      </c>
      <c r="Q457" t="inlineStr">
        <is>
          <t>https://www.arpal.liguria.it/</t>
        </is>
      </c>
      <c r="R457" t="inlineStr">
        <is>
          <t>sonda HTTP read-only (GET limitado, payload nao preservado) + declaracao do perfil no site oficial do dono (rota publica, secao 10)</t>
        </is>
      </c>
      <c r="S457" t="inlineStr">
        <is>
          <t>2026-09-14T11:25:31Z</t>
        </is>
      </c>
      <c r="T457" t="inlineStr">
        <is>
          <t>REJECT</t>
        </is>
      </c>
      <c r="U457" t="inlineStr">
        <is>
          <t>HTTP 404</t>
        </is>
      </c>
      <c r="V457" t="inlineStr">
        <is>
          <t>T2;T12</t>
        </is>
      </c>
      <c r="W457" t="inlineStr">
        <is>
          <t>LIGURIA</t>
        </is>
      </c>
      <c r="X457" t="inlineStr"/>
      <c r="Y457" t="inlineStr">
        <is>
          <t>meteo;ambiente;allerta</t>
        </is>
      </c>
      <c r="Z457" t="inlineStr">
        <is>
          <t>titulo da pagina: LinkedIn</t>
        </is>
      </c>
      <c r="AA457" t="inlineStr">
        <is>
          <t>site oficial do dono: https://www.arpal.liguria.it/</t>
        </is>
      </c>
      <c r="AB457" t="inlineStr">
        <is>
          <t>nao sorteada</t>
        </is>
      </c>
      <c r="AC457" t="inlineStr">
        <is>
          <t>nao sorteada</t>
        </is>
      </c>
      <c r="AE457" t="inlineStr">
        <is>
          <t>HTTP_404,PLATFORM_GENERIC_TITLE</t>
        </is>
      </c>
      <c r="AF457" t="inlineStr"/>
    </row>
    <row r="458">
      <c r="A458" t="inlineStr">
        <is>
          <t>IT-DISC-2026-09-14-0457</t>
        </is>
      </c>
      <c r="B458" t="inlineStr">
        <is>
          <t>UNIBO DISTAL — Dipartimento di Scienze e Tecnologie Agro-Alimentari — Facebook ufficiale</t>
        </is>
      </c>
      <c r="C458" t="inlineStr">
        <is>
          <t>FACEBOOK</t>
        </is>
      </c>
      <c r="D458" t="inlineStr">
        <is>
          <t>ORG</t>
        </is>
      </c>
      <c r="E458" t="inlineStr">
        <is>
          <t>Universita di Bologna</t>
        </is>
      </c>
      <c r="F458" t="inlineStr">
        <is>
          <t>https://www.facebook.com/distal.unibo</t>
        </is>
      </c>
      <c r="G458" t="inlineStr">
        <is>
          <t>https://www.facebook.com/distal.unibo</t>
        </is>
      </c>
      <c r="H458" t="inlineStr">
        <is>
          <t>https://www.facebook.com/login/?next=https%3A%2F%2Fwww.facebook.com%2Fdistal.unibo</t>
        </is>
      </c>
      <c r="I458" t="n">
        <v>200</v>
      </c>
      <c r="J458" t="inlineStr">
        <is>
          <t>text/html</t>
        </is>
      </c>
      <c r="K458" t="n">
        <v>1</v>
      </c>
      <c r="L458" t="b">
        <v>1</v>
      </c>
      <c r="M458" t="b">
        <v>1</v>
      </c>
      <c r="N458" t="inlineStr">
        <is>
          <t>PROVED_BY_OWNER_SITE</t>
        </is>
      </c>
      <c r="O458" t="inlineStr">
        <is>
          <t>SIM</t>
        </is>
      </c>
      <c r="P458" t="inlineStr">
        <is>
          <t>SIM — declarado por dono italiano no proprio site</t>
        </is>
      </c>
      <c r="Q458" t="inlineStr">
        <is>
          <t>https://distal.unibo.it/it</t>
        </is>
      </c>
      <c r="R458" t="inlineStr">
        <is>
          <t>sonda HTTP read-only (GET limitado, payload nao preservado) + declaracao do perfil no site oficial do dono (rota publica, secao 10)</t>
        </is>
      </c>
      <c r="S458" t="inlineStr">
        <is>
          <t>2026-09-14T11:25:32Z</t>
        </is>
      </c>
      <c r="T458" t="inlineStr">
        <is>
          <t>NAO_SELECIONADA</t>
        </is>
      </c>
      <c r="U458" t="inlineStr">
        <is>
          <t>validada, mas fora do teto de 20 para FACEBOOK (secao 20): a plataforma nao permite prova direta de identidade a partir do datacenter</t>
        </is>
      </c>
      <c r="V458" t="inlineStr">
        <is>
          <t>T5;T6;T1</t>
        </is>
      </c>
      <c r="W458" t="inlineStr">
        <is>
          <t>EMILIA-ROMAGNA</t>
        </is>
      </c>
      <c r="X458" t="inlineStr"/>
      <c r="Y458" t="inlineStr">
        <is>
          <t>agraria;patologia;entomologia;agronomia</t>
        </is>
      </c>
      <c r="Z458" t="inlineStr">
        <is>
          <t>titulo da pagina: Facebook</t>
        </is>
      </c>
      <c r="AA458" t="inlineStr">
        <is>
          <t>site oficial do dono: https://distal.unibo.it/it</t>
        </is>
      </c>
      <c r="AB458" t="inlineStr">
        <is>
          <t>nao sorteada</t>
        </is>
      </c>
      <c r="AC458" t="inlineStr">
        <is>
          <t>nao sorteada</t>
        </is>
      </c>
      <c r="AE458" t="inlineStr">
        <is>
          <t>PLATFORM_GENERIC_TITLE</t>
        </is>
      </c>
      <c r="AF458" t="inlineStr"/>
    </row>
    <row r="459">
      <c r="A459" t="inlineStr">
        <is>
          <t>IT-DISC-2026-09-14-0458</t>
        </is>
      </c>
      <c r="B459" t="inlineStr">
        <is>
          <t>UNIBO DISTAL — Dipartimento di Scienze e Tecnologie Agro-Alimentari — Instagram ufficiale</t>
        </is>
      </c>
      <c r="C459" t="inlineStr">
        <is>
          <t>INSTAGRAM</t>
        </is>
      </c>
      <c r="D459" t="inlineStr">
        <is>
          <t>ORG</t>
        </is>
      </c>
      <c r="E459" t="inlineStr">
        <is>
          <t>Universita di Bologna</t>
        </is>
      </c>
      <c r="F459" t="inlineStr">
        <is>
          <t>https://www.instagram.com/distal.unibo</t>
        </is>
      </c>
      <c r="G459" t="inlineStr">
        <is>
          <t>https://www.instagram.com/distal.unibo</t>
        </is>
      </c>
      <c r="H459" t="inlineStr">
        <is>
          <t>https://www.instagram.com/accounts/login/?next=https%3A%2F%2Fwww.instagram.com%2Fdistal.unibo&amp;is_from_rle</t>
        </is>
      </c>
      <c r="I459" t="n">
        <v>429</v>
      </c>
      <c r="J459" t="inlineStr">
        <is>
          <t>text/html</t>
        </is>
      </c>
      <c r="K459" t="n">
        <v>1</v>
      </c>
      <c r="L459" t="b">
        <v>1</v>
      </c>
      <c r="M459" t="b">
        <v>1</v>
      </c>
      <c r="N459" t="inlineStr">
        <is>
          <t>PROVED_BY_OWNER_SITE</t>
        </is>
      </c>
      <c r="O459" t="inlineStr">
        <is>
          <t>SIM</t>
        </is>
      </c>
      <c r="P459" t="inlineStr">
        <is>
          <t>SIM — declarado por dono italiano no proprio site</t>
        </is>
      </c>
      <c r="Q459" t="inlineStr">
        <is>
          <t>https://distal.unibo.it/it</t>
        </is>
      </c>
      <c r="R459" t="inlineStr">
        <is>
          <t>sonda HTTP read-only (GET limitado, payload nao preservado) + declaracao do perfil no site oficial do dono (rota publica, secao 10)</t>
        </is>
      </c>
      <c r="S459" t="inlineStr">
        <is>
          <t>2026-09-14T11:25:33Z</t>
        </is>
      </c>
      <c r="T459" t="inlineStr">
        <is>
          <t>NAO_SELECIONADA</t>
        </is>
      </c>
      <c r="U459" t="inlineStr">
        <is>
          <t>validada, mas fora do teto de 25 para INSTAGRAM (secao 20): a plataforma nao permite prova direta de identidade a partir do datacenter</t>
        </is>
      </c>
      <c r="V459" t="inlineStr">
        <is>
          <t>T5;T6;T1</t>
        </is>
      </c>
      <c r="W459" t="inlineStr">
        <is>
          <t>EMILIA-ROMAGNA</t>
        </is>
      </c>
      <c r="X459" t="inlineStr"/>
      <c r="Y459" t="inlineStr">
        <is>
          <t>agraria;patologia;entomologia;agronomia</t>
        </is>
      </c>
      <c r="Z459" t="inlineStr">
        <is>
          <t xml:space="preserve">titulo da pagina: </t>
        </is>
      </c>
      <c r="AA459" t="inlineStr">
        <is>
          <t>site oficial do dono: https://distal.unibo.it/it</t>
        </is>
      </c>
      <c r="AB459" t="inlineStr">
        <is>
          <t>nao sorteada</t>
        </is>
      </c>
      <c r="AC459" t="inlineStr">
        <is>
          <t>nao sorteada</t>
        </is>
      </c>
      <c r="AE459" t="inlineStr">
        <is>
          <t>HTTP_429,THIN_BODY</t>
        </is>
      </c>
      <c r="AF459" t="inlineStr"/>
    </row>
    <row r="460">
      <c r="A460" t="inlineStr">
        <is>
          <t>IT-DISC-2026-09-14-0459</t>
        </is>
      </c>
      <c r="B460" t="inlineStr">
        <is>
          <t>UNIMI DiSAA — Dipartimento di Scienze Agrarie e Ambientali — Youtube ufficiale</t>
        </is>
      </c>
      <c r="C460" t="inlineStr">
        <is>
          <t>YOUTUBE</t>
        </is>
      </c>
      <c r="D460" t="inlineStr">
        <is>
          <t>ORG</t>
        </is>
      </c>
      <c r="E460" t="inlineStr">
        <is>
          <t>Universita degli Studi di Milano</t>
        </is>
      </c>
      <c r="F460" t="inlineStr">
        <is>
          <t>https://www.youtube.com/@sitodisaapress4093/videos</t>
        </is>
      </c>
      <c r="G460" t="inlineStr">
        <is>
          <t>https://www.youtube.com/@sitodisaapress4093/videos</t>
        </is>
      </c>
      <c r="H460" t="inlineStr">
        <is>
          <t>https://www.youtube.com/@sitodisaapress4093/videos</t>
        </is>
      </c>
      <c r="I460" t="n">
        <v>404</v>
      </c>
      <c r="J460" t="inlineStr">
        <is>
          <t>text/html</t>
        </is>
      </c>
      <c r="K460" t="n">
        <v>0</v>
      </c>
      <c r="L460" t="b">
        <v>1</v>
      </c>
      <c r="M460" t="b">
        <v>1</v>
      </c>
      <c r="N460" t="inlineStr">
        <is>
          <t>PROVED_BY_OWNER_SITE</t>
        </is>
      </c>
      <c r="O460" t="inlineStr">
        <is>
          <t>SIM</t>
        </is>
      </c>
      <c r="P460" t="inlineStr">
        <is>
          <t>SIM — declarado por dono italiano no proprio site</t>
        </is>
      </c>
      <c r="Q460" t="inlineStr">
        <is>
          <t>https://www.disaa.unimi.it/it</t>
        </is>
      </c>
      <c r="R460" t="inlineStr">
        <is>
          <t>sonda HTTP read-only (GET limitado, payload nao preservado) + declaracao do perfil no site oficial do dono (rota publica, secao 10)</t>
        </is>
      </c>
      <c r="S460" t="inlineStr">
        <is>
          <t>2026-09-14T11:25:33Z</t>
        </is>
      </c>
      <c r="T460" t="inlineStr">
        <is>
          <t>REJECT</t>
        </is>
      </c>
      <c r="U460" t="inlineStr">
        <is>
          <t>HTTP 200 com pagina de erro (soft-404)</t>
        </is>
      </c>
      <c r="V460" t="inlineStr">
        <is>
          <t>T5;T6;T1</t>
        </is>
      </c>
      <c r="W460" t="inlineStr">
        <is>
          <t>LOMBARDIA</t>
        </is>
      </c>
      <c r="X460" t="inlineStr">
        <is>
          <t>mais;riso</t>
        </is>
      </c>
      <c r="Y460" t="inlineStr">
        <is>
          <t>agronomia;difesa;riso;mais</t>
        </is>
      </c>
      <c r="Z460" t="inlineStr">
        <is>
          <t>titulo da pagina: 404 Not Found</t>
        </is>
      </c>
      <c r="AA460" t="inlineStr">
        <is>
          <t>site oficial do dono: https://www.disaa.unimi.it/it</t>
        </is>
      </c>
      <c r="AB460" t="inlineStr">
        <is>
          <t>nao sorteada</t>
        </is>
      </c>
      <c r="AC460" t="inlineStr">
        <is>
          <t>nao sorteada</t>
        </is>
      </c>
      <c r="AE460" t="inlineStr">
        <is>
          <t>HTTP_404,SOFT_404,THIN_BODY</t>
        </is>
      </c>
      <c r="AF460" t="inlineStr"/>
    </row>
    <row r="461">
      <c r="A461" t="inlineStr">
        <is>
          <t>IT-DISC-2026-09-14-0460</t>
        </is>
      </c>
      <c r="B461" t="inlineStr">
        <is>
          <t>UNIMI DiSAA — Dipartimento di Scienze Agrarie e Ambientali — Instagram ufficiale</t>
        </is>
      </c>
      <c r="C461" t="inlineStr">
        <is>
          <t>INSTAGRAM</t>
        </is>
      </c>
      <c r="D461" t="inlineStr">
        <is>
          <t>ORG</t>
        </is>
      </c>
      <c r="E461" t="inlineStr">
        <is>
          <t>Universita degli Studi di Milano</t>
        </is>
      </c>
      <c r="F461" t="inlineStr">
        <is>
          <t>https://www.instagram.com/disaa_unimi</t>
        </is>
      </c>
      <c r="G461" t="inlineStr">
        <is>
          <t>https://www.instagram.com/disaa_unimi</t>
        </is>
      </c>
      <c r="H461" t="inlineStr">
        <is>
          <t>https://www.instagram.com/accounts/login/?next=https%3A%2F%2Fwww.instagram.com%2Fdisaa_unimi&amp;is_from_rle</t>
        </is>
      </c>
      <c r="I461" t="n">
        <v>429</v>
      </c>
      <c r="J461" t="inlineStr">
        <is>
          <t>text/html</t>
        </is>
      </c>
      <c r="K461" t="n">
        <v>1</v>
      </c>
      <c r="L461" t="b">
        <v>1</v>
      </c>
      <c r="M461" t="b">
        <v>1</v>
      </c>
      <c r="N461" t="inlineStr">
        <is>
          <t>PROVED_BY_OWNER_SITE</t>
        </is>
      </c>
      <c r="O461" t="inlineStr">
        <is>
          <t>SIM</t>
        </is>
      </c>
      <c r="P461" t="inlineStr">
        <is>
          <t>SIM — declarado por dono italiano no proprio site</t>
        </is>
      </c>
      <c r="Q461" t="inlineStr">
        <is>
          <t>https://www.disaa.unimi.it/it</t>
        </is>
      </c>
      <c r="R461" t="inlineStr">
        <is>
          <t>sonda HTTP read-only (GET limitado, payload nao preservado) + declaracao do perfil no site oficial do dono (rota publica, secao 10)</t>
        </is>
      </c>
      <c r="S461" t="inlineStr">
        <is>
          <t>2026-09-14T11:25:33Z</t>
        </is>
      </c>
      <c r="T461" t="inlineStr">
        <is>
          <t>NAO_SELECIONADA</t>
        </is>
      </c>
      <c r="U461" t="inlineStr">
        <is>
          <t>validada, mas fora do teto de 25 para INSTAGRAM (secao 20): a plataforma nao permite prova direta de identidade a partir do datacenter</t>
        </is>
      </c>
      <c r="V461" t="inlineStr">
        <is>
          <t>T5;T6;T1</t>
        </is>
      </c>
      <c r="W461" t="inlineStr">
        <is>
          <t>LOMBARDIA</t>
        </is>
      </c>
      <c r="X461" t="inlineStr">
        <is>
          <t>mais;riso</t>
        </is>
      </c>
      <c r="Y461" t="inlineStr">
        <is>
          <t>agronomia;difesa;riso;mais</t>
        </is>
      </c>
      <c r="Z461" t="inlineStr">
        <is>
          <t xml:space="preserve">titulo da pagina: </t>
        </is>
      </c>
      <c r="AA461" t="inlineStr">
        <is>
          <t>site oficial do dono: https://www.disaa.unimi.it/it</t>
        </is>
      </c>
      <c r="AB461" t="inlineStr">
        <is>
          <t>nao sorteada</t>
        </is>
      </c>
      <c r="AC461" t="inlineStr">
        <is>
          <t>nao sorteada</t>
        </is>
      </c>
      <c r="AE461" t="inlineStr">
        <is>
          <t>HTTP_429,THIN_BODY</t>
        </is>
      </c>
      <c r="AF461" t="inlineStr"/>
    </row>
    <row r="462">
      <c r="A462" t="inlineStr">
        <is>
          <t>IT-DISC-2026-09-14-0461</t>
        </is>
      </c>
      <c r="B462" t="inlineStr">
        <is>
          <t>UNIMI DiSAA — Dipartimento di Scienze Agrarie e Ambientali — Facebook ufficiale</t>
        </is>
      </c>
      <c r="C462" t="inlineStr">
        <is>
          <t>FACEBOOK</t>
        </is>
      </c>
      <c r="D462" t="inlineStr">
        <is>
          <t>ORG</t>
        </is>
      </c>
      <c r="E462" t="inlineStr">
        <is>
          <t>Universita degli Studi di Milano</t>
        </is>
      </c>
      <c r="F462" t="inlineStr">
        <is>
          <t>https://www.facebook.com/laStatale</t>
        </is>
      </c>
      <c r="G462" t="inlineStr">
        <is>
          <t>https://www.facebook.com/laStatale</t>
        </is>
      </c>
      <c r="H462" t="inlineStr">
        <is>
          <t>https://www.facebook.com/login/?next=https%3A%2F%2Fwww.facebook.com%2FlaStatale</t>
        </is>
      </c>
      <c r="I462" t="n">
        <v>200</v>
      </c>
      <c r="J462" t="inlineStr">
        <is>
          <t>text/html</t>
        </is>
      </c>
      <c r="K462" t="n">
        <v>1</v>
      </c>
      <c r="L462" t="b">
        <v>1</v>
      </c>
      <c r="M462" t="b">
        <v>1</v>
      </c>
      <c r="N462" t="inlineStr">
        <is>
          <t>PROVED_BY_OWNER_SITE</t>
        </is>
      </c>
      <c r="O462" t="inlineStr">
        <is>
          <t>SIM</t>
        </is>
      </c>
      <c r="P462" t="inlineStr">
        <is>
          <t>SIM — declarado por dono italiano no proprio site</t>
        </is>
      </c>
      <c r="Q462" t="inlineStr">
        <is>
          <t>https://www.disaa.unimi.it/it</t>
        </is>
      </c>
      <c r="R462" t="inlineStr">
        <is>
          <t>sonda HTTP read-only (GET limitado, payload nao preservado) + declaracao do perfil no site oficial do dono (rota publica, secao 10)</t>
        </is>
      </c>
      <c r="S462" t="inlineStr">
        <is>
          <t>2026-09-14T11:25:33Z</t>
        </is>
      </c>
      <c r="T462" t="inlineStr">
        <is>
          <t>NAO_SELECIONADA</t>
        </is>
      </c>
      <c r="U462" t="inlineStr">
        <is>
          <t>validada, mas fora do teto de 20 para FACEBOOK (secao 20): a plataforma nao permite prova direta de identidade a partir do datacenter</t>
        </is>
      </c>
      <c r="V462" t="inlineStr">
        <is>
          <t>T5;T6;T1</t>
        </is>
      </c>
      <c r="W462" t="inlineStr">
        <is>
          <t>LOMBARDIA</t>
        </is>
      </c>
      <c r="X462" t="inlineStr">
        <is>
          <t>mais;riso</t>
        </is>
      </c>
      <c r="Y462" t="inlineStr">
        <is>
          <t>agronomia;difesa;riso;mais</t>
        </is>
      </c>
      <c r="Z462" t="inlineStr">
        <is>
          <t>titulo da pagina: Facebook</t>
        </is>
      </c>
      <c r="AA462" t="inlineStr">
        <is>
          <t>site oficial do dono: https://www.disaa.unimi.it/it</t>
        </is>
      </c>
      <c r="AB462" t="inlineStr">
        <is>
          <t>nao sorteada</t>
        </is>
      </c>
      <c r="AC462" t="inlineStr">
        <is>
          <t>nao sorteada</t>
        </is>
      </c>
      <c r="AE462" t="inlineStr">
        <is>
          <t>PLATFORM_GENERIC_TITLE</t>
        </is>
      </c>
      <c r="AF462" t="inlineStr"/>
    </row>
    <row r="463">
      <c r="A463" t="inlineStr">
        <is>
          <t>IT-DISC-2026-09-14-0462</t>
        </is>
      </c>
      <c r="B463" t="inlineStr">
        <is>
          <t>UNIPD DAFNAE — Dipartimento di Agronomia Animali Alimenti Risorse Naturali e Ambiente — Facebook ufficiale</t>
        </is>
      </c>
      <c r="C463" t="inlineStr">
        <is>
          <t>FACEBOOK</t>
        </is>
      </c>
      <c r="D463" t="inlineStr">
        <is>
          <t>ORG</t>
        </is>
      </c>
      <c r="E463" t="inlineStr">
        <is>
          <t>Universita di Padova</t>
        </is>
      </c>
      <c r="F463" t="inlineStr">
        <is>
          <t>https://www.facebook.com/dafnae.unipd</t>
        </is>
      </c>
      <c r="G463" t="inlineStr">
        <is>
          <t>https://www.facebook.com/dafnae.unipd</t>
        </is>
      </c>
      <c r="H463" t="inlineStr">
        <is>
          <t>https://www.facebook.com/login/?next=https%3A%2F%2Fwww.facebook.com%2Fdafnae.unipd</t>
        </is>
      </c>
      <c r="I463" t="n">
        <v>200</v>
      </c>
      <c r="J463" t="inlineStr">
        <is>
          <t>text/html</t>
        </is>
      </c>
      <c r="K463" t="n">
        <v>1</v>
      </c>
      <c r="L463" t="b">
        <v>1</v>
      </c>
      <c r="M463" t="b">
        <v>1</v>
      </c>
      <c r="N463" t="inlineStr">
        <is>
          <t>PROVED_BY_OWNER_SITE</t>
        </is>
      </c>
      <c r="O463" t="inlineStr">
        <is>
          <t>SIM</t>
        </is>
      </c>
      <c r="P463" t="inlineStr">
        <is>
          <t>SIM — declarado por dono italiano no proprio site</t>
        </is>
      </c>
      <c r="Q463" t="inlineStr">
        <is>
          <t>https://www.dafnae.unipd.it/</t>
        </is>
      </c>
      <c r="R463" t="inlineStr">
        <is>
          <t>sonda HTTP read-only (GET limitado, payload nao preservado) + declaracao do perfil no site oficial do dono (rota publica, secao 10)</t>
        </is>
      </c>
      <c r="S463" t="inlineStr">
        <is>
          <t>2026-09-14T11:25:34Z</t>
        </is>
      </c>
      <c r="T463" t="inlineStr">
        <is>
          <t>NAO_SELECIONADA</t>
        </is>
      </c>
      <c r="U463" t="inlineStr">
        <is>
          <t>validada, mas fora do teto de 20 para FACEBOOK (secao 20): a plataforma nao permite prova direta de identidade a partir do datacenter</t>
        </is>
      </c>
      <c r="V463" t="inlineStr">
        <is>
          <t>T5;T6;T3</t>
        </is>
      </c>
      <c r="W463" t="inlineStr">
        <is>
          <t>VENETO</t>
        </is>
      </c>
      <c r="X463" t="inlineStr"/>
      <c r="Y463" t="inlineStr">
        <is>
          <t>agronomia;entomologia;patologia</t>
        </is>
      </c>
      <c r="Z463" t="inlineStr">
        <is>
          <t>titulo da pagina: Facebook</t>
        </is>
      </c>
      <c r="AA463" t="inlineStr">
        <is>
          <t>site oficial do dono: https://www.dafnae.unipd.it/</t>
        </is>
      </c>
      <c r="AB463" t="inlineStr">
        <is>
          <t>nao sorteada</t>
        </is>
      </c>
      <c r="AC463" t="inlineStr">
        <is>
          <t>nao sorteada</t>
        </is>
      </c>
      <c r="AE463" t="inlineStr">
        <is>
          <t>PLATFORM_GENERIC_TITLE</t>
        </is>
      </c>
      <c r="AF463" t="inlineStr"/>
    </row>
    <row r="464">
      <c r="A464" t="inlineStr">
        <is>
          <t>IT-DISC-2026-09-14-0463</t>
        </is>
      </c>
      <c r="B464" t="inlineStr">
        <is>
          <t>UNIPD DAFNAE — Dipartimento di Agronomia Animali Alimenti Risorse Naturali e Ambiente — Instagram ufficiale</t>
        </is>
      </c>
      <c r="C464" t="inlineStr">
        <is>
          <t>INSTAGRAM</t>
        </is>
      </c>
      <c r="D464" t="inlineStr">
        <is>
          <t>ORG</t>
        </is>
      </c>
      <c r="E464" t="inlineStr">
        <is>
          <t>Universita di Padova</t>
        </is>
      </c>
      <c r="F464" t="inlineStr">
        <is>
          <t>https://www.instagram.com/dafnaeunipd</t>
        </is>
      </c>
      <c r="G464" t="inlineStr">
        <is>
          <t>https://www.instagram.com/dafnaeunipd</t>
        </is>
      </c>
      <c r="H464" t="inlineStr">
        <is>
          <t>https://www.instagram.com/accounts/login/?next=https%3A%2F%2Fwww.instagram.com%2Fdafnaeunipd&amp;is_from_rle</t>
        </is>
      </c>
      <c r="I464" t="n">
        <v>429</v>
      </c>
      <c r="J464" t="inlineStr">
        <is>
          <t>text/html</t>
        </is>
      </c>
      <c r="K464" t="n">
        <v>1</v>
      </c>
      <c r="L464" t="b">
        <v>1</v>
      </c>
      <c r="M464" t="b">
        <v>1</v>
      </c>
      <c r="N464" t="inlineStr">
        <is>
          <t>PROVED_BY_OWNER_SITE</t>
        </is>
      </c>
      <c r="O464" t="inlineStr">
        <is>
          <t>SIM</t>
        </is>
      </c>
      <c r="P464" t="inlineStr">
        <is>
          <t>SIM — declarado por dono italiano no proprio site</t>
        </is>
      </c>
      <c r="Q464" t="inlineStr">
        <is>
          <t>https://www.dafnae.unipd.it/</t>
        </is>
      </c>
      <c r="R464" t="inlineStr">
        <is>
          <t>sonda HTTP read-only (GET limitado, payload nao preservado) + declaracao do perfil no site oficial do dono (rota publica, secao 10)</t>
        </is>
      </c>
      <c r="S464" t="inlineStr">
        <is>
          <t>2026-09-14T11:25:34Z</t>
        </is>
      </c>
      <c r="T464" t="inlineStr">
        <is>
          <t>NAO_SELECIONADA</t>
        </is>
      </c>
      <c r="U464" t="inlineStr">
        <is>
          <t>validada, mas fora do teto de 25 para INSTAGRAM (secao 20): a plataforma nao permite prova direta de identidade a partir do datacenter</t>
        </is>
      </c>
      <c r="V464" t="inlineStr">
        <is>
          <t>T5;T6;T3</t>
        </is>
      </c>
      <c r="W464" t="inlineStr">
        <is>
          <t>VENETO</t>
        </is>
      </c>
      <c r="X464" t="inlineStr"/>
      <c r="Y464" t="inlineStr">
        <is>
          <t>agronomia;entomologia;patologia</t>
        </is>
      </c>
      <c r="Z464" t="inlineStr">
        <is>
          <t xml:space="preserve">titulo da pagina: </t>
        </is>
      </c>
      <c r="AA464" t="inlineStr">
        <is>
          <t>site oficial do dono: https://www.dafnae.unipd.it/</t>
        </is>
      </c>
      <c r="AB464" t="inlineStr">
        <is>
          <t>nao sorteada</t>
        </is>
      </c>
      <c r="AC464" t="inlineStr">
        <is>
          <t>nao sorteada</t>
        </is>
      </c>
      <c r="AE464" t="inlineStr">
        <is>
          <t>HTTP_429,THIN_BODY</t>
        </is>
      </c>
      <c r="AF464" t="inlineStr"/>
    </row>
    <row r="465">
      <c r="A465" t="inlineStr">
        <is>
          <t>IT-DISC-2026-09-14-0464</t>
        </is>
      </c>
      <c r="B465" t="inlineStr">
        <is>
          <t>UNINA Dipartimento di Agraria — Portici — Facebook ufficiale</t>
        </is>
      </c>
      <c r="C465" t="inlineStr">
        <is>
          <t>FACEBOOK</t>
        </is>
      </c>
      <c r="D465" t="inlineStr">
        <is>
          <t>ORG</t>
        </is>
      </c>
      <c r="E465" t="inlineStr">
        <is>
          <t>Universita di Napoli Federico II</t>
        </is>
      </c>
      <c r="F465" t="inlineStr">
        <is>
          <t>https://www.facebook.com/DipartimentoAgrariaUnina</t>
        </is>
      </c>
      <c r="G465" t="inlineStr">
        <is>
          <t>https://www.facebook.com/DipartimentoAgrariaUnina</t>
        </is>
      </c>
      <c r="H465" t="inlineStr">
        <is>
          <t>https://www.facebook.com/login/?next=https%3A%2F%2Fwww.facebook.com%2FDipartimentoAgrariaUnina</t>
        </is>
      </c>
      <c r="I465" t="n">
        <v>200</v>
      </c>
      <c r="J465" t="inlineStr">
        <is>
          <t>text/html</t>
        </is>
      </c>
      <c r="K465" t="n">
        <v>1</v>
      </c>
      <c r="L465" t="b">
        <v>1</v>
      </c>
      <c r="M465" t="b">
        <v>1</v>
      </c>
      <c r="N465" t="inlineStr">
        <is>
          <t>PROVED_BY_OWNER_SITE</t>
        </is>
      </c>
      <c r="O465" t="inlineStr">
        <is>
          <t>SIM</t>
        </is>
      </c>
      <c r="P465" t="inlineStr">
        <is>
          <t>SIM — declarado por dono italiano no proprio site</t>
        </is>
      </c>
      <c r="Q465" t="inlineStr">
        <is>
          <t>https://www.agraria.unina.it/</t>
        </is>
      </c>
      <c r="R465" t="inlineStr">
        <is>
          <t>sonda HTTP read-only (GET limitado, payload nao preservado) + declaracao do perfil no site oficial do dono (rota publica, secao 10)</t>
        </is>
      </c>
      <c r="S465" t="inlineStr">
        <is>
          <t>2026-09-14T11:25:34Z</t>
        </is>
      </c>
      <c r="T465" t="inlineStr">
        <is>
          <t>NAO_SELECIONADA</t>
        </is>
      </c>
      <c r="U465" t="inlineStr">
        <is>
          <t>validada, mas fora do teto de 20 para FACEBOOK (secao 20): a plataforma nao permite prova direta de identidade a partir do datacenter</t>
        </is>
      </c>
      <c r="V465" t="inlineStr">
        <is>
          <t>T5;T6;T3</t>
        </is>
      </c>
      <c r="W465" t="inlineStr">
        <is>
          <t>CAMPANIA</t>
        </is>
      </c>
      <c r="X465" t="inlineStr"/>
      <c r="Y465" t="inlineStr">
        <is>
          <t>agraria;entomologia;patologia</t>
        </is>
      </c>
      <c r="Z465" t="inlineStr">
        <is>
          <t>titulo da pagina: Facebook</t>
        </is>
      </c>
      <c r="AA465" t="inlineStr">
        <is>
          <t>site oficial do dono: https://www.agraria.unina.it/</t>
        </is>
      </c>
      <c r="AB465" t="inlineStr">
        <is>
          <t>nao sorteada</t>
        </is>
      </c>
      <c r="AC465" t="inlineStr">
        <is>
          <t>nao sorteada</t>
        </is>
      </c>
      <c r="AE465" t="inlineStr">
        <is>
          <t>PLATFORM_GENERIC_TITLE</t>
        </is>
      </c>
      <c r="AF465" t="inlineStr"/>
    </row>
    <row r="466">
      <c r="A466" t="inlineStr">
        <is>
          <t>IT-DISC-2026-09-14-0465</t>
        </is>
      </c>
      <c r="B466" t="inlineStr">
        <is>
          <t>UNINA Dipartimento di Agraria — Portici — Instagram ufficiale</t>
        </is>
      </c>
      <c r="C466" t="inlineStr">
        <is>
          <t>INSTAGRAM</t>
        </is>
      </c>
      <c r="D466" t="inlineStr">
        <is>
          <t>ORG</t>
        </is>
      </c>
      <c r="E466" t="inlineStr">
        <is>
          <t>Universita di Napoli Federico II</t>
        </is>
      </c>
      <c r="F466" t="inlineStr">
        <is>
          <t>https://www.instagram.com/agrariaunina</t>
        </is>
      </c>
      <c r="G466" t="inlineStr">
        <is>
          <t>https://www.instagram.com/agrariaunina</t>
        </is>
      </c>
      <c r="H466" t="inlineStr">
        <is>
          <t>https://www.instagram.com/accounts/login/?next=https%3A%2F%2Fwww.instagram.com%2Fagrariaunina&amp;is_from_rle</t>
        </is>
      </c>
      <c r="I466" t="n">
        <v>429</v>
      </c>
      <c r="J466" t="inlineStr">
        <is>
          <t>text/html</t>
        </is>
      </c>
      <c r="K466" t="n">
        <v>1</v>
      </c>
      <c r="L466" t="b">
        <v>1</v>
      </c>
      <c r="M466" t="b">
        <v>1</v>
      </c>
      <c r="N466" t="inlineStr">
        <is>
          <t>PROVED_BY_OWNER_SITE</t>
        </is>
      </c>
      <c r="O466" t="inlineStr">
        <is>
          <t>SIM</t>
        </is>
      </c>
      <c r="P466" t="inlineStr">
        <is>
          <t>SIM — declarado por dono italiano no proprio site</t>
        </is>
      </c>
      <c r="Q466" t="inlineStr">
        <is>
          <t>https://www.agraria.unina.it/</t>
        </is>
      </c>
      <c r="R466" t="inlineStr">
        <is>
          <t>sonda HTTP read-only (GET limitado, payload nao preservado) + declaracao do perfil no site oficial do dono (rota publica, secao 10)</t>
        </is>
      </c>
      <c r="S466" t="inlineStr">
        <is>
          <t>2026-09-14T11:25:34Z</t>
        </is>
      </c>
      <c r="T466" t="inlineStr">
        <is>
          <t>NAO_SELECIONADA</t>
        </is>
      </c>
      <c r="U466" t="inlineStr">
        <is>
          <t>validada, mas fora do teto de 25 para INSTAGRAM (secao 20): a plataforma nao permite prova direta de identidade a partir do datacenter</t>
        </is>
      </c>
      <c r="V466" t="inlineStr">
        <is>
          <t>T5;T6;T3</t>
        </is>
      </c>
      <c r="W466" t="inlineStr">
        <is>
          <t>CAMPANIA</t>
        </is>
      </c>
      <c r="X466" t="inlineStr"/>
      <c r="Y466" t="inlineStr">
        <is>
          <t>agraria;entomologia;patologia</t>
        </is>
      </c>
      <c r="Z466" t="inlineStr">
        <is>
          <t xml:space="preserve">titulo da pagina: </t>
        </is>
      </c>
      <c r="AA466" t="inlineStr">
        <is>
          <t>site oficial do dono: https://www.agraria.unina.it/</t>
        </is>
      </c>
      <c r="AB466" t="inlineStr">
        <is>
          <t>nao sorteada</t>
        </is>
      </c>
      <c r="AC466" t="inlineStr">
        <is>
          <t>nao sorteada</t>
        </is>
      </c>
      <c r="AE466" t="inlineStr">
        <is>
          <t>HTTP_429,THIN_BODY</t>
        </is>
      </c>
      <c r="AF466" t="inlineStr"/>
    </row>
    <row r="467">
      <c r="A467" t="inlineStr">
        <is>
          <t>IT-DISC-2026-09-14-0466</t>
        </is>
      </c>
      <c r="B467" t="inlineStr">
        <is>
          <t>UNIBA DiSSPA — Dipartimento di Scienze del Suolo della Pianta e degli Alimenti — Facebook ufficiale</t>
        </is>
      </c>
      <c r="C467" t="inlineStr">
        <is>
          <t>FACEBOOK</t>
        </is>
      </c>
      <c r="D467" t="inlineStr">
        <is>
          <t>ORG</t>
        </is>
      </c>
      <c r="E467" t="inlineStr">
        <is>
          <t>Universita di Bari Aldo Moro</t>
        </is>
      </c>
      <c r="F467" t="inlineStr">
        <is>
          <t>https://www.facebook.com/unibait</t>
        </is>
      </c>
      <c r="G467" t="inlineStr">
        <is>
          <t>https://www.facebook.com/unibait</t>
        </is>
      </c>
      <c r="H467" t="inlineStr">
        <is>
          <t>https://www.facebook.com/login/?next=https%3A%2F%2Fwww.facebook.com%2Funibait</t>
        </is>
      </c>
      <c r="I467" t="n">
        <v>200</v>
      </c>
      <c r="J467" t="inlineStr">
        <is>
          <t>text/html</t>
        </is>
      </c>
      <c r="K467" t="n">
        <v>1</v>
      </c>
      <c r="L467" t="b">
        <v>1</v>
      </c>
      <c r="M467" t="b">
        <v>1</v>
      </c>
      <c r="N467" t="inlineStr">
        <is>
          <t>PROVED_BY_OWNER_SITE</t>
        </is>
      </c>
      <c r="O467" t="inlineStr">
        <is>
          <t>SIM</t>
        </is>
      </c>
      <c r="P467" t="inlineStr">
        <is>
          <t>SIM — declarado por dono italiano no proprio site</t>
        </is>
      </c>
      <c r="Q467" t="inlineStr">
        <is>
          <t>https://www.uniba.it/it/ricerca/dipartimenti/disspa</t>
        </is>
      </c>
      <c r="R467" t="inlineStr">
        <is>
          <t>sonda HTTP read-only (GET limitado, payload nao preservado) + declaracao do perfil no site oficial do dono (rota publica, secao 10)</t>
        </is>
      </c>
      <c r="S467" t="inlineStr">
        <is>
          <t>2026-09-14T11:25:34Z</t>
        </is>
      </c>
      <c r="T467" t="inlineStr">
        <is>
          <t>NAO_SELECIONADA</t>
        </is>
      </c>
      <c r="U467" t="inlineStr">
        <is>
          <t>validada, mas fora do teto de 20 para FACEBOOK (secao 20): a plataforma nao permite prova direta de identidade a partir do datacenter</t>
        </is>
      </c>
      <c r="V467" t="inlineStr">
        <is>
          <t>T5;T6;T3</t>
        </is>
      </c>
      <c r="W467" t="inlineStr">
        <is>
          <t>PUGLIA</t>
        </is>
      </c>
      <c r="X467" t="inlineStr">
        <is>
          <t>olivo;vite</t>
        </is>
      </c>
      <c r="Y467" t="inlineStr">
        <is>
          <t>patologia;Xylella;olivo;vite</t>
        </is>
      </c>
      <c r="Z467" t="inlineStr">
        <is>
          <t>titulo da pagina: Facebook</t>
        </is>
      </c>
      <c r="AA467" t="inlineStr">
        <is>
          <t>site oficial do dono: https://www.uniba.it/it/ricerca/dipartimenti/disspa</t>
        </is>
      </c>
      <c r="AB467" t="inlineStr">
        <is>
          <t>nao sorteada</t>
        </is>
      </c>
      <c r="AC467" t="inlineStr">
        <is>
          <t>nao sorteada</t>
        </is>
      </c>
      <c r="AE467" t="inlineStr">
        <is>
          <t>PLATFORM_GENERIC_TITLE</t>
        </is>
      </c>
      <c r="AF467" t="inlineStr"/>
    </row>
    <row r="468">
      <c r="A468" t="inlineStr">
        <is>
          <t>IT-DISC-2026-09-14-0467</t>
        </is>
      </c>
      <c r="B468" t="inlineStr">
        <is>
          <t>UNIBA DiSSPA — Dipartimento di Scienze del Suolo della Pianta e degli Alimenti — Instagram ufficiale</t>
        </is>
      </c>
      <c r="C468" t="inlineStr">
        <is>
          <t>INSTAGRAM</t>
        </is>
      </c>
      <c r="D468" t="inlineStr">
        <is>
          <t>ORG</t>
        </is>
      </c>
      <c r="E468" t="inlineStr">
        <is>
          <t>Universita di Bari Aldo Moro</t>
        </is>
      </c>
      <c r="F468" t="inlineStr">
        <is>
          <t>https://www.instagram.com/unibaofficial</t>
        </is>
      </c>
      <c r="G468" t="inlineStr">
        <is>
          <t>https://www.instagram.com/unibaofficial</t>
        </is>
      </c>
      <c r="H468" t="inlineStr">
        <is>
          <t>https://www.instagram.com/accounts/login/?next=https%3A%2F%2Fwww.instagram.com%2Funibaofficial&amp;is_from_rle</t>
        </is>
      </c>
      <c r="I468" t="n">
        <v>429</v>
      </c>
      <c r="J468" t="inlineStr">
        <is>
          <t>text/html</t>
        </is>
      </c>
      <c r="K468" t="n">
        <v>1</v>
      </c>
      <c r="L468" t="b">
        <v>1</v>
      </c>
      <c r="M468" t="b">
        <v>1</v>
      </c>
      <c r="N468" t="inlineStr">
        <is>
          <t>PROVED_BY_OWNER_SITE</t>
        </is>
      </c>
      <c r="O468" t="inlineStr">
        <is>
          <t>SIM</t>
        </is>
      </c>
      <c r="P468" t="inlineStr">
        <is>
          <t>SIM — declarado por dono italiano no proprio site</t>
        </is>
      </c>
      <c r="Q468" t="inlineStr">
        <is>
          <t>https://www.uniba.it/it/ricerca/dipartimenti/disspa</t>
        </is>
      </c>
      <c r="R468" t="inlineStr">
        <is>
          <t>sonda HTTP read-only (GET limitado, payload nao preservado) + declaracao do perfil no site oficial do dono (rota publica, secao 10)</t>
        </is>
      </c>
      <c r="S468" t="inlineStr">
        <is>
          <t>2026-09-14T11:25:34Z</t>
        </is>
      </c>
      <c r="T468" t="inlineStr">
        <is>
          <t>NAO_SELECIONADA</t>
        </is>
      </c>
      <c r="U468" t="inlineStr">
        <is>
          <t>validada, mas fora do teto de 25 para INSTAGRAM (secao 20): a plataforma nao permite prova direta de identidade a partir do datacenter</t>
        </is>
      </c>
      <c r="V468" t="inlineStr">
        <is>
          <t>T5;T6;T3</t>
        </is>
      </c>
      <c r="W468" t="inlineStr">
        <is>
          <t>PUGLIA</t>
        </is>
      </c>
      <c r="X468" t="inlineStr">
        <is>
          <t>olivo;vite</t>
        </is>
      </c>
      <c r="Y468" t="inlineStr">
        <is>
          <t>patologia;Xylella;olivo;vite</t>
        </is>
      </c>
      <c r="Z468" t="inlineStr">
        <is>
          <t xml:space="preserve">titulo da pagina: </t>
        </is>
      </c>
      <c r="AA468" t="inlineStr">
        <is>
          <t>site oficial do dono: https://www.uniba.it/it/ricerca/dipartimenti/disspa</t>
        </is>
      </c>
      <c r="AB468" t="inlineStr">
        <is>
          <t>nao sorteada</t>
        </is>
      </c>
      <c r="AC468" t="inlineStr">
        <is>
          <t>nao sorteada</t>
        </is>
      </c>
      <c r="AE468" t="inlineStr">
        <is>
          <t>HTTP_429,THIN_BODY</t>
        </is>
      </c>
      <c r="AF468" t="inlineStr"/>
    </row>
    <row r="469">
      <c r="A469" t="inlineStr">
        <is>
          <t>IT-DISC-2026-09-14-0468</t>
        </is>
      </c>
      <c r="B469" t="inlineStr">
        <is>
          <t>UNIBA DiSSPA — Dipartimento di Scienze del Suolo della Pianta e degli Alimenti — Linkedin ufficiale</t>
        </is>
      </c>
      <c r="C469" t="inlineStr">
        <is>
          <t>LINKEDIN</t>
        </is>
      </c>
      <c r="D469" t="inlineStr">
        <is>
          <t>ORG</t>
        </is>
      </c>
      <c r="E469" t="inlineStr">
        <is>
          <t>Universita di Bari Aldo Moro</t>
        </is>
      </c>
      <c r="F469" t="inlineStr">
        <is>
          <t>https://www.linkedin.com/school/universit-degli-studi-di-bari</t>
        </is>
      </c>
      <c r="G469" t="inlineStr">
        <is>
          <t>https://www.linkedin.com/school/universit-degli-studi-di-bari</t>
        </is>
      </c>
      <c r="H469" t="inlineStr">
        <is>
          <t>https://www.linkedin.com/school/universit-degli-studi-di-bari</t>
        </is>
      </c>
      <c r="I469" t="n">
        <v>999</v>
      </c>
      <c r="J469" t="inlineStr">
        <is>
          <t>text/html</t>
        </is>
      </c>
      <c r="K469" t="n">
        <v>0</v>
      </c>
      <c r="L469" t="b">
        <v>1</v>
      </c>
      <c r="M469" t="b">
        <v>1</v>
      </c>
      <c r="N469" t="inlineStr">
        <is>
          <t>PROVED_BY_OWNER_SITE</t>
        </is>
      </c>
      <c r="O469" t="inlineStr">
        <is>
          <t>SIM</t>
        </is>
      </c>
      <c r="P469" t="inlineStr">
        <is>
          <t>SIM — declarado por dono italiano no proprio site</t>
        </is>
      </c>
      <c r="Q469" t="inlineStr">
        <is>
          <t>https://www.uniba.it/it/ricerca/dipartimenti/disspa</t>
        </is>
      </c>
      <c r="R469" t="inlineStr">
        <is>
          <t>sonda HTTP read-only (GET limitado, payload nao preservado) + declaracao do perfil no site oficial do dono (rota publica, secao 10)</t>
        </is>
      </c>
      <c r="S469" t="inlineStr">
        <is>
          <t>2026-09-14T11:25:34Z</t>
        </is>
      </c>
      <c r="T469" t="inlineStr">
        <is>
          <t>UNKNOWN</t>
        </is>
      </c>
      <c r="U469" t="inlineStr">
        <is>
          <t>bloqueio/inconclusivo no datacenter (status=999, flags=HTTP_999)</t>
        </is>
      </c>
      <c r="V469" t="inlineStr">
        <is>
          <t>T5;T6;T3</t>
        </is>
      </c>
      <c r="W469" t="inlineStr">
        <is>
          <t>PUGLIA</t>
        </is>
      </c>
      <c r="X469" t="inlineStr">
        <is>
          <t>olivo;vite</t>
        </is>
      </c>
      <c r="Y469" t="inlineStr">
        <is>
          <t>patologia;Xylella;olivo;vite</t>
        </is>
      </c>
      <c r="Z469" t="inlineStr">
        <is>
          <t xml:space="preserve">titulo da pagina: </t>
        </is>
      </c>
      <c r="AA469" t="inlineStr">
        <is>
          <t>site oficial do dono: https://www.uniba.it/it/ricerca/dipartimenti/disspa</t>
        </is>
      </c>
      <c r="AB469" t="inlineStr">
        <is>
          <t>nao sorteada</t>
        </is>
      </c>
      <c r="AC469" t="inlineStr">
        <is>
          <t>nao sorteada</t>
        </is>
      </c>
      <c r="AE469" t="inlineStr">
        <is>
          <t>HTTP_999</t>
        </is>
      </c>
      <c r="AF469" t="inlineStr"/>
    </row>
    <row r="470">
      <c r="A470" t="inlineStr">
        <is>
          <t>IT-DISC-2026-09-14-0469</t>
        </is>
      </c>
      <c r="B470" t="inlineStr">
        <is>
          <t>UNICT Di3A — Dipartimento di Agricoltura Alimentazione e Ambiente — Facebook ufficiale</t>
        </is>
      </c>
      <c r="C470" t="inlineStr">
        <is>
          <t>FACEBOOK</t>
        </is>
      </c>
      <c r="D470" t="inlineStr">
        <is>
          <t>ORG</t>
        </is>
      </c>
      <c r="E470" t="inlineStr">
        <is>
          <t>Universita di Catania</t>
        </is>
      </c>
      <c r="F470" t="inlineStr">
        <is>
          <t>https://www.facebook.com/Di3A.Unict</t>
        </is>
      </c>
      <c r="G470" t="inlineStr">
        <is>
          <t>https://www.facebook.com/Di3A.Unict</t>
        </is>
      </c>
      <c r="H470" t="inlineStr">
        <is>
          <t>https://www.facebook.com/login/?next=https%3A%2F%2Fwww.facebook.com%2FDi3A.Unict</t>
        </is>
      </c>
      <c r="I470" t="n">
        <v>200</v>
      </c>
      <c r="J470" t="inlineStr">
        <is>
          <t>text/html</t>
        </is>
      </c>
      <c r="K470" t="n">
        <v>1</v>
      </c>
      <c r="L470" t="b">
        <v>1</v>
      </c>
      <c r="M470" t="b">
        <v>1</v>
      </c>
      <c r="N470" t="inlineStr">
        <is>
          <t>PROVED_BY_OWNER_SITE</t>
        </is>
      </c>
      <c r="O470" t="inlineStr">
        <is>
          <t>SIM</t>
        </is>
      </c>
      <c r="P470" t="inlineStr">
        <is>
          <t>SIM — declarado por dono italiano no proprio site</t>
        </is>
      </c>
      <c r="Q470" t="inlineStr">
        <is>
          <t>https://www.di3a.unict.it/</t>
        </is>
      </c>
      <c r="R470" t="inlineStr">
        <is>
          <t>sonda HTTP read-only (GET limitado, payload nao preservado) + declaracao do perfil no site oficial do dono (rota publica, secao 10)</t>
        </is>
      </c>
      <c r="S470" t="inlineStr">
        <is>
          <t>2026-09-14T11:25:34Z</t>
        </is>
      </c>
      <c r="T470" t="inlineStr">
        <is>
          <t>NAO_SELECIONADA</t>
        </is>
      </c>
      <c r="U470" t="inlineStr">
        <is>
          <t>validada, mas fora do teto de 20 para FACEBOOK (secao 20): a plataforma nao permite prova direta de identidade a partir do datacenter</t>
        </is>
      </c>
      <c r="V470" t="inlineStr">
        <is>
          <t>T5;T6;T3</t>
        </is>
      </c>
      <c r="W470" t="inlineStr">
        <is>
          <t>SICILIA</t>
        </is>
      </c>
      <c r="X470" t="inlineStr">
        <is>
          <t>agrumi</t>
        </is>
      </c>
      <c r="Y470" t="inlineStr">
        <is>
          <t>agrumi;difesa;agronomia</t>
        </is>
      </c>
      <c r="Z470" t="inlineStr">
        <is>
          <t>titulo da pagina: Facebook</t>
        </is>
      </c>
      <c r="AA470" t="inlineStr">
        <is>
          <t>site oficial do dono: https://www.di3a.unict.it/</t>
        </is>
      </c>
      <c r="AB470" t="inlineStr">
        <is>
          <t>nao sorteada</t>
        </is>
      </c>
      <c r="AC470" t="inlineStr">
        <is>
          <t>nao sorteada</t>
        </is>
      </c>
      <c r="AE470" t="inlineStr">
        <is>
          <t>PLATFORM_GENERIC_TITLE</t>
        </is>
      </c>
      <c r="AF470" t="inlineStr"/>
    </row>
    <row r="471">
      <c r="A471" t="inlineStr">
        <is>
          <t>IT-DISC-2026-09-14-0470</t>
        </is>
      </c>
      <c r="B471" t="inlineStr">
        <is>
          <t>UNICT Di3A — Dipartimento di Agricoltura Alimentazione e Ambiente — Instagram ufficiale</t>
        </is>
      </c>
      <c r="C471" t="inlineStr">
        <is>
          <t>INSTAGRAM</t>
        </is>
      </c>
      <c r="D471" t="inlineStr">
        <is>
          <t>ORG</t>
        </is>
      </c>
      <c r="E471" t="inlineStr">
        <is>
          <t>Universita di Catania</t>
        </is>
      </c>
      <c r="F471" t="inlineStr">
        <is>
          <t>https://www.instagram.com/di3aunict</t>
        </is>
      </c>
      <c r="G471" t="inlineStr">
        <is>
          <t>https://www.instagram.com/di3aunict</t>
        </is>
      </c>
      <c r="H471" t="inlineStr">
        <is>
          <t>https://www.instagram.com/accounts/login/?next=https%3A%2F%2Fwww.instagram.com%2Fdi3aunict&amp;is_from_rle</t>
        </is>
      </c>
      <c r="I471" t="n">
        <v>429</v>
      </c>
      <c r="J471" t="inlineStr">
        <is>
          <t>text/html</t>
        </is>
      </c>
      <c r="K471" t="n">
        <v>1</v>
      </c>
      <c r="L471" t="b">
        <v>1</v>
      </c>
      <c r="M471" t="b">
        <v>1</v>
      </c>
      <c r="N471" t="inlineStr">
        <is>
          <t>PROVED_BY_OWNER_SITE</t>
        </is>
      </c>
      <c r="O471" t="inlineStr">
        <is>
          <t>SIM</t>
        </is>
      </c>
      <c r="P471" t="inlineStr">
        <is>
          <t>SIM — declarado por dono italiano no proprio site</t>
        </is>
      </c>
      <c r="Q471" t="inlineStr">
        <is>
          <t>https://www.di3a.unict.it/</t>
        </is>
      </c>
      <c r="R471" t="inlineStr">
        <is>
          <t>sonda HTTP read-only (GET limitado, payload nao preservado) + declaracao do perfil no site oficial do dono (rota publica, secao 10)</t>
        </is>
      </c>
      <c r="S471" t="inlineStr">
        <is>
          <t>2026-09-14T11:25:34Z</t>
        </is>
      </c>
      <c r="T471" t="inlineStr">
        <is>
          <t>NAO_SELECIONADA</t>
        </is>
      </c>
      <c r="U471" t="inlineStr">
        <is>
          <t>validada, mas fora do teto de 25 para INSTAGRAM (secao 20): a plataforma nao permite prova direta de identidade a partir do datacenter</t>
        </is>
      </c>
      <c r="V471" t="inlineStr">
        <is>
          <t>T5;T6;T3</t>
        </is>
      </c>
      <c r="W471" t="inlineStr">
        <is>
          <t>SICILIA</t>
        </is>
      </c>
      <c r="X471" t="inlineStr">
        <is>
          <t>agrumi</t>
        </is>
      </c>
      <c r="Y471" t="inlineStr">
        <is>
          <t>agrumi;difesa;agronomia</t>
        </is>
      </c>
      <c r="Z471" t="inlineStr">
        <is>
          <t xml:space="preserve">titulo da pagina: </t>
        </is>
      </c>
      <c r="AA471" t="inlineStr">
        <is>
          <t>site oficial do dono: https://www.di3a.unict.it/</t>
        </is>
      </c>
      <c r="AB471" t="inlineStr">
        <is>
          <t>nao sorteada</t>
        </is>
      </c>
      <c r="AC471" t="inlineStr">
        <is>
          <t>nao sorteada</t>
        </is>
      </c>
      <c r="AE471" t="inlineStr">
        <is>
          <t>HTTP_429,THIN_BODY</t>
        </is>
      </c>
      <c r="AF471" t="inlineStr"/>
    </row>
    <row r="472">
      <c r="A472" t="inlineStr">
        <is>
          <t>IT-DISC-2026-09-14-0471</t>
        </is>
      </c>
      <c r="B472" t="inlineStr">
        <is>
          <t>UNITUS DAFNE — Dipartimento di Scienze Agrarie e Forestali — Facebook ufficiale</t>
        </is>
      </c>
      <c r="C472" t="inlineStr">
        <is>
          <t>FACEBOOK</t>
        </is>
      </c>
      <c r="D472" t="inlineStr">
        <is>
          <t>ORG</t>
        </is>
      </c>
      <c r="E472" t="inlineStr">
        <is>
          <t>Universita della Tuscia</t>
        </is>
      </c>
      <c r="F472" t="inlineStr">
        <is>
          <t>https://www.facebook.com/universitadeglistudidellatuscia</t>
        </is>
      </c>
      <c r="G472" t="inlineStr">
        <is>
          <t>https://www.facebook.com/universitadeglistudidellatuscia</t>
        </is>
      </c>
      <c r="H472" t="inlineStr">
        <is>
          <t>https://www.facebook.com/login/?next=https%3A%2F%2Fwww.facebook.com%2Funiversitadeglistudidellatuscia</t>
        </is>
      </c>
      <c r="I472" t="n">
        <v>200</v>
      </c>
      <c r="J472" t="inlineStr">
        <is>
          <t>text/html</t>
        </is>
      </c>
      <c r="K472" t="n">
        <v>1</v>
      </c>
      <c r="L472" t="b">
        <v>1</v>
      </c>
      <c r="M472" t="b">
        <v>1</v>
      </c>
      <c r="N472" t="inlineStr">
        <is>
          <t>PROVED_BY_OWNER_SITE</t>
        </is>
      </c>
      <c r="O472" t="inlineStr">
        <is>
          <t>SIM</t>
        </is>
      </c>
      <c r="P472" t="inlineStr">
        <is>
          <t>SIM — declarado por dono italiano no proprio site</t>
        </is>
      </c>
      <c r="Q472" t="inlineStr">
        <is>
          <t>https://www.unitus.it/it/dipartimento/dafne</t>
        </is>
      </c>
      <c r="R472" t="inlineStr">
        <is>
          <t>sonda HTTP read-only (GET limitado, payload nao preservado) + declaracao do perfil no site oficial do dono (rota publica, secao 10)</t>
        </is>
      </c>
      <c r="S472" t="inlineStr">
        <is>
          <t>2026-09-14T11:25:35Z</t>
        </is>
      </c>
      <c r="T472" t="inlineStr">
        <is>
          <t>NAO_SELECIONADA</t>
        </is>
      </c>
      <c r="U472" t="inlineStr">
        <is>
          <t>validada, mas fora do teto de 20 para FACEBOOK (secao 20): a plataforma nao permite prova direta de identidade a partir do datacenter</t>
        </is>
      </c>
      <c r="V472" t="inlineStr">
        <is>
          <t>T5;T6;T1</t>
        </is>
      </c>
      <c r="W472" t="inlineStr">
        <is>
          <t>LAZIO</t>
        </is>
      </c>
      <c r="X472" t="inlineStr">
        <is>
          <t>nocciolo</t>
        </is>
      </c>
      <c r="Y472" t="inlineStr">
        <is>
          <t>agraria;nocciolo;difesa</t>
        </is>
      </c>
      <c r="Z472" t="inlineStr">
        <is>
          <t>titulo da pagina: Facebook</t>
        </is>
      </c>
      <c r="AA472" t="inlineStr">
        <is>
          <t>site oficial do dono: https://www.unitus.it/it/dipartimento/dafne</t>
        </is>
      </c>
      <c r="AB472" t="inlineStr">
        <is>
          <t>nao sorteada</t>
        </is>
      </c>
      <c r="AC472" t="inlineStr">
        <is>
          <t>nao sorteada</t>
        </is>
      </c>
      <c r="AE472" t="inlineStr">
        <is>
          <t>PLATFORM_GENERIC_TITLE</t>
        </is>
      </c>
      <c r="AF472" t="inlineStr"/>
    </row>
    <row r="473">
      <c r="A473" t="inlineStr">
        <is>
          <t>IT-DISC-2026-09-14-0472</t>
        </is>
      </c>
      <c r="B473" t="inlineStr">
        <is>
          <t>UNIRC Dipartimento di Agraria — Instagram ufficiale</t>
        </is>
      </c>
      <c r="C473" t="inlineStr">
        <is>
          <t>INSTAGRAM</t>
        </is>
      </c>
      <c r="D473" t="inlineStr">
        <is>
          <t>ORG</t>
        </is>
      </c>
      <c r="E473" t="inlineStr">
        <is>
          <t>Universita Mediterranea di Reggio Calabria</t>
        </is>
      </c>
      <c r="F473" t="inlineStr">
        <is>
          <t>https://www.instagram.com/unircmedi</t>
        </is>
      </c>
      <c r="G473" t="inlineStr">
        <is>
          <t>https://www.instagram.com/unircmedi</t>
        </is>
      </c>
      <c r="H473" t="inlineStr">
        <is>
          <t>https://www.instagram.com/accounts/login/?next=https%3A%2F%2Fwww.instagram.com%2Funircmedi&amp;is_from_rle</t>
        </is>
      </c>
      <c r="I473" t="n">
        <v>429</v>
      </c>
      <c r="J473" t="inlineStr">
        <is>
          <t>text/html</t>
        </is>
      </c>
      <c r="K473" t="n">
        <v>1</v>
      </c>
      <c r="L473" t="b">
        <v>1</v>
      </c>
      <c r="M473" t="b">
        <v>1</v>
      </c>
      <c r="N473" t="inlineStr">
        <is>
          <t>PROVED_BY_OWNER_SITE</t>
        </is>
      </c>
      <c r="O473" t="inlineStr">
        <is>
          <t>SIM</t>
        </is>
      </c>
      <c r="P473" t="inlineStr">
        <is>
          <t>SIM — declarado por dono italiano no proprio site</t>
        </is>
      </c>
      <c r="Q473" t="inlineStr">
        <is>
          <t>https://www.agraria.unirc.it/</t>
        </is>
      </c>
      <c r="R473" t="inlineStr">
        <is>
          <t>sonda HTTP read-only (GET limitado, payload nao preservado) + declaracao do perfil no site oficial do dono (rota publica, secao 10)</t>
        </is>
      </c>
      <c r="S473" t="inlineStr">
        <is>
          <t>2026-09-14T11:25:35Z</t>
        </is>
      </c>
      <c r="T473" t="inlineStr">
        <is>
          <t>NAO_SELECIONADA</t>
        </is>
      </c>
      <c r="U473" t="inlineStr">
        <is>
          <t>validada, mas fora do teto de 25 para INSTAGRAM (secao 20): a plataforma nao permite prova direta de identidade a partir do datacenter</t>
        </is>
      </c>
      <c r="V473" t="inlineStr">
        <is>
          <t>T5;T6;T1</t>
        </is>
      </c>
      <c r="W473" t="inlineStr">
        <is>
          <t>CALABRIA</t>
        </is>
      </c>
      <c r="X473" t="inlineStr">
        <is>
          <t>agrumi;olivo</t>
        </is>
      </c>
      <c r="Y473" t="inlineStr">
        <is>
          <t>agrumi;olivo;agraria</t>
        </is>
      </c>
      <c r="Z473" t="inlineStr">
        <is>
          <t xml:space="preserve">titulo da pagina: </t>
        </is>
      </c>
      <c r="AA473" t="inlineStr">
        <is>
          <t>site oficial do dono: https://www.agraria.unirc.it/</t>
        </is>
      </c>
      <c r="AB473" t="inlineStr">
        <is>
          <t>nao sorteada</t>
        </is>
      </c>
      <c r="AC473" t="inlineStr">
        <is>
          <t>nao sorteada</t>
        </is>
      </c>
      <c r="AE473" t="inlineStr">
        <is>
          <t>HTTP_429,THIN_BODY</t>
        </is>
      </c>
      <c r="AF473" t="inlineStr"/>
    </row>
    <row r="474">
      <c r="A474" t="inlineStr">
        <is>
          <t>IT-DISC-2026-09-14-0473</t>
        </is>
      </c>
      <c r="B474" t="inlineStr">
        <is>
          <t>UNIRC Dipartimento di Agraria — Facebook ufficiale</t>
        </is>
      </c>
      <c r="C474" t="inlineStr">
        <is>
          <t>FACEBOOK</t>
        </is>
      </c>
      <c r="D474" t="inlineStr">
        <is>
          <t>ORG</t>
        </is>
      </c>
      <c r="E474" t="inlineStr">
        <is>
          <t>Universita Mediterranea di Reggio Calabria</t>
        </is>
      </c>
      <c r="F474" t="inlineStr">
        <is>
          <t>https://www.facebook.com/unircmedi</t>
        </is>
      </c>
      <c r="G474" t="inlineStr">
        <is>
          <t>https://www.facebook.com/unircmedi</t>
        </is>
      </c>
      <c r="H474" t="inlineStr">
        <is>
          <t>https://www.facebook.com/login/?next=https%3A%2F%2Fwww.facebook.com%2Funircmedi</t>
        </is>
      </c>
      <c r="I474" t="n">
        <v>200</v>
      </c>
      <c r="J474" t="inlineStr">
        <is>
          <t>text/html</t>
        </is>
      </c>
      <c r="K474" t="n">
        <v>1</v>
      </c>
      <c r="L474" t="b">
        <v>1</v>
      </c>
      <c r="M474" t="b">
        <v>1</v>
      </c>
      <c r="N474" t="inlineStr">
        <is>
          <t>PROVED_BY_OWNER_SITE</t>
        </is>
      </c>
      <c r="O474" t="inlineStr">
        <is>
          <t>SIM</t>
        </is>
      </c>
      <c r="P474" t="inlineStr">
        <is>
          <t>SIM — declarado por dono italiano no proprio site</t>
        </is>
      </c>
      <c r="Q474" t="inlineStr">
        <is>
          <t>https://www.agraria.unirc.it/</t>
        </is>
      </c>
      <c r="R474" t="inlineStr">
        <is>
          <t>sonda HTTP read-only (GET limitado, payload nao preservado) + declaracao do perfil no site oficial do dono (rota publica, secao 10)</t>
        </is>
      </c>
      <c r="S474" t="inlineStr">
        <is>
          <t>2026-09-14T11:25:35Z</t>
        </is>
      </c>
      <c r="T474" t="inlineStr">
        <is>
          <t>NAO_SELECIONADA</t>
        </is>
      </c>
      <c r="U474" t="inlineStr">
        <is>
          <t>validada, mas fora do teto de 20 para FACEBOOK (secao 20): a plataforma nao permite prova direta de identidade a partir do datacenter</t>
        </is>
      </c>
      <c r="V474" t="inlineStr">
        <is>
          <t>T5;T6;T1</t>
        </is>
      </c>
      <c r="W474" t="inlineStr">
        <is>
          <t>CALABRIA</t>
        </is>
      </c>
      <c r="X474" t="inlineStr">
        <is>
          <t>agrumi;olivo</t>
        </is>
      </c>
      <c r="Y474" t="inlineStr">
        <is>
          <t>agrumi;olivo;agraria</t>
        </is>
      </c>
      <c r="Z474" t="inlineStr">
        <is>
          <t>titulo da pagina: Facebook</t>
        </is>
      </c>
      <c r="AA474" t="inlineStr">
        <is>
          <t>site oficial do dono: https://www.agraria.unirc.it/</t>
        </is>
      </c>
      <c r="AB474" t="inlineStr">
        <is>
          <t>nao sorteada</t>
        </is>
      </c>
      <c r="AC474" t="inlineStr">
        <is>
          <t>nao sorteada</t>
        </is>
      </c>
      <c r="AE474" t="inlineStr">
        <is>
          <t>PLATFORM_GENERIC_TITLE</t>
        </is>
      </c>
      <c r="AF474" t="inlineStr"/>
    </row>
    <row r="475">
      <c r="A475" t="inlineStr">
        <is>
          <t>IT-DISC-2026-09-14-0474</t>
        </is>
      </c>
      <c r="B475" t="inlineStr">
        <is>
          <t>Libera Universita di Bolzano — Facolta di Scienze agrarie ambientali e alimentari — Facebook ufficiale</t>
        </is>
      </c>
      <c r="C475" t="inlineStr">
        <is>
          <t>FACEBOOK</t>
        </is>
      </c>
      <c r="D475" t="inlineStr">
        <is>
          <t>ORG</t>
        </is>
      </c>
      <c r="E475" t="inlineStr">
        <is>
          <t>Libera Universita di Bolzano</t>
        </is>
      </c>
      <c r="F475" t="inlineStr">
        <is>
          <t>https://www.facebook.com/unibz</t>
        </is>
      </c>
      <c r="G475" t="inlineStr">
        <is>
          <t>https://www.facebook.com/unibz</t>
        </is>
      </c>
      <c r="H475" t="inlineStr">
        <is>
          <t>https://www.facebook.com/login/?next=https%3A%2F%2Fwww.facebook.com%2Funibz</t>
        </is>
      </c>
      <c r="I475" t="n">
        <v>200</v>
      </c>
      <c r="J475" t="inlineStr">
        <is>
          <t>text/html</t>
        </is>
      </c>
      <c r="K475" t="n">
        <v>1</v>
      </c>
      <c r="L475" t="b">
        <v>1</v>
      </c>
      <c r="M475" t="b">
        <v>1</v>
      </c>
      <c r="N475" t="inlineStr">
        <is>
          <t>PROVED_BY_OWNER_SITE</t>
        </is>
      </c>
      <c r="O475" t="inlineStr">
        <is>
          <t>SIM</t>
        </is>
      </c>
      <c r="P475" t="inlineStr">
        <is>
          <t>SIM — declarado por dono italiano no proprio site</t>
        </is>
      </c>
      <c r="Q475" t="inlineStr">
        <is>
          <t>https://www.unibz.it/it/faculties/agricultural-environmental-food-sciences/</t>
        </is>
      </c>
      <c r="R475" t="inlineStr">
        <is>
          <t>sonda HTTP read-only (GET limitado, payload nao preservado) + declaracao do perfil no site oficial do dono (rota publica, secao 10)</t>
        </is>
      </c>
      <c r="S475" t="inlineStr">
        <is>
          <t>2026-09-14T11:25:35Z</t>
        </is>
      </c>
      <c r="T475" t="inlineStr">
        <is>
          <t>NAO_SELECIONADA</t>
        </is>
      </c>
      <c r="U475" t="inlineStr">
        <is>
          <t>validada, mas fora do teto de 20 para FACEBOOK (secao 20): a plataforma nao permite prova direta de identidade a partir do datacenter</t>
        </is>
      </c>
      <c r="V475" t="inlineStr">
        <is>
          <t>T5;T6;T1</t>
        </is>
      </c>
      <c r="W475" t="inlineStr">
        <is>
          <t>TRENTINO-ALTO ADIGE</t>
        </is>
      </c>
      <c r="X475" t="inlineStr">
        <is>
          <t>melo</t>
        </is>
      </c>
      <c r="Y475" t="inlineStr">
        <is>
          <t>frutticoltura;melo;montagna</t>
        </is>
      </c>
      <c r="Z475" t="inlineStr">
        <is>
          <t>titulo da pagina: Facebook</t>
        </is>
      </c>
      <c r="AA475" t="inlineStr">
        <is>
          <t>site oficial do dono: https://www.unibz.it/it/faculties/agricultural-environmental-food-sciences/</t>
        </is>
      </c>
      <c r="AB475" t="inlineStr">
        <is>
          <t>nao sorteada</t>
        </is>
      </c>
      <c r="AC475" t="inlineStr">
        <is>
          <t>nao sorteada</t>
        </is>
      </c>
      <c r="AE475" t="inlineStr">
        <is>
          <t>PLATFORM_GENERIC_TITLE</t>
        </is>
      </c>
      <c r="AF475" t="inlineStr"/>
    </row>
    <row r="476">
      <c r="A476" t="inlineStr">
        <is>
          <t>IT-DISC-2026-09-14-0475</t>
        </is>
      </c>
      <c r="B476" t="inlineStr">
        <is>
          <t>Libera Universita di Bolzano — Facolta di Scienze agrarie ambientali e alimentari — Instagram ufficiale</t>
        </is>
      </c>
      <c r="C476" t="inlineStr">
        <is>
          <t>INSTAGRAM</t>
        </is>
      </c>
      <c r="D476" t="inlineStr">
        <is>
          <t>ORG</t>
        </is>
      </c>
      <c r="E476" t="inlineStr">
        <is>
          <t>Libera Universita di Bolzano</t>
        </is>
      </c>
      <c r="F476" t="inlineStr">
        <is>
          <t>https://www.instagram.com/unibz</t>
        </is>
      </c>
      <c r="G476" t="inlineStr">
        <is>
          <t>https://www.instagram.com/unibz</t>
        </is>
      </c>
      <c r="H476" t="inlineStr">
        <is>
          <t>https://www.instagram.com/accounts/login/?next=https%3A%2F%2Fwww.instagram.com%2Funibz&amp;is_from_rle</t>
        </is>
      </c>
      <c r="I476" t="n">
        <v>429</v>
      </c>
      <c r="J476" t="inlineStr">
        <is>
          <t>text/html</t>
        </is>
      </c>
      <c r="K476" t="n">
        <v>1</v>
      </c>
      <c r="L476" t="b">
        <v>1</v>
      </c>
      <c r="M476" t="b">
        <v>1</v>
      </c>
      <c r="N476" t="inlineStr">
        <is>
          <t>PROVED_BY_OWNER_SITE</t>
        </is>
      </c>
      <c r="O476" t="inlineStr">
        <is>
          <t>SIM</t>
        </is>
      </c>
      <c r="P476" t="inlineStr">
        <is>
          <t>SIM — declarado por dono italiano no proprio site</t>
        </is>
      </c>
      <c r="Q476" t="inlineStr">
        <is>
          <t>https://www.unibz.it/it/faculties/agricultural-environmental-food-sciences/</t>
        </is>
      </c>
      <c r="R476" t="inlineStr">
        <is>
          <t>sonda HTTP read-only (GET limitado, payload nao preservado) + declaracao do perfil no site oficial do dono (rota publica, secao 10)</t>
        </is>
      </c>
      <c r="S476" t="inlineStr">
        <is>
          <t>2026-09-14T11:25:35Z</t>
        </is>
      </c>
      <c r="T476" t="inlineStr">
        <is>
          <t>NAO_SELECIONADA</t>
        </is>
      </c>
      <c r="U476" t="inlineStr">
        <is>
          <t>validada, mas fora do teto de 25 para INSTAGRAM (secao 20): a plataforma nao permite prova direta de identidade a partir do datacenter</t>
        </is>
      </c>
      <c r="V476" t="inlineStr">
        <is>
          <t>T5;T6;T1</t>
        </is>
      </c>
      <c r="W476" t="inlineStr">
        <is>
          <t>TRENTINO-ALTO ADIGE</t>
        </is>
      </c>
      <c r="X476" t="inlineStr">
        <is>
          <t>melo</t>
        </is>
      </c>
      <c r="Y476" t="inlineStr">
        <is>
          <t>frutticoltura;melo;montagna</t>
        </is>
      </c>
      <c r="Z476" t="inlineStr">
        <is>
          <t xml:space="preserve">titulo da pagina: </t>
        </is>
      </c>
      <c r="AA476" t="inlineStr">
        <is>
          <t>site oficial do dono: https://www.unibz.it/it/faculties/agricultural-environmental-food-sciences/</t>
        </is>
      </c>
      <c r="AB476" t="inlineStr">
        <is>
          <t>nao sorteada</t>
        </is>
      </c>
      <c r="AC476" t="inlineStr">
        <is>
          <t>nao sorteada</t>
        </is>
      </c>
      <c r="AE476" t="inlineStr">
        <is>
          <t>HTTP_429,THIN_BODY</t>
        </is>
      </c>
      <c r="AF476" t="inlineStr"/>
    </row>
    <row r="477">
      <c r="A477" t="inlineStr">
        <is>
          <t>IT-DISC-2026-09-14-0476</t>
        </is>
      </c>
      <c r="B477" t="inlineStr">
        <is>
          <t>UNIVR Dipartimento di Biotecnologie — Facebook ufficiale</t>
        </is>
      </c>
      <c r="C477" t="inlineStr">
        <is>
          <t>FACEBOOK</t>
        </is>
      </c>
      <c r="D477" t="inlineStr">
        <is>
          <t>ORG</t>
        </is>
      </c>
      <c r="E477" t="inlineStr">
        <is>
          <t>Universita di Verona</t>
        </is>
      </c>
      <c r="F477" t="inlineStr">
        <is>
          <t>https://www.facebook.com/dbt.univr</t>
        </is>
      </c>
      <c r="G477" t="inlineStr">
        <is>
          <t>https://www.facebook.com/dbt.univr</t>
        </is>
      </c>
      <c r="H477" t="inlineStr">
        <is>
          <t>https://www.facebook.com/login/?next=https%3A%2F%2Fwww.facebook.com%2Fdbt.univr</t>
        </is>
      </c>
      <c r="I477" t="n">
        <v>200</v>
      </c>
      <c r="J477" t="inlineStr">
        <is>
          <t>text/html</t>
        </is>
      </c>
      <c r="K477" t="n">
        <v>1</v>
      </c>
      <c r="L477" t="b">
        <v>1</v>
      </c>
      <c r="M477" t="b">
        <v>1</v>
      </c>
      <c r="N477" t="inlineStr">
        <is>
          <t>PROVED_BY_OWNER_SITE</t>
        </is>
      </c>
      <c r="O477" t="inlineStr">
        <is>
          <t>SIM</t>
        </is>
      </c>
      <c r="P477" t="inlineStr">
        <is>
          <t>SIM — declarado por dono italiano no proprio site</t>
        </is>
      </c>
      <c r="Q477" t="inlineStr">
        <is>
          <t>https://www.dbt.univr.it/</t>
        </is>
      </c>
      <c r="R477" t="inlineStr">
        <is>
          <t>sonda HTTP read-only (GET limitado, payload nao preservado) + declaracao do perfil no site oficial do dono (rota publica, secao 10)</t>
        </is>
      </c>
      <c r="S477" t="inlineStr">
        <is>
          <t>2026-09-14T11:25:35Z</t>
        </is>
      </c>
      <c r="T477" t="inlineStr">
        <is>
          <t>NAO_SELECIONADA</t>
        </is>
      </c>
      <c r="U477" t="inlineStr">
        <is>
          <t>validada, mas fora do teto de 20 para FACEBOOK (secao 20): a plataforma nao permite prova direta de identidade a partir do datacenter</t>
        </is>
      </c>
      <c r="V477" t="inlineStr">
        <is>
          <t>T5;T6</t>
        </is>
      </c>
      <c r="W477" t="inlineStr">
        <is>
          <t>VENETO</t>
        </is>
      </c>
      <c r="X477" t="inlineStr">
        <is>
          <t>vite</t>
        </is>
      </c>
      <c r="Y477" t="inlineStr">
        <is>
          <t>biotecnologie;vite</t>
        </is>
      </c>
      <c r="Z477" t="inlineStr">
        <is>
          <t>titulo da pagina: Facebook</t>
        </is>
      </c>
      <c r="AA477" t="inlineStr">
        <is>
          <t>site oficial do dono: https://www.dbt.univr.it/</t>
        </is>
      </c>
      <c r="AB477" t="inlineStr">
        <is>
          <t>nao sorteada</t>
        </is>
      </c>
      <c r="AC477" t="inlineStr">
        <is>
          <t>nao sorteada</t>
        </is>
      </c>
      <c r="AE477" t="inlineStr">
        <is>
          <t>PLATFORM_GENERIC_TITLE</t>
        </is>
      </c>
      <c r="AF477" t="inlineStr"/>
    </row>
    <row r="478">
      <c r="A478" t="inlineStr">
        <is>
          <t>IT-DISC-2026-09-14-0477</t>
        </is>
      </c>
      <c r="B478" t="inlineStr">
        <is>
          <t>UNIVR Dipartimento di Biotecnologie — Instagram ufficiale</t>
        </is>
      </c>
      <c r="C478" t="inlineStr">
        <is>
          <t>INSTAGRAM</t>
        </is>
      </c>
      <c r="D478" t="inlineStr">
        <is>
          <t>ORG</t>
        </is>
      </c>
      <c r="E478" t="inlineStr">
        <is>
          <t>Universita di Verona</t>
        </is>
      </c>
      <c r="F478" t="inlineStr">
        <is>
          <t>https://www.instagram.com/dbtunivr</t>
        </is>
      </c>
      <c r="G478" t="inlineStr">
        <is>
          <t>https://www.instagram.com/dbtunivr</t>
        </is>
      </c>
      <c r="H478" t="inlineStr">
        <is>
          <t>https://www.instagram.com/accounts/login/?next=https%3A%2F%2Fwww.instagram.com%2Fdbtunivr&amp;is_from_rle</t>
        </is>
      </c>
      <c r="I478" t="n">
        <v>429</v>
      </c>
      <c r="J478" t="inlineStr">
        <is>
          <t>text/html</t>
        </is>
      </c>
      <c r="K478" t="n">
        <v>1</v>
      </c>
      <c r="L478" t="b">
        <v>1</v>
      </c>
      <c r="M478" t="b">
        <v>1</v>
      </c>
      <c r="N478" t="inlineStr">
        <is>
          <t>PROVED_BY_OWNER_SITE</t>
        </is>
      </c>
      <c r="O478" t="inlineStr">
        <is>
          <t>SIM</t>
        </is>
      </c>
      <c r="P478" t="inlineStr">
        <is>
          <t>SIM — declarado por dono italiano no proprio site</t>
        </is>
      </c>
      <c r="Q478" t="inlineStr">
        <is>
          <t>https://www.dbt.univr.it/</t>
        </is>
      </c>
      <c r="R478" t="inlineStr">
        <is>
          <t>sonda HTTP read-only (GET limitado, payload nao preservado) + declaracao do perfil no site oficial do dono (rota publica, secao 10)</t>
        </is>
      </c>
      <c r="S478" t="inlineStr">
        <is>
          <t>2026-09-14T11:25:35Z</t>
        </is>
      </c>
      <c r="T478" t="inlineStr">
        <is>
          <t>NAO_SELECIONADA</t>
        </is>
      </c>
      <c r="U478" t="inlineStr">
        <is>
          <t>validada, mas fora do teto de 25 para INSTAGRAM (secao 20): a plataforma nao permite prova direta de identidade a partir do datacenter</t>
        </is>
      </c>
      <c r="V478" t="inlineStr">
        <is>
          <t>T5;T6</t>
        </is>
      </c>
      <c r="W478" t="inlineStr">
        <is>
          <t>VENETO</t>
        </is>
      </c>
      <c r="X478" t="inlineStr">
        <is>
          <t>vite</t>
        </is>
      </c>
      <c r="Y478" t="inlineStr">
        <is>
          <t>biotecnologie;vite</t>
        </is>
      </c>
      <c r="Z478" t="inlineStr">
        <is>
          <t xml:space="preserve">titulo da pagina: </t>
        </is>
      </c>
      <c r="AA478" t="inlineStr">
        <is>
          <t>site oficial do dono: https://www.dbt.univr.it/</t>
        </is>
      </c>
      <c r="AB478" t="inlineStr">
        <is>
          <t>nao sorteada</t>
        </is>
      </c>
      <c r="AC478" t="inlineStr">
        <is>
          <t>nao sorteada</t>
        </is>
      </c>
      <c r="AE478" t="inlineStr">
        <is>
          <t>HTTP_429,THIN_BODY</t>
        </is>
      </c>
      <c r="AF478" t="inlineStr"/>
    </row>
    <row r="479">
      <c r="A479" t="inlineStr">
        <is>
          <t>IT-DISC-2026-09-14-0478</t>
        </is>
      </c>
      <c r="B479" t="inlineStr">
        <is>
          <t>UNIVR Dipartimento di Biotecnologie — Linkedin ufficiale</t>
        </is>
      </c>
      <c r="C479" t="inlineStr">
        <is>
          <t>LINKEDIN</t>
        </is>
      </c>
      <c r="D479" t="inlineStr">
        <is>
          <t>ORG</t>
        </is>
      </c>
      <c r="E479" t="inlineStr">
        <is>
          <t>Universita di Verona</t>
        </is>
      </c>
      <c r="F479" t="inlineStr">
        <is>
          <t>https://www.linkedin.com/company/dipartimento-di-biotecnologie-universit</t>
        </is>
      </c>
      <c r="G479" t="inlineStr">
        <is>
          <t>https://www.linkedin.com/company/dipartimento-di-biotecnologie-universit</t>
        </is>
      </c>
      <c r="H479" t="inlineStr">
        <is>
          <t>https://www.linkedin.com/company/dipartimento-di-biotecnologie-universit</t>
        </is>
      </c>
      <c r="I479" t="n">
        <v>404</v>
      </c>
      <c r="J479" t="inlineStr">
        <is>
          <t>text/html</t>
        </is>
      </c>
      <c r="K479" t="n">
        <v>0</v>
      </c>
      <c r="L479" t="b">
        <v>1</v>
      </c>
      <c r="M479" t="b">
        <v>1</v>
      </c>
      <c r="N479" t="inlineStr">
        <is>
          <t>PROVED_BY_OWNER_SITE</t>
        </is>
      </c>
      <c r="O479" t="inlineStr">
        <is>
          <t>SIM</t>
        </is>
      </c>
      <c r="P479" t="inlineStr">
        <is>
          <t>SIM — declarado por dono italiano no proprio site</t>
        </is>
      </c>
      <c r="Q479" t="inlineStr">
        <is>
          <t>https://www.dbt.univr.it/</t>
        </is>
      </c>
      <c r="R479" t="inlineStr">
        <is>
          <t>sonda HTTP read-only (GET limitado, payload nao preservado) + declaracao do perfil no site oficial do dono (rota publica, secao 10)</t>
        </is>
      </c>
      <c r="S479" t="inlineStr">
        <is>
          <t>2026-09-14T11:25:36Z</t>
        </is>
      </c>
      <c r="T479" t="inlineStr">
        <is>
          <t>REJECT</t>
        </is>
      </c>
      <c r="U479" t="inlineStr">
        <is>
          <t>HTTP 404</t>
        </is>
      </c>
      <c r="V479" t="inlineStr">
        <is>
          <t>T5;T6</t>
        </is>
      </c>
      <c r="W479" t="inlineStr">
        <is>
          <t>VENETO</t>
        </is>
      </c>
      <c r="X479" t="inlineStr">
        <is>
          <t>vite</t>
        </is>
      </c>
      <c r="Y479" t="inlineStr">
        <is>
          <t>biotecnologie;vite</t>
        </is>
      </c>
      <c r="Z479" t="inlineStr">
        <is>
          <t>titulo da pagina: LinkedIn</t>
        </is>
      </c>
      <c r="AA479" t="inlineStr">
        <is>
          <t>site oficial do dono: https://www.dbt.univr.it/</t>
        </is>
      </c>
      <c r="AB479" t="inlineStr">
        <is>
          <t>nao sorteada</t>
        </is>
      </c>
      <c r="AC479" t="inlineStr">
        <is>
          <t>nao sorteada</t>
        </is>
      </c>
      <c r="AE479" t="inlineStr">
        <is>
          <t>HTTP_404,PLATFORM_GENERIC_TITLE</t>
        </is>
      </c>
      <c r="AF479" t="inlineStr"/>
    </row>
    <row r="480">
      <c r="A480" t="inlineStr">
        <is>
          <t>IT-DISC-2026-09-14-0479</t>
        </is>
      </c>
      <c r="B480" t="inlineStr">
        <is>
          <t>Fondazione Minoprio — Facebook ufficiale</t>
        </is>
      </c>
      <c r="C480" t="inlineStr">
        <is>
          <t>FACEBOOK</t>
        </is>
      </c>
      <c r="D480" t="inlineStr">
        <is>
          <t>ORG</t>
        </is>
      </c>
      <c r="E480" t="inlineStr">
        <is>
          <t>Fondazione Minoprio</t>
        </is>
      </c>
      <c r="F480" t="inlineStr">
        <is>
          <t>https://www.facebook.com/fondazione.minoprio</t>
        </is>
      </c>
      <c r="G480" t="inlineStr">
        <is>
          <t>https://www.facebook.com/fondazione.minoprio</t>
        </is>
      </c>
      <c r="H480" t="inlineStr">
        <is>
          <t>https://www.facebook.com/login/?next=https%3A%2F%2Fwww.facebook.com%2Ffondazione.minoprio</t>
        </is>
      </c>
      <c r="I480" t="n">
        <v>200</v>
      </c>
      <c r="J480" t="inlineStr">
        <is>
          <t>text/html</t>
        </is>
      </c>
      <c r="K480" t="n">
        <v>1</v>
      </c>
      <c r="L480" t="b">
        <v>1</v>
      </c>
      <c r="M480" t="b">
        <v>1</v>
      </c>
      <c r="N480" t="inlineStr">
        <is>
          <t>PROVED_BY_OWNER_SITE</t>
        </is>
      </c>
      <c r="O480" t="inlineStr">
        <is>
          <t>SIM</t>
        </is>
      </c>
      <c r="P480" t="inlineStr">
        <is>
          <t>SIM — declarado por dono italiano no proprio site</t>
        </is>
      </c>
      <c r="Q480" t="inlineStr">
        <is>
          <t>https://www.fondazioneminoprio.it/</t>
        </is>
      </c>
      <c r="R480" t="inlineStr">
        <is>
          <t>sonda HTTP read-only (GET limitado, payload nao preservado) + declaracao do perfil no site oficial do dono (rota publica, secao 10)</t>
        </is>
      </c>
      <c r="S480" t="inlineStr">
        <is>
          <t>2026-09-14T11:25:36Z</t>
        </is>
      </c>
      <c r="T480" t="inlineStr">
        <is>
          <t>NAO_SELECIONADA</t>
        </is>
      </c>
      <c r="U480" t="inlineStr">
        <is>
          <t>validada, mas fora do teto de 20 para FACEBOOK (secao 20): a plataforma nao permite prova direta de identidade a partir do datacenter</t>
        </is>
      </c>
      <c r="V480" t="inlineStr">
        <is>
          <t>T5;T7;T1</t>
        </is>
      </c>
      <c r="W480" t="inlineStr">
        <is>
          <t>LOMBARDIA</t>
        </is>
      </c>
      <c r="X480" t="inlineStr"/>
      <c r="Y480" t="inlineStr">
        <is>
          <t>formazione;floricoltura;sperimentazione</t>
        </is>
      </c>
      <c r="Z480" t="inlineStr">
        <is>
          <t>titulo da pagina: Facebook</t>
        </is>
      </c>
      <c r="AA480" t="inlineStr">
        <is>
          <t>site oficial do dono: https://www.fondazioneminoprio.it/</t>
        </is>
      </c>
      <c r="AB480" t="inlineStr">
        <is>
          <t>nao sorteada</t>
        </is>
      </c>
      <c r="AC480" t="inlineStr">
        <is>
          <t>nao sorteada</t>
        </is>
      </c>
      <c r="AE480" t="inlineStr">
        <is>
          <t>PLATFORM_GENERIC_TITLE</t>
        </is>
      </c>
      <c r="AF480" t="inlineStr"/>
    </row>
    <row r="481">
      <c r="A481" t="inlineStr">
        <is>
          <t>IT-DISC-2026-09-14-0480</t>
        </is>
      </c>
      <c r="B481" t="inlineStr">
        <is>
          <t>Fondazione per l'Agricoltura F.lli Navarra — Facebook ufficiale</t>
        </is>
      </c>
      <c r="C481" t="inlineStr">
        <is>
          <t>FACEBOOK</t>
        </is>
      </c>
      <c r="D481" t="inlineStr">
        <is>
          <t>ORG</t>
        </is>
      </c>
      <c r="E481" t="inlineStr">
        <is>
          <t>Fondazione Navarra</t>
        </is>
      </c>
      <c r="F481" t="inlineStr">
        <is>
          <t>https://www.facebook.com/fondazionenavarra</t>
        </is>
      </c>
      <c r="G481" t="inlineStr">
        <is>
          <t>https://www.facebook.com/fondazionenavarra</t>
        </is>
      </c>
      <c r="H481" t="inlineStr">
        <is>
          <t>https://www.facebook.com/login/?next=https%3A%2F%2Fwww.facebook.com%2Ffondazionenavarra</t>
        </is>
      </c>
      <c r="I481" t="n">
        <v>200</v>
      </c>
      <c r="J481" t="inlineStr">
        <is>
          <t>text/html</t>
        </is>
      </c>
      <c r="K481" t="n">
        <v>1</v>
      </c>
      <c r="L481" t="b">
        <v>1</v>
      </c>
      <c r="M481" t="b">
        <v>1</v>
      </c>
      <c r="N481" t="inlineStr">
        <is>
          <t>PROVED_BY_OWNER_SITE</t>
        </is>
      </c>
      <c r="O481" t="inlineStr">
        <is>
          <t>SIM</t>
        </is>
      </c>
      <c r="P481" t="inlineStr">
        <is>
          <t>SIM — declarado por dono italiano no proprio site</t>
        </is>
      </c>
      <c r="Q481" t="inlineStr">
        <is>
          <t>https://www.fondazionenavarra.it/</t>
        </is>
      </c>
      <c r="R481" t="inlineStr">
        <is>
          <t>sonda HTTP read-only (GET limitado, payload nao preservado) + declaracao do perfil no site oficial do dono (rota publica, secao 10)</t>
        </is>
      </c>
      <c r="S481" t="inlineStr">
        <is>
          <t>2026-09-14T11:25:36Z</t>
        </is>
      </c>
      <c r="T481" t="inlineStr">
        <is>
          <t>NAO_SELECIONADA</t>
        </is>
      </c>
      <c r="U481" t="inlineStr">
        <is>
          <t>validada, mas fora do teto de 20 para FACEBOOK (secao 20): a plataforma nao permite prova direta de identidade a partir do datacenter</t>
        </is>
      </c>
      <c r="V481" t="inlineStr">
        <is>
          <t>T5;T1</t>
        </is>
      </c>
      <c r="W481" t="inlineStr">
        <is>
          <t>EMILIA-ROMAGNA</t>
        </is>
      </c>
      <c r="X481" t="inlineStr"/>
      <c r="Y481" t="inlineStr">
        <is>
          <t>frutticoltura;sperimentazione</t>
        </is>
      </c>
      <c r="Z481" t="inlineStr">
        <is>
          <t>titulo da pagina: Facebook</t>
        </is>
      </c>
      <c r="AA481" t="inlineStr">
        <is>
          <t>site oficial do dono: https://www.fondazionenavarra.it/</t>
        </is>
      </c>
      <c r="AB481" t="inlineStr">
        <is>
          <t>nao sorteada</t>
        </is>
      </c>
      <c r="AC481" t="inlineStr">
        <is>
          <t>nao sorteada</t>
        </is>
      </c>
      <c r="AE481" t="inlineStr">
        <is>
          <t>PLATFORM_GENERIC_TITLE</t>
        </is>
      </c>
      <c r="AF481" t="inlineStr"/>
    </row>
    <row r="482">
      <c r="A482" t="inlineStr">
        <is>
          <t>IT-DISC-2026-09-14-0481</t>
        </is>
      </c>
      <c r="B482" t="inlineStr">
        <is>
          <t>Terra e Vita — Edagricole — Facebook ufficiale</t>
        </is>
      </c>
      <c r="C482" t="inlineStr">
        <is>
          <t>FACEBOOK</t>
        </is>
      </c>
      <c r="D482" t="inlineStr">
        <is>
          <t>ORG</t>
        </is>
      </c>
      <c r="E482" t="inlineStr">
        <is>
          <t>Edagricole — New Business Media</t>
        </is>
      </c>
      <c r="F482" t="inlineStr">
        <is>
          <t>https://www.facebook.com/terraevita.magazine</t>
        </is>
      </c>
      <c r="G482" t="inlineStr">
        <is>
          <t>https://www.facebook.com/terraevita.magazine</t>
        </is>
      </c>
      <c r="H482" t="inlineStr">
        <is>
          <t>https://www.facebook.com/login/?next=https%3A%2F%2Fwww.facebook.com%2Fterraevita.magazine</t>
        </is>
      </c>
      <c r="I482" t="n">
        <v>200</v>
      </c>
      <c r="J482" t="inlineStr">
        <is>
          <t>text/html</t>
        </is>
      </c>
      <c r="K482" t="n">
        <v>1</v>
      </c>
      <c r="L482" t="b">
        <v>1</v>
      </c>
      <c r="M482" t="b">
        <v>1</v>
      </c>
      <c r="N482" t="inlineStr">
        <is>
          <t>PROVED_BY_OWNER_SITE</t>
        </is>
      </c>
      <c r="O482" t="inlineStr">
        <is>
          <t>SIM</t>
        </is>
      </c>
      <c r="P482" t="inlineStr">
        <is>
          <t>SIM — declarado por dono italiano no proprio site</t>
        </is>
      </c>
      <c r="Q482" t="inlineStr">
        <is>
          <t>https://terraevita.edagricole.it/</t>
        </is>
      </c>
      <c r="R482" t="inlineStr">
        <is>
          <t>sonda HTTP read-only (GET limitado, payload nao preservado) + declaracao do perfil no site oficial do dono (rota publica, secao 10)</t>
        </is>
      </c>
      <c r="S482" t="inlineStr">
        <is>
          <t>2026-09-14T11:25:37Z</t>
        </is>
      </c>
      <c r="T482" t="inlineStr">
        <is>
          <t>NAO_SELECIONADA</t>
        </is>
      </c>
      <c r="U482" t="inlineStr">
        <is>
          <t>validada, mas fora do teto de 20 para FACEBOOK (secao 20): a plataforma nao permite prova direta de identidade a partir do datacenter</t>
        </is>
      </c>
      <c r="V482" t="inlineStr">
        <is>
          <t>T1;T3;T10</t>
        </is>
      </c>
      <c r="W482" t="inlineStr">
        <is>
          <t>EMILIA-ROMAGNA</t>
        </is>
      </c>
      <c r="X482" t="inlineStr"/>
      <c r="Y482" t="inlineStr">
        <is>
          <t>rivista tecnica;seminativi;difesa</t>
        </is>
      </c>
      <c r="Z482" t="inlineStr">
        <is>
          <t>titulo da pagina: Facebook</t>
        </is>
      </c>
      <c r="AA482" t="inlineStr">
        <is>
          <t>site oficial do dono: https://terraevita.edagricole.it/</t>
        </is>
      </c>
      <c r="AB482" t="inlineStr">
        <is>
          <t>nao sorteada</t>
        </is>
      </c>
      <c r="AC482" t="inlineStr">
        <is>
          <t>nao sorteada</t>
        </is>
      </c>
      <c r="AE482" t="inlineStr">
        <is>
          <t>PLATFORM_GENERIC_TITLE</t>
        </is>
      </c>
      <c r="AF482" t="inlineStr"/>
    </row>
    <row r="483">
      <c r="A483" t="inlineStr">
        <is>
          <t>IT-DISC-2026-09-14-0482</t>
        </is>
      </c>
      <c r="B483" t="inlineStr">
        <is>
          <t>Terra e Vita — Edagricole — Instagram ufficiale</t>
        </is>
      </c>
      <c r="C483" t="inlineStr">
        <is>
          <t>INSTAGRAM</t>
        </is>
      </c>
      <c r="D483" t="inlineStr">
        <is>
          <t>ORG</t>
        </is>
      </c>
      <c r="E483" t="inlineStr">
        <is>
          <t>Edagricole — New Business Media</t>
        </is>
      </c>
      <c r="F483" t="inlineStr">
        <is>
          <t>https://www.instagram.com/edagricole_official</t>
        </is>
      </c>
      <c r="G483" t="inlineStr">
        <is>
          <t>https://www.instagram.com/edagricole_official</t>
        </is>
      </c>
      <c r="H483" t="inlineStr">
        <is>
          <t>https://www.instagram.com/accounts/login/?next=https%3A%2F%2Fwww.instagram.com%2Fedagricole_official&amp;is_from_rle</t>
        </is>
      </c>
      <c r="I483" t="n">
        <v>429</v>
      </c>
      <c r="J483" t="inlineStr">
        <is>
          <t>text/html</t>
        </is>
      </c>
      <c r="K483" t="n">
        <v>1</v>
      </c>
      <c r="L483" t="b">
        <v>1</v>
      </c>
      <c r="M483" t="b">
        <v>1</v>
      </c>
      <c r="N483" t="inlineStr">
        <is>
          <t>PROVED_BY_OWNER_SITE</t>
        </is>
      </c>
      <c r="O483" t="inlineStr">
        <is>
          <t>SIM</t>
        </is>
      </c>
      <c r="P483" t="inlineStr">
        <is>
          <t>SIM — declarado por dono italiano no proprio site</t>
        </is>
      </c>
      <c r="Q483" t="inlineStr">
        <is>
          <t>https://terraevita.edagricole.it/</t>
        </is>
      </c>
      <c r="R483" t="inlineStr">
        <is>
          <t>sonda HTTP read-only (GET limitado, payload nao preservado) + declaracao do perfil no site oficial do dono (rota publica, secao 10)</t>
        </is>
      </c>
      <c r="S483" t="inlineStr">
        <is>
          <t>2026-09-14T11:25:37Z</t>
        </is>
      </c>
      <c r="T483" t="inlineStr">
        <is>
          <t>NAO_SELECIONADA</t>
        </is>
      </c>
      <c r="U483" t="inlineStr">
        <is>
          <t>validada, mas fora do teto de 25 para INSTAGRAM (secao 20): a plataforma nao permite prova direta de identidade a partir do datacenter</t>
        </is>
      </c>
      <c r="V483" t="inlineStr">
        <is>
          <t>T1;T3;T10</t>
        </is>
      </c>
      <c r="W483" t="inlineStr">
        <is>
          <t>EMILIA-ROMAGNA</t>
        </is>
      </c>
      <c r="X483" t="inlineStr"/>
      <c r="Y483" t="inlineStr">
        <is>
          <t>rivista tecnica;seminativi;difesa</t>
        </is>
      </c>
      <c r="Z483" t="inlineStr">
        <is>
          <t xml:space="preserve">titulo da pagina: </t>
        </is>
      </c>
      <c r="AA483" t="inlineStr">
        <is>
          <t>site oficial do dono: https://terraevita.edagricole.it/</t>
        </is>
      </c>
      <c r="AB483" t="inlineStr">
        <is>
          <t>nao sorteada</t>
        </is>
      </c>
      <c r="AC483" t="inlineStr">
        <is>
          <t>nao sorteada</t>
        </is>
      </c>
      <c r="AE483" t="inlineStr">
        <is>
          <t>HTTP_429,THIN_BODY</t>
        </is>
      </c>
      <c r="AF483" t="inlineStr"/>
    </row>
    <row r="484">
      <c r="A484" t="inlineStr">
        <is>
          <t>IT-DISC-2026-09-14-0483</t>
        </is>
      </c>
      <c r="B484" t="inlineStr">
        <is>
          <t>Rivista di Frutticoltura e di Ortofloricoltura — Facebook ufficiale</t>
        </is>
      </c>
      <c r="C484" t="inlineStr">
        <is>
          <t>FACEBOOK</t>
        </is>
      </c>
      <c r="D484" t="inlineStr">
        <is>
          <t>ORG</t>
        </is>
      </c>
      <c r="E484" t="inlineStr">
        <is>
          <t>Edagricole</t>
        </is>
      </c>
      <c r="F484" t="inlineStr">
        <is>
          <t>https://www.facebook.com/Frutticoltura</t>
        </is>
      </c>
      <c r="G484" t="inlineStr">
        <is>
          <t>https://www.facebook.com/Frutticoltura</t>
        </is>
      </c>
      <c r="H484" t="inlineStr">
        <is>
          <t>https://www.facebook.com/login/?next=https%3A%2F%2Fwww.facebook.com%2FFrutticoltura</t>
        </is>
      </c>
      <c r="I484" t="n">
        <v>200</v>
      </c>
      <c r="J484" t="inlineStr">
        <is>
          <t>text/html</t>
        </is>
      </c>
      <c r="K484" t="n">
        <v>1</v>
      </c>
      <c r="L484" t="b">
        <v>1</v>
      </c>
      <c r="M484" t="b">
        <v>1</v>
      </c>
      <c r="N484" t="inlineStr">
        <is>
          <t>PROVED_BY_OWNER_SITE</t>
        </is>
      </c>
      <c r="O484" t="inlineStr">
        <is>
          <t>SIM</t>
        </is>
      </c>
      <c r="P484" t="inlineStr">
        <is>
          <t>SIM — declarado por dono italiano no proprio site</t>
        </is>
      </c>
      <c r="Q484" t="inlineStr">
        <is>
          <t>https://www.rivistafrutticoltura.it/</t>
        </is>
      </c>
      <c r="R484" t="inlineStr">
        <is>
          <t>sonda HTTP read-only (GET limitado, payload nao preservado) + declaracao do perfil no site oficial do dono (rota publica, secao 10)</t>
        </is>
      </c>
      <c r="S484" t="inlineStr">
        <is>
          <t>2026-09-14T11:25:37Z</t>
        </is>
      </c>
      <c r="T484" t="inlineStr">
        <is>
          <t>NAO_SELECIONADA</t>
        </is>
      </c>
      <c r="U484" t="inlineStr">
        <is>
          <t>validada, mas fora do teto de 20 para FACEBOOK (secao 20): a plataforma nao permite prova direta de identidade a partir do datacenter</t>
        </is>
      </c>
      <c r="V484" t="inlineStr">
        <is>
          <t>T1;T5</t>
        </is>
      </c>
      <c r="W484" t="inlineStr">
        <is>
          <t>EMILIA-ROMAGNA</t>
        </is>
      </c>
      <c r="X484" t="inlineStr"/>
      <c r="Y484" t="inlineStr">
        <is>
          <t>frutticoltura;ortofloricoltura</t>
        </is>
      </c>
      <c r="Z484" t="inlineStr">
        <is>
          <t>titulo da pagina: Facebook</t>
        </is>
      </c>
      <c r="AA484" t="inlineStr">
        <is>
          <t>site oficial do dono: https://www.rivistafrutticoltura.it/</t>
        </is>
      </c>
      <c r="AB484" t="inlineStr">
        <is>
          <t>nao sorteada</t>
        </is>
      </c>
      <c r="AC484" t="inlineStr">
        <is>
          <t>nao sorteada</t>
        </is>
      </c>
      <c r="AE484" t="inlineStr">
        <is>
          <t>PLATFORM_GENERIC_TITLE</t>
        </is>
      </c>
      <c r="AF484" t="inlineStr"/>
    </row>
    <row r="485">
      <c r="A485" t="inlineStr">
        <is>
          <t>IT-DISC-2026-09-14-0484</t>
        </is>
      </c>
      <c r="B485" t="inlineStr">
        <is>
          <t>Myfruit.it — Facebook ufficiale</t>
        </is>
      </c>
      <c r="C485" t="inlineStr">
        <is>
          <t>FACEBOOK</t>
        </is>
      </c>
      <c r="D485" t="inlineStr">
        <is>
          <t>ORG</t>
        </is>
      </c>
      <c r="E485" t="inlineStr">
        <is>
          <t>Myfruit</t>
        </is>
      </c>
      <c r="F485" t="inlineStr">
        <is>
          <t>https://www.facebook.com/myfruit.webmagazine</t>
        </is>
      </c>
      <c r="G485" t="inlineStr">
        <is>
          <t>https://www.facebook.com/myfruit.webmagazine</t>
        </is>
      </c>
      <c r="H485" t="inlineStr">
        <is>
          <t>https://www.facebook.com/login/?next=https%3A%2F%2Fwww.facebook.com%2Fmyfruit.webmagazine</t>
        </is>
      </c>
      <c r="I485" t="n">
        <v>200</v>
      </c>
      <c r="J485" t="inlineStr">
        <is>
          <t>text/html</t>
        </is>
      </c>
      <c r="K485" t="n">
        <v>1</v>
      </c>
      <c r="L485" t="b">
        <v>1</v>
      </c>
      <c r="M485" t="b">
        <v>1</v>
      </c>
      <c r="N485" t="inlineStr">
        <is>
          <t>PROVED_BY_OWNER_SITE</t>
        </is>
      </c>
      <c r="O485" t="inlineStr">
        <is>
          <t>SIM</t>
        </is>
      </c>
      <c r="P485" t="inlineStr">
        <is>
          <t>SIM — declarado por dono italiano no proprio site</t>
        </is>
      </c>
      <c r="Q485" t="inlineStr">
        <is>
          <t>https://www.myfruit.it/</t>
        </is>
      </c>
      <c r="R485" t="inlineStr">
        <is>
          <t>sonda HTTP read-only (GET limitado, payload nao preservado) + declaracao do perfil no site oficial do dono (rota publica, secao 10)</t>
        </is>
      </c>
      <c r="S485" t="inlineStr">
        <is>
          <t>2026-09-14T11:25:37Z</t>
        </is>
      </c>
      <c r="T485" t="inlineStr">
        <is>
          <t>NAO_SELECIONADA</t>
        </is>
      </c>
      <c r="U485" t="inlineStr">
        <is>
          <t>validada, mas fora do teto de 20 para FACEBOOK (secao 20): a plataforma nao permite prova direta de identidade a partir do datacenter</t>
        </is>
      </c>
      <c r="V485" t="inlineStr">
        <is>
          <t>T10;T1</t>
        </is>
      </c>
      <c r="W485" t="inlineStr">
        <is>
          <t>NAZIONALE</t>
        </is>
      </c>
      <c r="X485" t="inlineStr">
        <is>
          <t>ortofrutta</t>
        </is>
      </c>
      <c r="Y485" t="inlineStr">
        <is>
          <t>ortofrutta;mercato</t>
        </is>
      </c>
      <c r="Z485" t="inlineStr">
        <is>
          <t>titulo da pagina: Facebook</t>
        </is>
      </c>
      <c r="AA485" t="inlineStr">
        <is>
          <t>site oficial do dono: https://www.myfruit.it/</t>
        </is>
      </c>
      <c r="AB485" t="inlineStr">
        <is>
          <t>nao sorteada</t>
        </is>
      </c>
      <c r="AC485" t="inlineStr">
        <is>
          <t>nao sorteada</t>
        </is>
      </c>
      <c r="AE485" t="inlineStr">
        <is>
          <t>PLATFORM_GENERIC_TITLE</t>
        </is>
      </c>
      <c r="AF485" t="inlineStr"/>
    </row>
    <row r="486">
      <c r="A486" t="inlineStr">
        <is>
          <t>IT-DISC-2026-09-14-0485</t>
        </is>
      </c>
      <c r="B486" t="inlineStr">
        <is>
          <t>FreshPlaza Italia — Facebook ufficiale</t>
        </is>
      </c>
      <c r="C486" t="inlineStr">
        <is>
          <t>FACEBOOK</t>
        </is>
      </c>
      <c r="D486" t="inlineStr">
        <is>
          <t>ORG</t>
        </is>
      </c>
      <c r="E486" t="inlineStr">
        <is>
          <t>FreshPlaza</t>
        </is>
      </c>
      <c r="F486" t="inlineStr">
        <is>
          <t>https://www.facebook.com/freshplaza.it</t>
        </is>
      </c>
      <c r="G486" t="inlineStr">
        <is>
          <t>https://www.facebook.com/freshplaza.it</t>
        </is>
      </c>
      <c r="H486" t="inlineStr">
        <is>
          <t>https://www.facebook.com/login/?next=https%3A%2F%2Fwww.facebook.com%2Ffreshplaza.it</t>
        </is>
      </c>
      <c r="I486" t="n">
        <v>200</v>
      </c>
      <c r="J486" t="inlineStr">
        <is>
          <t>text/html</t>
        </is>
      </c>
      <c r="K486" t="n">
        <v>1</v>
      </c>
      <c r="L486" t="b">
        <v>1</v>
      </c>
      <c r="M486" t="b">
        <v>1</v>
      </c>
      <c r="N486" t="inlineStr">
        <is>
          <t>PROVED_BY_OWNER_SITE</t>
        </is>
      </c>
      <c r="O486" t="inlineStr">
        <is>
          <t>SIM</t>
        </is>
      </c>
      <c r="P486" t="inlineStr">
        <is>
          <t>SIM — declarado por dono italiano no proprio site</t>
        </is>
      </c>
      <c r="Q486" t="inlineStr">
        <is>
          <t>https://www.freshplaza.it/</t>
        </is>
      </c>
      <c r="R486" t="inlineStr">
        <is>
          <t>sonda HTTP read-only (GET limitado, payload nao preservado) + declaracao do perfil no site oficial do dono (rota publica, secao 10)</t>
        </is>
      </c>
      <c r="S486" t="inlineStr">
        <is>
          <t>2026-09-14T11:25:37Z</t>
        </is>
      </c>
      <c r="T486" t="inlineStr">
        <is>
          <t>NAO_SELECIONADA</t>
        </is>
      </c>
      <c r="U486" t="inlineStr">
        <is>
          <t>validada, mas fora do teto de 20 para FACEBOOK (secao 20): a plataforma nao permite prova direta de identidade a partir do datacenter</t>
        </is>
      </c>
      <c r="V486" t="inlineStr">
        <is>
          <t>T10;T1</t>
        </is>
      </c>
      <c r="W486" t="inlineStr">
        <is>
          <t>NAZIONALE</t>
        </is>
      </c>
      <c r="X486" t="inlineStr">
        <is>
          <t>ortofrutta</t>
        </is>
      </c>
      <c r="Y486" t="inlineStr">
        <is>
          <t>ortofrutta;mercato internazionale</t>
        </is>
      </c>
      <c r="Z486" t="inlineStr">
        <is>
          <t>titulo da pagina: Facebook</t>
        </is>
      </c>
      <c r="AA486" t="inlineStr">
        <is>
          <t>site oficial do dono: https://www.freshplaza.it/</t>
        </is>
      </c>
      <c r="AB486" t="inlineStr">
        <is>
          <t>nao sorteada</t>
        </is>
      </c>
      <c r="AC486" t="inlineStr">
        <is>
          <t>nao sorteada</t>
        </is>
      </c>
      <c r="AE486" t="inlineStr">
        <is>
          <t>PLATFORM_GENERIC_TITLE</t>
        </is>
      </c>
      <c r="AF486" t="inlineStr"/>
    </row>
    <row r="487">
      <c r="A487" t="inlineStr">
        <is>
          <t>IT-DISC-2026-09-14-0486</t>
        </is>
      </c>
      <c r="B487" t="inlineStr">
        <is>
          <t>FreshPlaza Italia — Instagram ufficiale</t>
        </is>
      </c>
      <c r="C487" t="inlineStr">
        <is>
          <t>INSTAGRAM</t>
        </is>
      </c>
      <c r="D487" t="inlineStr">
        <is>
          <t>ORG</t>
        </is>
      </c>
      <c r="E487" t="inlineStr">
        <is>
          <t>FreshPlaza</t>
        </is>
      </c>
      <c r="F487" t="inlineStr">
        <is>
          <t>https://www.instagram.com/freshplaza</t>
        </is>
      </c>
      <c r="G487" t="inlineStr">
        <is>
          <t>https://www.instagram.com/freshplaza</t>
        </is>
      </c>
      <c r="H487" t="inlineStr">
        <is>
          <t>https://www.instagram.com/accounts/login/?next=https%3A%2F%2Fwww.instagram.com%2Ffreshplaza&amp;is_from_rle</t>
        </is>
      </c>
      <c r="I487" t="n">
        <v>429</v>
      </c>
      <c r="J487" t="inlineStr">
        <is>
          <t>text/html</t>
        </is>
      </c>
      <c r="K487" t="n">
        <v>1</v>
      </c>
      <c r="L487" t="b">
        <v>1</v>
      </c>
      <c r="M487" t="b">
        <v>1</v>
      </c>
      <c r="N487" t="inlineStr">
        <is>
          <t>PROVED_BY_OWNER_SITE</t>
        </is>
      </c>
      <c r="O487" t="inlineStr">
        <is>
          <t>SIM</t>
        </is>
      </c>
      <c r="P487" t="inlineStr">
        <is>
          <t>SIM — declarado por dono italiano no proprio site</t>
        </is>
      </c>
      <c r="Q487" t="inlineStr">
        <is>
          <t>https://www.freshplaza.it/</t>
        </is>
      </c>
      <c r="R487" t="inlineStr">
        <is>
          <t>sonda HTTP read-only (GET limitado, payload nao preservado) + declaracao do perfil no site oficial do dono (rota publica, secao 10)</t>
        </is>
      </c>
      <c r="S487" t="inlineStr">
        <is>
          <t>2026-09-14T11:25:38Z</t>
        </is>
      </c>
      <c r="T487" t="inlineStr">
        <is>
          <t>NAO_SELECIONADA</t>
        </is>
      </c>
      <c r="U487" t="inlineStr">
        <is>
          <t>validada, mas fora do teto de 25 para INSTAGRAM (secao 20): a plataforma nao permite prova direta de identidade a partir do datacenter</t>
        </is>
      </c>
      <c r="V487" t="inlineStr">
        <is>
          <t>T10;T1</t>
        </is>
      </c>
      <c r="W487" t="inlineStr">
        <is>
          <t>NAZIONALE</t>
        </is>
      </c>
      <c r="X487" t="inlineStr">
        <is>
          <t>ortofrutta</t>
        </is>
      </c>
      <c r="Y487" t="inlineStr">
        <is>
          <t>ortofrutta;mercato internazionale</t>
        </is>
      </c>
      <c r="Z487" t="inlineStr">
        <is>
          <t xml:space="preserve">titulo da pagina: </t>
        </is>
      </c>
      <c r="AA487" t="inlineStr">
        <is>
          <t>site oficial do dono: https://www.freshplaza.it/</t>
        </is>
      </c>
      <c r="AB487" t="inlineStr">
        <is>
          <t>nao sorteada</t>
        </is>
      </c>
      <c r="AC487" t="inlineStr">
        <is>
          <t>nao sorteada</t>
        </is>
      </c>
      <c r="AE487" t="inlineStr">
        <is>
          <t>HTTP_429,THIN_BODY</t>
        </is>
      </c>
      <c r="AF487" t="inlineStr"/>
    </row>
    <row r="488">
      <c r="A488" t="inlineStr">
        <is>
          <t>IT-DISC-2026-09-14-0487</t>
        </is>
      </c>
      <c r="B488" t="inlineStr">
        <is>
          <t>Teatro Naturale — Facebook ufficiale</t>
        </is>
      </c>
      <c r="C488" t="inlineStr">
        <is>
          <t>FACEBOOK</t>
        </is>
      </c>
      <c r="D488" t="inlineStr">
        <is>
          <t>ORG</t>
        </is>
      </c>
      <c r="E488" t="inlineStr">
        <is>
          <t>Teatro Naturale</t>
        </is>
      </c>
      <c r="F488" t="inlineStr">
        <is>
          <t>https://www.facebook.com/p/Teatro-Naturale-100032894186616</t>
        </is>
      </c>
      <c r="G488" t="inlineStr">
        <is>
          <t>https://www.facebook.com/p/Teatro-Naturale-100032894186616</t>
        </is>
      </c>
      <c r="H488" t="inlineStr">
        <is>
          <t>https://www.facebook.com/login/?next=https%3A%2F%2Fwww.facebook.com%2Fp%2FTeatro-Naturale-100032894186616</t>
        </is>
      </c>
      <c r="I488" t="n">
        <v>200</v>
      </c>
      <c r="J488" t="inlineStr">
        <is>
          <t>text/html</t>
        </is>
      </c>
      <c r="K488" t="n">
        <v>1</v>
      </c>
      <c r="L488" t="b">
        <v>1</v>
      </c>
      <c r="M488" t="b">
        <v>1</v>
      </c>
      <c r="N488" t="inlineStr">
        <is>
          <t>PROVED_BY_OWNER_SITE</t>
        </is>
      </c>
      <c r="O488" t="inlineStr">
        <is>
          <t>SIM</t>
        </is>
      </c>
      <c r="P488" t="inlineStr">
        <is>
          <t>SIM — declarado por dono italiano no proprio site</t>
        </is>
      </c>
      <c r="Q488" t="inlineStr">
        <is>
          <t>https://www.teatronaturale.it/</t>
        </is>
      </c>
      <c r="R488" t="inlineStr">
        <is>
          <t>sonda HTTP read-only (GET limitado, payload nao preservado) + declaracao do perfil no site oficial do dono (rota publica, secao 10)</t>
        </is>
      </c>
      <c r="S488" t="inlineStr">
        <is>
          <t>2026-09-14T11:25:38Z</t>
        </is>
      </c>
      <c r="T488" t="inlineStr">
        <is>
          <t>NAO_SELECIONADA</t>
        </is>
      </c>
      <c r="U488" t="inlineStr">
        <is>
          <t>validada, mas fora do teto de 20 para FACEBOOK (secao 20): a plataforma nao permite prova direta de identidade a partir do datacenter</t>
        </is>
      </c>
      <c r="V488" t="inlineStr">
        <is>
          <t>T1;T3;T10</t>
        </is>
      </c>
      <c r="W488" t="inlineStr">
        <is>
          <t>NAZIONALE</t>
        </is>
      </c>
      <c r="X488" t="inlineStr">
        <is>
          <t>olio;olivo</t>
        </is>
      </c>
      <c r="Y488" t="inlineStr">
        <is>
          <t>olivo;olio;tecnica</t>
        </is>
      </c>
      <c r="Z488" t="inlineStr">
        <is>
          <t>titulo da pagina: Facebook</t>
        </is>
      </c>
      <c r="AA488" t="inlineStr">
        <is>
          <t>site oficial do dono: https://www.teatronaturale.it/</t>
        </is>
      </c>
      <c r="AB488" t="inlineStr">
        <is>
          <t>nao sorteada</t>
        </is>
      </c>
      <c r="AC488" t="inlineStr">
        <is>
          <t>nao sorteada</t>
        </is>
      </c>
      <c r="AE488" t="inlineStr">
        <is>
          <t>PLATFORM_GENERIC_TITLE</t>
        </is>
      </c>
      <c r="AF488" t="inlineStr"/>
    </row>
    <row r="489">
      <c r="A489" t="inlineStr">
        <is>
          <t>IT-DISC-2026-09-14-0488</t>
        </is>
      </c>
      <c r="B489" t="inlineStr">
        <is>
          <t>Olio Officina — Instagram ufficiale</t>
        </is>
      </c>
      <c r="C489" t="inlineStr">
        <is>
          <t>INSTAGRAM</t>
        </is>
      </c>
      <c r="D489" t="inlineStr">
        <is>
          <t>ORG</t>
        </is>
      </c>
      <c r="E489" t="inlineStr">
        <is>
          <t>Olio Officina</t>
        </is>
      </c>
      <c r="F489" t="inlineStr">
        <is>
          <t>https://www.instagram.com/olioofficina</t>
        </is>
      </c>
      <c r="G489" t="inlineStr">
        <is>
          <t>https://www.instagram.com/olioofficina</t>
        </is>
      </c>
      <c r="H489" t="inlineStr">
        <is>
          <t>https://www.instagram.com/accounts/login/?next=https%3A%2F%2Fwww.instagram.com%2Folioofficina&amp;is_from_rle</t>
        </is>
      </c>
      <c r="I489" t="n">
        <v>429</v>
      </c>
      <c r="J489" t="inlineStr">
        <is>
          <t>text/html</t>
        </is>
      </c>
      <c r="K489" t="n">
        <v>1</v>
      </c>
      <c r="L489" t="b">
        <v>1</v>
      </c>
      <c r="M489" t="b">
        <v>1</v>
      </c>
      <c r="N489" t="inlineStr">
        <is>
          <t>PROVED_BY_OWNER_SITE</t>
        </is>
      </c>
      <c r="O489" t="inlineStr">
        <is>
          <t>SIM</t>
        </is>
      </c>
      <c r="P489" t="inlineStr">
        <is>
          <t>SIM — declarado por dono italiano no proprio site</t>
        </is>
      </c>
      <c r="Q489" t="inlineStr">
        <is>
          <t>https://www.olioofficina.it/</t>
        </is>
      </c>
      <c r="R489" t="inlineStr">
        <is>
          <t>sonda HTTP read-only (GET limitado, payload nao preservado) + declaracao do perfil no site oficial do dono (rota publica, secao 10)</t>
        </is>
      </c>
      <c r="S489" t="inlineStr">
        <is>
          <t>2026-09-14T11:25:38Z</t>
        </is>
      </c>
      <c r="T489" t="inlineStr">
        <is>
          <t>NAO_SELECIONADA</t>
        </is>
      </c>
      <c r="U489" t="inlineStr">
        <is>
          <t>validada, mas fora do teto de 25 para INSTAGRAM (secao 20): a plataforma nao permite prova direta de identidade a partir do datacenter</t>
        </is>
      </c>
      <c r="V489" t="inlineStr">
        <is>
          <t>T1;T10</t>
        </is>
      </c>
      <c r="W489" t="inlineStr">
        <is>
          <t>NAZIONALE</t>
        </is>
      </c>
      <c r="X489" t="inlineStr">
        <is>
          <t>olio</t>
        </is>
      </c>
      <c r="Y489" t="inlineStr">
        <is>
          <t>olio;cultura olivicola</t>
        </is>
      </c>
      <c r="Z489" t="inlineStr">
        <is>
          <t xml:space="preserve">titulo da pagina: </t>
        </is>
      </c>
      <c r="AA489" t="inlineStr">
        <is>
          <t>site oficial do dono: https://www.olioofficina.it/</t>
        </is>
      </c>
      <c r="AB489" t="inlineStr">
        <is>
          <t>nao sorteada</t>
        </is>
      </c>
      <c r="AC489" t="inlineStr">
        <is>
          <t>nao sorteada</t>
        </is>
      </c>
      <c r="AE489" t="inlineStr">
        <is>
          <t>HTTP_429,THIN_BODY</t>
        </is>
      </c>
      <c r="AF489" t="inlineStr"/>
    </row>
    <row r="490">
      <c r="A490" t="inlineStr">
        <is>
          <t>IT-DISC-2026-09-14-0489</t>
        </is>
      </c>
      <c r="B490" t="inlineStr">
        <is>
          <t>Olio Officina — Facebook ufficiale</t>
        </is>
      </c>
      <c r="C490" t="inlineStr">
        <is>
          <t>FACEBOOK</t>
        </is>
      </c>
      <c r="D490" t="inlineStr">
        <is>
          <t>ORG</t>
        </is>
      </c>
      <c r="E490" t="inlineStr">
        <is>
          <t>Olio Officina</t>
        </is>
      </c>
      <c r="F490" t="inlineStr">
        <is>
          <t>https://www.facebook.com/OlioOfficina</t>
        </is>
      </c>
      <c r="G490" t="inlineStr">
        <is>
          <t>https://www.facebook.com/OlioOfficina</t>
        </is>
      </c>
      <c r="H490" t="inlineStr">
        <is>
          <t>https://www.facebook.com/login/?next=https%3A%2F%2Fwww.facebook.com%2FOlioOfficina</t>
        </is>
      </c>
      <c r="I490" t="n">
        <v>200</v>
      </c>
      <c r="J490" t="inlineStr">
        <is>
          <t>text/html</t>
        </is>
      </c>
      <c r="K490" t="n">
        <v>1</v>
      </c>
      <c r="L490" t="b">
        <v>1</v>
      </c>
      <c r="M490" t="b">
        <v>1</v>
      </c>
      <c r="N490" t="inlineStr">
        <is>
          <t>PROVED_BY_OWNER_SITE</t>
        </is>
      </c>
      <c r="O490" t="inlineStr">
        <is>
          <t>SIM</t>
        </is>
      </c>
      <c r="P490" t="inlineStr">
        <is>
          <t>SIM — declarado por dono italiano no proprio site</t>
        </is>
      </c>
      <c r="Q490" t="inlineStr">
        <is>
          <t>https://www.olioofficina.it/</t>
        </is>
      </c>
      <c r="R490" t="inlineStr">
        <is>
          <t>sonda HTTP read-only (GET limitado, payload nao preservado) + declaracao do perfil no site oficial do dono (rota publica, secao 10)</t>
        </is>
      </c>
      <c r="S490" t="inlineStr">
        <is>
          <t>2026-09-14T11:25:38Z</t>
        </is>
      </c>
      <c r="T490" t="inlineStr">
        <is>
          <t>NAO_SELECIONADA</t>
        </is>
      </c>
      <c r="U490" t="inlineStr">
        <is>
          <t>validada, mas fora do teto de 20 para FACEBOOK (secao 20): a plataforma nao permite prova direta de identidade a partir do datacenter</t>
        </is>
      </c>
      <c r="V490" t="inlineStr">
        <is>
          <t>T1;T10</t>
        </is>
      </c>
      <c r="W490" t="inlineStr">
        <is>
          <t>NAZIONALE</t>
        </is>
      </c>
      <c r="X490" t="inlineStr">
        <is>
          <t>olio</t>
        </is>
      </c>
      <c r="Y490" t="inlineStr">
        <is>
          <t>olio;cultura olivicola</t>
        </is>
      </c>
      <c r="Z490" t="inlineStr">
        <is>
          <t>titulo da pagina: Facebook</t>
        </is>
      </c>
      <c r="AA490" t="inlineStr">
        <is>
          <t>site oficial do dono: https://www.olioofficina.it/</t>
        </is>
      </c>
      <c r="AB490" t="inlineStr">
        <is>
          <t>nao sorteada</t>
        </is>
      </c>
      <c r="AC490" t="inlineStr">
        <is>
          <t>nao sorteada</t>
        </is>
      </c>
      <c r="AE490" t="inlineStr">
        <is>
          <t>PLATFORM_GENERIC_TITLE</t>
        </is>
      </c>
      <c r="AF490" t="inlineStr"/>
    </row>
    <row r="491">
      <c r="A491" t="inlineStr">
        <is>
          <t>IT-DISC-2026-09-14-0490</t>
        </is>
      </c>
      <c r="B491" t="inlineStr">
        <is>
          <t>WineNews — Facebook ufficiale</t>
        </is>
      </c>
      <c r="C491" t="inlineStr">
        <is>
          <t>FACEBOOK</t>
        </is>
      </c>
      <c r="D491" t="inlineStr">
        <is>
          <t>ORG</t>
        </is>
      </c>
      <c r="E491" t="inlineStr">
        <is>
          <t>WineNews</t>
        </is>
      </c>
      <c r="F491" t="inlineStr">
        <is>
          <t>https://www.facebook.com/winenewsit</t>
        </is>
      </c>
      <c r="G491" t="inlineStr">
        <is>
          <t>https://www.facebook.com/winenewsit</t>
        </is>
      </c>
      <c r="H491" t="inlineStr">
        <is>
          <t>https://www.facebook.com/login/?next=https%3A%2F%2Fwww.facebook.com%2Fwinenewsit</t>
        </is>
      </c>
      <c r="I491" t="n">
        <v>200</v>
      </c>
      <c r="J491" t="inlineStr">
        <is>
          <t>text/html</t>
        </is>
      </c>
      <c r="K491" t="n">
        <v>1</v>
      </c>
      <c r="L491" t="b">
        <v>1</v>
      </c>
      <c r="M491" t="b">
        <v>1</v>
      </c>
      <c r="N491" t="inlineStr">
        <is>
          <t>PROVED_BY_OWNER_SITE</t>
        </is>
      </c>
      <c r="O491" t="inlineStr">
        <is>
          <t>SIM</t>
        </is>
      </c>
      <c r="P491" t="inlineStr">
        <is>
          <t>SIM — declarado por dono italiano no proprio site</t>
        </is>
      </c>
      <c r="Q491" t="inlineStr">
        <is>
          <t>https://winenews.it/</t>
        </is>
      </c>
      <c r="R491" t="inlineStr">
        <is>
          <t>sonda HTTP read-only (GET limitado, payload nao preservado) + declaracao do perfil no site oficial do dono (rota publica, secao 10)</t>
        </is>
      </c>
      <c r="S491" t="inlineStr">
        <is>
          <t>2026-09-14T11:25:38Z</t>
        </is>
      </c>
      <c r="T491" t="inlineStr">
        <is>
          <t>NAO_SELECIONADA</t>
        </is>
      </c>
      <c r="U491" t="inlineStr">
        <is>
          <t>validada, mas fora do teto de 20 para FACEBOOK (secao 20): a plataforma nao permite prova direta de identidade a partir do datacenter</t>
        </is>
      </c>
      <c r="V491" t="inlineStr">
        <is>
          <t>T10;T1</t>
        </is>
      </c>
      <c r="W491" t="inlineStr">
        <is>
          <t>TOSCANA</t>
        </is>
      </c>
      <c r="X491" t="inlineStr">
        <is>
          <t>vino</t>
        </is>
      </c>
      <c r="Y491" t="inlineStr">
        <is>
          <t>vino;mercato</t>
        </is>
      </c>
      <c r="Z491" t="inlineStr">
        <is>
          <t>titulo da pagina: Facebook</t>
        </is>
      </c>
      <c r="AA491" t="inlineStr">
        <is>
          <t>site oficial do dono: https://winenews.it/</t>
        </is>
      </c>
      <c r="AB491" t="inlineStr">
        <is>
          <t>nao sorteada</t>
        </is>
      </c>
      <c r="AC491" t="inlineStr">
        <is>
          <t>nao sorteada</t>
        </is>
      </c>
      <c r="AE491" t="inlineStr">
        <is>
          <t>PLATFORM_GENERIC_TITLE</t>
        </is>
      </c>
      <c r="AF491" t="inlineStr"/>
    </row>
    <row r="492">
      <c r="A492" t="inlineStr">
        <is>
          <t>IT-DISC-2026-09-14-0491</t>
        </is>
      </c>
      <c r="B492" t="inlineStr">
        <is>
          <t>WineNews — Instagram ufficiale</t>
        </is>
      </c>
      <c r="C492" t="inlineStr">
        <is>
          <t>INSTAGRAM</t>
        </is>
      </c>
      <c r="D492" t="inlineStr">
        <is>
          <t>ORG</t>
        </is>
      </c>
      <c r="E492" t="inlineStr">
        <is>
          <t>WineNews</t>
        </is>
      </c>
      <c r="F492" t="inlineStr">
        <is>
          <t>https://www.instagram.com/winenewsit</t>
        </is>
      </c>
      <c r="G492" t="inlineStr">
        <is>
          <t>https://www.instagram.com/winenewsit</t>
        </is>
      </c>
      <c r="H492" t="inlineStr">
        <is>
          <t>https://www.instagram.com/accounts/login/?next=https%3A%2F%2Fwww.instagram.com%2Fwinenewsit&amp;is_from_rle</t>
        </is>
      </c>
      <c r="I492" t="n">
        <v>429</v>
      </c>
      <c r="J492" t="inlineStr">
        <is>
          <t>text/html</t>
        </is>
      </c>
      <c r="K492" t="n">
        <v>1</v>
      </c>
      <c r="L492" t="b">
        <v>1</v>
      </c>
      <c r="M492" t="b">
        <v>1</v>
      </c>
      <c r="N492" t="inlineStr">
        <is>
          <t>PROVED_BY_OWNER_SITE</t>
        </is>
      </c>
      <c r="O492" t="inlineStr">
        <is>
          <t>SIM</t>
        </is>
      </c>
      <c r="P492" t="inlineStr">
        <is>
          <t>SIM — declarado por dono italiano no proprio site</t>
        </is>
      </c>
      <c r="Q492" t="inlineStr">
        <is>
          <t>https://winenews.it/</t>
        </is>
      </c>
      <c r="R492" t="inlineStr">
        <is>
          <t>sonda HTTP read-only (GET limitado, payload nao preservado) + declaracao do perfil no site oficial do dono (rota publica, secao 10)</t>
        </is>
      </c>
      <c r="S492" t="inlineStr">
        <is>
          <t>2026-09-14T11:25:38Z</t>
        </is>
      </c>
      <c r="T492" t="inlineStr">
        <is>
          <t>NAO_SELECIONADA</t>
        </is>
      </c>
      <c r="U492" t="inlineStr">
        <is>
          <t>validada, mas fora do teto de 25 para INSTAGRAM (secao 20): a plataforma nao permite prova direta de identidade a partir do datacenter</t>
        </is>
      </c>
      <c r="V492" t="inlineStr">
        <is>
          <t>T10;T1</t>
        </is>
      </c>
      <c r="W492" t="inlineStr">
        <is>
          <t>TOSCANA</t>
        </is>
      </c>
      <c r="X492" t="inlineStr">
        <is>
          <t>vino</t>
        </is>
      </c>
      <c r="Y492" t="inlineStr">
        <is>
          <t>vino;mercato</t>
        </is>
      </c>
      <c r="Z492" t="inlineStr">
        <is>
          <t xml:space="preserve">titulo da pagina: </t>
        </is>
      </c>
      <c r="AA492" t="inlineStr">
        <is>
          <t>site oficial do dono: https://winenews.it/</t>
        </is>
      </c>
      <c r="AB492" t="inlineStr">
        <is>
          <t>nao sorteada</t>
        </is>
      </c>
      <c r="AC492" t="inlineStr">
        <is>
          <t>nao sorteada</t>
        </is>
      </c>
      <c r="AE492" t="inlineStr">
        <is>
          <t>HTTP_429,THIN_BODY</t>
        </is>
      </c>
      <c r="AF492" t="inlineStr"/>
    </row>
    <row r="493">
      <c r="A493" t="inlineStr">
        <is>
          <t>IT-DISC-2026-09-14-0492</t>
        </is>
      </c>
      <c r="B493" t="inlineStr">
        <is>
          <t>Macfrut — Facebook ufficiale</t>
        </is>
      </c>
      <c r="C493" t="inlineStr">
        <is>
          <t>FACEBOOK</t>
        </is>
      </c>
      <c r="D493" t="inlineStr">
        <is>
          <t>ORG</t>
        </is>
      </c>
      <c r="E493" t="inlineStr">
        <is>
          <t>Cesena Fiera</t>
        </is>
      </c>
      <c r="F493" t="inlineStr">
        <is>
          <t>https://www.facebook.com/Macfrut-1658864481056079</t>
        </is>
      </c>
      <c r="G493" t="inlineStr">
        <is>
          <t>https://www.facebook.com/Macfrut-1658864481056079</t>
        </is>
      </c>
      <c r="H493" t="inlineStr">
        <is>
          <t>https://www.facebook.com/login/?next=https%3A%2F%2Fwww.facebook.com%2FMacfrut-1658864481056079</t>
        </is>
      </c>
      <c r="I493" t="n">
        <v>200</v>
      </c>
      <c r="J493" t="inlineStr">
        <is>
          <t>text/html</t>
        </is>
      </c>
      <c r="K493" t="n">
        <v>1</v>
      </c>
      <c r="L493" t="b">
        <v>1</v>
      </c>
      <c r="M493" t="b">
        <v>1</v>
      </c>
      <c r="N493" t="inlineStr">
        <is>
          <t>PROVED_BY_OWNER_SITE</t>
        </is>
      </c>
      <c r="O493" t="inlineStr">
        <is>
          <t>SIM</t>
        </is>
      </c>
      <c r="P493" t="inlineStr">
        <is>
          <t>SIM — declarado por dono italiano no proprio site</t>
        </is>
      </c>
      <c r="Q493" t="inlineStr">
        <is>
          <t>https://www.macfrut.com/</t>
        </is>
      </c>
      <c r="R493" t="inlineStr">
        <is>
          <t>sonda HTTP read-only (GET limitado, payload nao preservado) + declaracao do perfil no site oficial do dono (rota publica, secao 10)</t>
        </is>
      </c>
      <c r="S493" t="inlineStr">
        <is>
          <t>2026-09-14T11:25:38Z</t>
        </is>
      </c>
      <c r="T493" t="inlineStr">
        <is>
          <t>NAO_SELECIONADA</t>
        </is>
      </c>
      <c r="U493" t="inlineStr">
        <is>
          <t>validada, mas fora do teto de 20 para FACEBOOK (secao 20): a plataforma nao permite prova direta de identidade a partir do datacenter</t>
        </is>
      </c>
      <c r="V493" t="inlineStr">
        <is>
          <t>T11;T10</t>
        </is>
      </c>
      <c r="W493" t="inlineStr">
        <is>
          <t>EMILIA-ROMAGNA</t>
        </is>
      </c>
      <c r="X493" t="inlineStr">
        <is>
          <t>ortofrutta</t>
        </is>
      </c>
      <c r="Y493" t="inlineStr">
        <is>
          <t>fiera ortofrutta</t>
        </is>
      </c>
      <c r="Z493" t="inlineStr">
        <is>
          <t>titulo da pagina: Facebook</t>
        </is>
      </c>
      <c r="AA493" t="inlineStr">
        <is>
          <t>site oficial do dono: https://www.macfrut.com/</t>
        </is>
      </c>
      <c r="AB493" t="inlineStr">
        <is>
          <t>nao sorteada</t>
        </is>
      </c>
      <c r="AC493" t="inlineStr">
        <is>
          <t>nao sorteada</t>
        </is>
      </c>
      <c r="AE493" t="inlineStr">
        <is>
          <t>PLATFORM_GENERIC_TITLE</t>
        </is>
      </c>
      <c r="AF493" t="inlineStr"/>
    </row>
    <row r="494">
      <c r="A494" t="inlineStr">
        <is>
          <t>IT-DISC-2026-09-14-0493</t>
        </is>
      </c>
      <c r="B494" t="inlineStr">
        <is>
          <t>Macfrut — Instagram ufficiale</t>
        </is>
      </c>
      <c r="C494" t="inlineStr">
        <is>
          <t>INSTAGRAM</t>
        </is>
      </c>
      <c r="D494" t="inlineStr">
        <is>
          <t>ORG</t>
        </is>
      </c>
      <c r="E494" t="inlineStr">
        <is>
          <t>Cesena Fiera</t>
        </is>
      </c>
      <c r="F494" t="inlineStr">
        <is>
          <t>https://www.instagram.com/macfrut_official</t>
        </is>
      </c>
      <c r="G494" t="inlineStr">
        <is>
          <t>https://www.instagram.com/macfrut_official</t>
        </is>
      </c>
      <c r="H494" t="inlineStr">
        <is>
          <t>https://www.instagram.com/accounts/login/?next=https%3A%2F%2Fwww.instagram.com%2Fmacfrut_official&amp;is_from_rle</t>
        </is>
      </c>
      <c r="I494" t="n">
        <v>429</v>
      </c>
      <c r="J494" t="inlineStr">
        <is>
          <t>text/html</t>
        </is>
      </c>
      <c r="K494" t="n">
        <v>1</v>
      </c>
      <c r="L494" t="b">
        <v>1</v>
      </c>
      <c r="M494" t="b">
        <v>1</v>
      </c>
      <c r="N494" t="inlineStr">
        <is>
          <t>PROVED_BY_OWNER_SITE</t>
        </is>
      </c>
      <c r="O494" t="inlineStr">
        <is>
          <t>SIM</t>
        </is>
      </c>
      <c r="P494" t="inlineStr">
        <is>
          <t>SIM — declarado por dono italiano no proprio site</t>
        </is>
      </c>
      <c r="Q494" t="inlineStr">
        <is>
          <t>https://www.macfrut.com/</t>
        </is>
      </c>
      <c r="R494" t="inlineStr">
        <is>
          <t>sonda HTTP read-only (GET limitado, payload nao preservado) + declaracao do perfil no site oficial do dono (rota publica, secao 10)</t>
        </is>
      </c>
      <c r="S494" t="inlineStr">
        <is>
          <t>2026-09-14T11:25:39Z</t>
        </is>
      </c>
      <c r="T494" t="inlineStr">
        <is>
          <t>NAO_SELECIONADA</t>
        </is>
      </c>
      <c r="U494" t="inlineStr">
        <is>
          <t>validada, mas fora do teto de 25 para INSTAGRAM (secao 20): a plataforma nao permite prova direta de identidade a partir do datacenter</t>
        </is>
      </c>
      <c r="V494" t="inlineStr">
        <is>
          <t>T11;T10</t>
        </is>
      </c>
      <c r="W494" t="inlineStr">
        <is>
          <t>EMILIA-ROMAGNA</t>
        </is>
      </c>
      <c r="X494" t="inlineStr">
        <is>
          <t>ortofrutta</t>
        </is>
      </c>
      <c r="Y494" t="inlineStr">
        <is>
          <t>fiera ortofrutta</t>
        </is>
      </c>
      <c r="Z494" t="inlineStr">
        <is>
          <t xml:space="preserve">titulo da pagina: </t>
        </is>
      </c>
      <c r="AA494" t="inlineStr">
        <is>
          <t>site oficial do dono: https://www.macfrut.com/</t>
        </is>
      </c>
      <c r="AB494" t="inlineStr">
        <is>
          <t>nao sorteada</t>
        </is>
      </c>
      <c r="AC494" t="inlineStr">
        <is>
          <t>nao sorteada</t>
        </is>
      </c>
      <c r="AE494" t="inlineStr">
        <is>
          <t>HTTP_429,THIN_BODY</t>
        </is>
      </c>
      <c r="AF494" t="inlineStr"/>
    </row>
    <row r="495">
      <c r="A495" t="inlineStr">
        <is>
          <t>IT-DISC-2026-09-14-0494</t>
        </is>
      </c>
      <c r="B495" t="inlineStr">
        <is>
          <t>SIMEI — Salone Internazionale Macchine per Enologia e Imbottigliamento — Facebook ufficiale</t>
        </is>
      </c>
      <c r="C495" t="inlineStr">
        <is>
          <t>FACEBOOK</t>
        </is>
      </c>
      <c r="D495" t="inlineStr">
        <is>
          <t>ORG</t>
        </is>
      </c>
      <c r="E495" t="inlineStr">
        <is>
          <t>Unione Italiana Vini</t>
        </is>
      </c>
      <c r="F495" t="inlineStr">
        <is>
          <t>https://www.facebook.com/SimeiExhibition</t>
        </is>
      </c>
      <c r="G495" t="inlineStr">
        <is>
          <t>https://www.facebook.com/SimeiExhibition</t>
        </is>
      </c>
      <c r="H495" t="inlineStr">
        <is>
          <t>https://www.facebook.com/login/?next=https%3A%2F%2Fwww.facebook.com%2FSimeiExhibition</t>
        </is>
      </c>
      <c r="I495" t="n">
        <v>200</v>
      </c>
      <c r="J495" t="inlineStr">
        <is>
          <t>text/html</t>
        </is>
      </c>
      <c r="K495" t="n">
        <v>1</v>
      </c>
      <c r="L495" t="b">
        <v>1</v>
      </c>
      <c r="M495" t="b">
        <v>1</v>
      </c>
      <c r="N495" t="inlineStr">
        <is>
          <t>PROVED_BY_OWNER_SITE</t>
        </is>
      </c>
      <c r="O495" t="inlineStr">
        <is>
          <t>SIM</t>
        </is>
      </c>
      <c r="P495" t="inlineStr">
        <is>
          <t>SIM — declarado por dono italiano no proprio site</t>
        </is>
      </c>
      <c r="Q495" t="inlineStr">
        <is>
          <t>https://www.simei.it/</t>
        </is>
      </c>
      <c r="R495" t="inlineStr">
        <is>
          <t>sonda HTTP read-only (GET limitado, payload nao preservado) + declaracao do perfil no site oficial do dono (rota publica, secao 10)</t>
        </is>
      </c>
      <c r="S495" t="inlineStr">
        <is>
          <t>2026-09-14T11:25:39Z</t>
        </is>
      </c>
      <c r="T495" t="inlineStr">
        <is>
          <t>NAO_SELECIONADA</t>
        </is>
      </c>
      <c r="U495" t="inlineStr">
        <is>
          <t>validada, mas fora do teto de 20 para FACEBOOK (secao 20): a plataforma nao permite prova direta de identidade a partir do datacenter</t>
        </is>
      </c>
      <c r="V495" t="inlineStr">
        <is>
          <t>T11;T10</t>
        </is>
      </c>
      <c r="W495" t="inlineStr">
        <is>
          <t>NAZIONALE</t>
        </is>
      </c>
      <c r="X495" t="inlineStr"/>
      <c r="Y495" t="inlineStr">
        <is>
          <t>fiera enologia</t>
        </is>
      </c>
      <c r="Z495" t="inlineStr">
        <is>
          <t>titulo da pagina: Facebook</t>
        </is>
      </c>
      <c r="AA495" t="inlineStr">
        <is>
          <t>site oficial do dono: https://www.simei.it/</t>
        </is>
      </c>
      <c r="AB495" t="inlineStr">
        <is>
          <t>nao sorteada</t>
        </is>
      </c>
      <c r="AC495" t="inlineStr">
        <is>
          <t>nao sorteada</t>
        </is>
      </c>
      <c r="AE495" t="inlineStr">
        <is>
          <t>PLATFORM_GENERIC_TITLE</t>
        </is>
      </c>
      <c r="AF495" t="inlineStr"/>
    </row>
    <row r="496">
      <c r="A496" t="inlineStr">
        <is>
          <t>IT-DISC-2026-09-14-0495</t>
        </is>
      </c>
      <c r="B496" t="inlineStr">
        <is>
          <t>SIMEI — Salone Internazionale Macchine per Enologia e Imbottigliamento — Instagram ufficiale</t>
        </is>
      </c>
      <c r="C496" t="inlineStr">
        <is>
          <t>INSTAGRAM</t>
        </is>
      </c>
      <c r="D496" t="inlineStr">
        <is>
          <t>ORG</t>
        </is>
      </c>
      <c r="E496" t="inlineStr">
        <is>
          <t>Unione Italiana Vini</t>
        </is>
      </c>
      <c r="F496" t="inlineStr">
        <is>
          <t>https://www.instagram.com/simeiofficial</t>
        </is>
      </c>
      <c r="G496" t="inlineStr">
        <is>
          <t>https://www.instagram.com/simeiofficial</t>
        </is>
      </c>
      <c r="H496" t="inlineStr">
        <is>
          <t>https://www.instagram.com/accounts/login/?next=https%3A%2F%2Fwww.instagram.com%2Fsimeiofficial&amp;is_from_rle</t>
        </is>
      </c>
      <c r="I496" t="n">
        <v>429</v>
      </c>
      <c r="J496" t="inlineStr">
        <is>
          <t>text/html</t>
        </is>
      </c>
      <c r="K496" t="n">
        <v>1</v>
      </c>
      <c r="L496" t="b">
        <v>1</v>
      </c>
      <c r="M496" t="b">
        <v>1</v>
      </c>
      <c r="N496" t="inlineStr">
        <is>
          <t>PROVED_BY_OWNER_SITE</t>
        </is>
      </c>
      <c r="O496" t="inlineStr">
        <is>
          <t>SIM</t>
        </is>
      </c>
      <c r="P496" t="inlineStr">
        <is>
          <t>SIM — declarado por dono italiano no proprio site</t>
        </is>
      </c>
      <c r="Q496" t="inlineStr">
        <is>
          <t>https://www.simei.it/</t>
        </is>
      </c>
      <c r="R496" t="inlineStr">
        <is>
          <t>sonda HTTP read-only (GET limitado, payload nao preservado) + declaracao do perfil no site oficial do dono (rota publica, secao 10)</t>
        </is>
      </c>
      <c r="S496" t="inlineStr">
        <is>
          <t>2026-09-14T11:25:39Z</t>
        </is>
      </c>
      <c r="T496" t="inlineStr">
        <is>
          <t>NAO_SELECIONADA</t>
        </is>
      </c>
      <c r="U496" t="inlineStr">
        <is>
          <t>validada, mas fora do teto de 25 para INSTAGRAM (secao 20): a plataforma nao permite prova direta de identidade a partir do datacenter</t>
        </is>
      </c>
      <c r="V496" t="inlineStr">
        <is>
          <t>T11;T10</t>
        </is>
      </c>
      <c r="W496" t="inlineStr">
        <is>
          <t>NAZIONALE</t>
        </is>
      </c>
      <c r="X496" t="inlineStr"/>
      <c r="Y496" t="inlineStr">
        <is>
          <t>fiera enologia</t>
        </is>
      </c>
      <c r="Z496" t="inlineStr">
        <is>
          <t xml:space="preserve">titulo da pagina: </t>
        </is>
      </c>
      <c r="AA496" t="inlineStr">
        <is>
          <t>site oficial do dono: https://www.simei.it/</t>
        </is>
      </c>
      <c r="AB496" t="inlineStr">
        <is>
          <t>nao sorteada</t>
        </is>
      </c>
      <c r="AC496" t="inlineStr">
        <is>
          <t>nao sorteada</t>
        </is>
      </c>
      <c r="AE496" t="inlineStr">
        <is>
          <t>HTTP_429,THIN_BODY</t>
        </is>
      </c>
      <c r="AF496" t="inlineStr"/>
    </row>
    <row r="497">
      <c r="A497" t="inlineStr">
        <is>
          <t>IT-DISC-2026-09-14-0496</t>
        </is>
      </c>
      <c r="B497" t="inlineStr">
        <is>
          <t>Interpoma — Facebook ufficiale</t>
        </is>
      </c>
      <c r="C497" t="inlineStr">
        <is>
          <t>FACEBOOK</t>
        </is>
      </c>
      <c r="D497" t="inlineStr">
        <is>
          <t>ORG</t>
        </is>
      </c>
      <c r="E497" t="inlineStr">
        <is>
          <t>Fiera Bolzano</t>
        </is>
      </c>
      <c r="F497" t="inlineStr">
        <is>
          <t>https://www.facebook.com/Interpoma</t>
        </is>
      </c>
      <c r="G497" t="inlineStr">
        <is>
          <t>https://www.facebook.com/Interpoma</t>
        </is>
      </c>
      <c r="H497" t="inlineStr">
        <is>
          <t>https://www.facebook.com/login/?next=https%3A%2F%2Fwww.facebook.com%2FInterpoma</t>
        </is>
      </c>
      <c r="I497" t="n">
        <v>200</v>
      </c>
      <c r="J497" t="inlineStr">
        <is>
          <t>text/html</t>
        </is>
      </c>
      <c r="K497" t="n">
        <v>1</v>
      </c>
      <c r="L497" t="b">
        <v>1</v>
      </c>
      <c r="M497" t="b">
        <v>1</v>
      </c>
      <c r="N497" t="inlineStr">
        <is>
          <t>PROVED_BY_OWNER_SITE</t>
        </is>
      </c>
      <c r="O497" t="inlineStr">
        <is>
          <t>SIM</t>
        </is>
      </c>
      <c r="P497" t="inlineStr">
        <is>
          <t>SIM — declarado por dono italiano no proprio site</t>
        </is>
      </c>
      <c r="Q497" t="inlineStr">
        <is>
          <t>https://www.interpoma.it/</t>
        </is>
      </c>
      <c r="R497" t="inlineStr">
        <is>
          <t>sonda HTTP read-only (GET limitado, payload nao preservado) + declaracao do perfil no site oficial do dono (rota publica, secao 10)</t>
        </is>
      </c>
      <c r="S497" t="inlineStr">
        <is>
          <t>2026-09-14T11:25:39Z</t>
        </is>
      </c>
      <c r="T497" t="inlineStr">
        <is>
          <t>NAO_SELECIONADA</t>
        </is>
      </c>
      <c r="U497" t="inlineStr">
        <is>
          <t>validada, mas fora do teto de 20 para FACEBOOK (secao 20): a plataforma nao permite prova direta de identidade a partir do datacenter</t>
        </is>
      </c>
      <c r="V497" t="inlineStr">
        <is>
          <t>T11;T1</t>
        </is>
      </c>
      <c r="W497" t="inlineStr">
        <is>
          <t>TRENTINO-ALTO ADIGE</t>
        </is>
      </c>
      <c r="X497" t="inlineStr">
        <is>
          <t>melo</t>
        </is>
      </c>
      <c r="Y497" t="inlineStr">
        <is>
          <t>fiera melo;frutticoltura</t>
        </is>
      </c>
      <c r="Z497" t="inlineStr">
        <is>
          <t>titulo da pagina: Facebook</t>
        </is>
      </c>
      <c r="AA497" t="inlineStr">
        <is>
          <t>site oficial do dono: https://www.interpoma.it/</t>
        </is>
      </c>
      <c r="AB497" t="inlineStr">
        <is>
          <t>nao sorteada</t>
        </is>
      </c>
      <c r="AC497" t="inlineStr">
        <is>
          <t>nao sorteada</t>
        </is>
      </c>
      <c r="AE497" t="inlineStr">
        <is>
          <t>PLATFORM_GENERIC_TITLE</t>
        </is>
      </c>
      <c r="AF497" t="inlineStr"/>
    </row>
    <row r="498">
      <c r="A498" t="inlineStr">
        <is>
          <t>IT-DISC-2026-09-14-0497</t>
        </is>
      </c>
      <c r="B498" t="inlineStr">
        <is>
          <t>Interpoma — Instagram ufficiale</t>
        </is>
      </c>
      <c r="C498" t="inlineStr">
        <is>
          <t>INSTAGRAM</t>
        </is>
      </c>
      <c r="D498" t="inlineStr">
        <is>
          <t>ORG</t>
        </is>
      </c>
      <c r="E498" t="inlineStr">
        <is>
          <t>Fiera Bolzano</t>
        </is>
      </c>
      <c r="F498" t="inlineStr">
        <is>
          <t>https://www.instagram.com/interpoma_official</t>
        </is>
      </c>
      <c r="G498" t="inlineStr">
        <is>
          <t>https://www.instagram.com/interpoma_official</t>
        </is>
      </c>
      <c r="H498" t="inlineStr">
        <is>
          <t>https://www.instagram.com/accounts/login/?next=https%3A%2F%2Fwww.instagram.com%2Finterpoma_official&amp;is_from_rle</t>
        </is>
      </c>
      <c r="I498" t="n">
        <v>429</v>
      </c>
      <c r="J498" t="inlineStr">
        <is>
          <t>text/html</t>
        </is>
      </c>
      <c r="K498" t="n">
        <v>1</v>
      </c>
      <c r="L498" t="b">
        <v>1</v>
      </c>
      <c r="M498" t="b">
        <v>1</v>
      </c>
      <c r="N498" t="inlineStr">
        <is>
          <t>PROVED_BY_OWNER_SITE</t>
        </is>
      </c>
      <c r="O498" t="inlineStr">
        <is>
          <t>SIM</t>
        </is>
      </c>
      <c r="P498" t="inlineStr">
        <is>
          <t>SIM — declarado por dono italiano no proprio site</t>
        </is>
      </c>
      <c r="Q498" t="inlineStr">
        <is>
          <t>https://www.interpoma.it/</t>
        </is>
      </c>
      <c r="R498" t="inlineStr">
        <is>
          <t>sonda HTTP read-only (GET limitado, payload nao preservado) + declaracao do perfil no site oficial do dono (rota publica, secao 10)</t>
        </is>
      </c>
      <c r="S498" t="inlineStr">
        <is>
          <t>2026-09-14T11:25:40Z</t>
        </is>
      </c>
      <c r="T498" t="inlineStr">
        <is>
          <t>NAO_SELECIONADA</t>
        </is>
      </c>
      <c r="U498" t="inlineStr">
        <is>
          <t>validada, mas fora do teto de 25 para INSTAGRAM (secao 20): a plataforma nao permite prova direta de identidade a partir do datacenter</t>
        </is>
      </c>
      <c r="V498" t="inlineStr">
        <is>
          <t>T11;T1</t>
        </is>
      </c>
      <c r="W498" t="inlineStr">
        <is>
          <t>TRENTINO-ALTO ADIGE</t>
        </is>
      </c>
      <c r="X498" t="inlineStr">
        <is>
          <t>melo</t>
        </is>
      </c>
      <c r="Y498" t="inlineStr">
        <is>
          <t>fiera melo;frutticoltura</t>
        </is>
      </c>
      <c r="Z498" t="inlineStr">
        <is>
          <t xml:space="preserve">titulo da pagina: </t>
        </is>
      </c>
      <c r="AA498" t="inlineStr">
        <is>
          <t>site oficial do dono: https://www.interpoma.it/</t>
        </is>
      </c>
      <c r="AB498" t="inlineStr">
        <is>
          <t>nao sorteada</t>
        </is>
      </c>
      <c r="AC498" t="inlineStr">
        <is>
          <t>nao sorteada</t>
        </is>
      </c>
      <c r="AE498" t="inlineStr">
        <is>
          <t>HTTP_429,THIN_BODY</t>
        </is>
      </c>
      <c r="AF498" t="inlineStr"/>
    </row>
    <row r="499">
      <c r="A499" t="inlineStr">
        <is>
          <t>IT-DISC-2026-09-14-0498</t>
        </is>
      </c>
      <c r="B499" t="inlineStr">
        <is>
          <t>SANA — Salone del biologico e naturale — Facebook ufficiale</t>
        </is>
      </c>
      <c r="C499" t="inlineStr">
        <is>
          <t>FACEBOOK</t>
        </is>
      </c>
      <c r="D499" t="inlineStr">
        <is>
          <t>ORG</t>
        </is>
      </c>
      <c r="E499" t="inlineStr">
        <is>
          <t>BolognaFiere</t>
        </is>
      </c>
      <c r="F499" t="inlineStr">
        <is>
          <t>https://www.facebook.com/sanabologna</t>
        </is>
      </c>
      <c r="G499" t="inlineStr">
        <is>
          <t>https://www.facebook.com/sanabologna</t>
        </is>
      </c>
      <c r="H499" t="inlineStr">
        <is>
          <t>https://www.facebook.com/login/?next=https%3A%2F%2Fwww.facebook.com%2Fsanabologna</t>
        </is>
      </c>
      <c r="I499" t="n">
        <v>200</v>
      </c>
      <c r="J499" t="inlineStr">
        <is>
          <t>text/html</t>
        </is>
      </c>
      <c r="K499" t="n">
        <v>1</v>
      </c>
      <c r="L499" t="b">
        <v>1</v>
      </c>
      <c r="M499" t="b">
        <v>1</v>
      </c>
      <c r="N499" t="inlineStr">
        <is>
          <t>PROVED_BY_OWNER_SITE</t>
        </is>
      </c>
      <c r="O499" t="inlineStr">
        <is>
          <t>SIM</t>
        </is>
      </c>
      <c r="P499" t="inlineStr">
        <is>
          <t>SIM — declarado por dono italiano no proprio site</t>
        </is>
      </c>
      <c r="Q499" t="inlineStr">
        <is>
          <t>https://www.sana.it/</t>
        </is>
      </c>
      <c r="R499" t="inlineStr">
        <is>
          <t>sonda HTTP read-only (GET limitado, payload nao preservado) + declaracao do perfil no site oficial do dono (rota publica, secao 10)</t>
        </is>
      </c>
      <c r="S499" t="inlineStr">
        <is>
          <t>2026-09-14T11:25:40Z</t>
        </is>
      </c>
      <c r="T499" t="inlineStr">
        <is>
          <t>NAO_SELECIONADA</t>
        </is>
      </c>
      <c r="U499" t="inlineStr">
        <is>
          <t>validada, mas fora do teto de 20 para FACEBOOK (secao 20): a plataforma nao permite prova direta de identidade a partir do datacenter</t>
        </is>
      </c>
      <c r="V499" t="inlineStr">
        <is>
          <t>T11;T10</t>
        </is>
      </c>
      <c r="W499" t="inlineStr">
        <is>
          <t>EMILIA-ROMAGNA</t>
        </is>
      </c>
      <c r="X499" t="inlineStr"/>
      <c r="Y499" t="inlineStr">
        <is>
          <t>fiera biologico</t>
        </is>
      </c>
      <c r="Z499" t="inlineStr">
        <is>
          <t>titulo da pagina: Facebook</t>
        </is>
      </c>
      <c r="AA499" t="inlineStr">
        <is>
          <t>site oficial do dono: https://www.sana.it/</t>
        </is>
      </c>
      <c r="AB499" t="inlineStr">
        <is>
          <t>nao sorteada</t>
        </is>
      </c>
      <c r="AC499" t="inlineStr">
        <is>
          <t>nao sorteada</t>
        </is>
      </c>
      <c r="AE499" t="inlineStr">
        <is>
          <t>PLATFORM_GENERIC_TITLE</t>
        </is>
      </c>
      <c r="AF499" t="inlineStr"/>
    </row>
    <row r="500">
      <c r="A500" t="inlineStr">
        <is>
          <t>IT-DISC-2026-09-14-0499</t>
        </is>
      </c>
      <c r="B500" t="inlineStr">
        <is>
          <t>SANA — Salone del biologico e naturale — Instagram ufficiale</t>
        </is>
      </c>
      <c r="C500" t="inlineStr">
        <is>
          <t>INSTAGRAM</t>
        </is>
      </c>
      <c r="D500" t="inlineStr">
        <is>
          <t>ORG</t>
        </is>
      </c>
      <c r="E500" t="inlineStr">
        <is>
          <t>BolognaFiere</t>
        </is>
      </c>
      <c r="F500" t="inlineStr">
        <is>
          <t>https://www.instagram.com/sanafiera</t>
        </is>
      </c>
      <c r="G500" t="inlineStr">
        <is>
          <t>https://www.instagram.com/sanafiera</t>
        </is>
      </c>
      <c r="H500" t="inlineStr">
        <is>
          <t>https://www.instagram.com/accounts/login/?next=https%3A%2F%2Fwww.instagram.com%2Fsanafiera&amp;is_from_rle</t>
        </is>
      </c>
      <c r="I500" t="n">
        <v>429</v>
      </c>
      <c r="J500" t="inlineStr">
        <is>
          <t>text/html</t>
        </is>
      </c>
      <c r="K500" t="n">
        <v>1</v>
      </c>
      <c r="L500" t="b">
        <v>1</v>
      </c>
      <c r="M500" t="b">
        <v>1</v>
      </c>
      <c r="N500" t="inlineStr">
        <is>
          <t>PROVED_BY_OWNER_SITE</t>
        </is>
      </c>
      <c r="O500" t="inlineStr">
        <is>
          <t>SIM</t>
        </is>
      </c>
      <c r="P500" t="inlineStr">
        <is>
          <t>SIM — declarado por dono italiano no proprio site</t>
        </is>
      </c>
      <c r="Q500" t="inlineStr">
        <is>
          <t>https://www.sana.it/</t>
        </is>
      </c>
      <c r="R500" t="inlineStr">
        <is>
          <t>sonda HTTP read-only (GET limitado, payload nao preservado) + declaracao do perfil no site oficial do dono (rota publica, secao 10)</t>
        </is>
      </c>
      <c r="S500" t="inlineStr">
        <is>
          <t>2026-09-14T11:25:40Z</t>
        </is>
      </c>
      <c r="T500" t="inlineStr">
        <is>
          <t>NAO_SELECIONADA</t>
        </is>
      </c>
      <c r="U500" t="inlineStr">
        <is>
          <t>validada, mas fora do teto de 25 para INSTAGRAM (secao 20): a plataforma nao permite prova direta de identidade a partir do datacenter</t>
        </is>
      </c>
      <c r="V500" t="inlineStr">
        <is>
          <t>T11;T10</t>
        </is>
      </c>
      <c r="W500" t="inlineStr">
        <is>
          <t>EMILIA-ROMAGNA</t>
        </is>
      </c>
      <c r="X500" t="inlineStr"/>
      <c r="Y500" t="inlineStr">
        <is>
          <t>fiera biologico</t>
        </is>
      </c>
      <c r="Z500" t="inlineStr">
        <is>
          <t xml:space="preserve">titulo da pagina: </t>
        </is>
      </c>
      <c r="AA500" t="inlineStr">
        <is>
          <t>site oficial do dono: https://www.sana.it/</t>
        </is>
      </c>
      <c r="AB500" t="inlineStr">
        <is>
          <t>nao sorteada</t>
        </is>
      </c>
      <c r="AC500" t="inlineStr">
        <is>
          <t>nao sorteada</t>
        </is>
      </c>
      <c r="AE500" t="inlineStr">
        <is>
          <t>HTTP_429,THIN_BODY</t>
        </is>
      </c>
      <c r="AF500" t="inlineStr"/>
    </row>
    <row r="501">
      <c r="A501" t="inlineStr">
        <is>
          <t>IT-DISC-2026-09-14-0500</t>
        </is>
      </c>
      <c r="B501" t="inlineStr">
        <is>
          <t>Fieravicola — Facebook ufficiale</t>
        </is>
      </c>
      <c r="C501" t="inlineStr">
        <is>
          <t>FACEBOOK</t>
        </is>
      </c>
      <c r="D501" t="inlineStr">
        <is>
          <t>ORG</t>
        </is>
      </c>
      <c r="E501" t="inlineStr">
        <is>
          <t>Fieravicola</t>
        </is>
      </c>
      <c r="F501" t="inlineStr">
        <is>
          <t>https://www.facebook.com/fieravicola</t>
        </is>
      </c>
      <c r="G501" t="inlineStr">
        <is>
          <t>https://www.facebook.com/fieravicola</t>
        </is>
      </c>
      <c r="H501" t="inlineStr">
        <is>
          <t>https://www.facebook.com/login/?next=https%3A%2F%2Fwww.facebook.com%2Ffieravicola</t>
        </is>
      </c>
      <c r="I501" t="n">
        <v>200</v>
      </c>
      <c r="J501" t="inlineStr">
        <is>
          <t>text/html</t>
        </is>
      </c>
      <c r="K501" t="n">
        <v>1</v>
      </c>
      <c r="L501" t="b">
        <v>1</v>
      </c>
      <c r="M501" t="b">
        <v>1</v>
      </c>
      <c r="N501" t="inlineStr">
        <is>
          <t>PROVED_BY_OWNER_SITE</t>
        </is>
      </c>
      <c r="O501" t="inlineStr">
        <is>
          <t>SIM</t>
        </is>
      </c>
      <c r="P501" t="inlineStr">
        <is>
          <t>SIM — declarado por dono italiano no proprio site</t>
        </is>
      </c>
      <c r="Q501" t="inlineStr">
        <is>
          <t>https://www.fieravicola.com/</t>
        </is>
      </c>
      <c r="R501" t="inlineStr">
        <is>
          <t>sonda HTTP read-only (GET limitado, payload nao preservado) + declaracao do perfil no site oficial do dono (rota publica, secao 10)</t>
        </is>
      </c>
      <c r="S501" t="inlineStr">
        <is>
          <t>2026-09-14T11:25:40Z</t>
        </is>
      </c>
      <c r="T501" t="inlineStr">
        <is>
          <t>NAO_SELECIONADA</t>
        </is>
      </c>
      <c r="U501" t="inlineStr">
        <is>
          <t>validada, mas fora do teto de 20 para FACEBOOK (secao 20): a plataforma nao permite prova direta de identidade a partir do datacenter</t>
        </is>
      </c>
      <c r="V501" t="inlineStr">
        <is>
          <t>T11;T10</t>
        </is>
      </c>
      <c r="W501" t="inlineStr">
        <is>
          <t>EMILIA-ROMAGNA</t>
        </is>
      </c>
      <c r="X501" t="inlineStr"/>
      <c r="Y501" t="inlineStr">
        <is>
          <t>fiera avicoltura</t>
        </is>
      </c>
      <c r="Z501" t="inlineStr">
        <is>
          <t>titulo da pagina: Facebook</t>
        </is>
      </c>
      <c r="AA501" t="inlineStr">
        <is>
          <t>site oficial do dono: https://www.fieravicola.com/</t>
        </is>
      </c>
      <c r="AB501" t="inlineStr">
        <is>
          <t>nao sorteada</t>
        </is>
      </c>
      <c r="AC501" t="inlineStr">
        <is>
          <t>nao sorteada</t>
        </is>
      </c>
      <c r="AE501" t="inlineStr">
        <is>
          <t>PLATFORM_GENERIC_TITLE</t>
        </is>
      </c>
      <c r="AF501" t="inlineStr"/>
    </row>
    <row r="502">
      <c r="A502" t="inlineStr">
        <is>
          <t>IT-DISC-2026-09-14-0501</t>
        </is>
      </c>
      <c r="B502" t="inlineStr">
        <is>
          <t>Koppert Italia — Facebook ufficiale</t>
        </is>
      </c>
      <c r="C502" t="inlineStr">
        <is>
          <t>FACEBOOK</t>
        </is>
      </c>
      <c r="D502" t="inlineStr">
        <is>
          <t>ORG</t>
        </is>
      </c>
      <c r="E502" t="inlineStr">
        <is>
          <t>Koppert Biological Systems</t>
        </is>
      </c>
      <c r="F502" t="inlineStr">
        <is>
          <t>https://www.facebook.com/KoppertItalia</t>
        </is>
      </c>
      <c r="G502" t="inlineStr">
        <is>
          <t>https://www.facebook.com/KoppertItalia</t>
        </is>
      </c>
      <c r="H502" t="inlineStr">
        <is>
          <t>https://www.facebook.com/login/?next=https%3A%2F%2Fwww.facebook.com%2FKoppertItalia</t>
        </is>
      </c>
      <c r="I502" t="n">
        <v>200</v>
      </c>
      <c r="J502" t="inlineStr">
        <is>
          <t>text/html</t>
        </is>
      </c>
      <c r="K502" t="n">
        <v>1</v>
      </c>
      <c r="L502" t="b">
        <v>1</v>
      </c>
      <c r="M502" t="b">
        <v>1</v>
      </c>
      <c r="N502" t="inlineStr">
        <is>
          <t>PROVED_BY_OWNER_SITE</t>
        </is>
      </c>
      <c r="O502" t="inlineStr">
        <is>
          <t>SIM</t>
        </is>
      </c>
      <c r="P502" t="inlineStr">
        <is>
          <t>SIM — declarado por dono italiano no proprio site</t>
        </is>
      </c>
      <c r="Q502" t="inlineStr">
        <is>
          <t>https://www.koppert.it/</t>
        </is>
      </c>
      <c r="R502" t="inlineStr">
        <is>
          <t>sonda HTTP read-only (GET limitado, payload nao preservado) + declaracao do perfil no site oficial do dono (rota publica, secao 10)</t>
        </is>
      </c>
      <c r="S502" t="inlineStr">
        <is>
          <t>2026-09-14T11:25:40Z</t>
        </is>
      </c>
      <c r="T502" t="inlineStr">
        <is>
          <t>NAO_SELECIONADA</t>
        </is>
      </c>
      <c r="U502" t="inlineStr">
        <is>
          <t>validada, mas fora do teto de 20 para FACEBOOK (secao 20): a plataforma nao permite prova direta de identidade a partir do datacenter</t>
        </is>
      </c>
      <c r="V502" t="inlineStr">
        <is>
          <t>T9;T3</t>
        </is>
      </c>
      <c r="W502" t="inlineStr">
        <is>
          <t>NAZIONALE</t>
        </is>
      </c>
      <c r="X502" t="inlineStr"/>
      <c r="Y502" t="inlineStr">
        <is>
          <t>biocontrollo;insetti utili</t>
        </is>
      </c>
      <c r="Z502" t="inlineStr">
        <is>
          <t>titulo da pagina: Facebook</t>
        </is>
      </c>
      <c r="AA502" t="inlineStr">
        <is>
          <t>site oficial do dono: https://www.koppert.it/</t>
        </is>
      </c>
      <c r="AB502" t="inlineStr">
        <is>
          <t>nao sorteada</t>
        </is>
      </c>
      <c r="AC502" t="inlineStr">
        <is>
          <t>nao sorteada</t>
        </is>
      </c>
      <c r="AE502" t="inlineStr">
        <is>
          <t>PLATFORM_GENERIC_TITLE</t>
        </is>
      </c>
      <c r="AF502" t="inlineStr"/>
    </row>
    <row r="503">
      <c r="A503" t="inlineStr">
        <is>
          <t>IT-DISC-2026-09-14-0502</t>
        </is>
      </c>
      <c r="B503" t="inlineStr">
        <is>
          <t>Koppert Italia — Instagram ufficiale</t>
        </is>
      </c>
      <c r="C503" t="inlineStr">
        <is>
          <t>INSTAGRAM</t>
        </is>
      </c>
      <c r="D503" t="inlineStr">
        <is>
          <t>ORG</t>
        </is>
      </c>
      <c r="E503" t="inlineStr">
        <is>
          <t>Koppert Biological Systems</t>
        </is>
      </c>
      <c r="F503" t="inlineStr">
        <is>
          <t>https://www.instagram.com/koppertitalia</t>
        </is>
      </c>
      <c r="G503" t="inlineStr">
        <is>
          <t>https://www.instagram.com/koppertitalia</t>
        </is>
      </c>
      <c r="H503" t="inlineStr">
        <is>
          <t>https://www.instagram.com/accounts/login/?next=https%3A%2F%2Fwww.instagram.com%2Fkoppertitalia&amp;is_from_rle</t>
        </is>
      </c>
      <c r="I503" t="n">
        <v>429</v>
      </c>
      <c r="J503" t="inlineStr">
        <is>
          <t>text/html</t>
        </is>
      </c>
      <c r="K503" t="n">
        <v>1</v>
      </c>
      <c r="L503" t="b">
        <v>1</v>
      </c>
      <c r="M503" t="b">
        <v>1</v>
      </c>
      <c r="N503" t="inlineStr">
        <is>
          <t>PROVED_BY_OWNER_SITE</t>
        </is>
      </c>
      <c r="O503" t="inlineStr">
        <is>
          <t>SIM</t>
        </is>
      </c>
      <c r="P503" t="inlineStr">
        <is>
          <t>SIM — declarado por dono italiano no proprio site</t>
        </is>
      </c>
      <c r="Q503" t="inlineStr">
        <is>
          <t>https://www.koppert.it/</t>
        </is>
      </c>
      <c r="R503" t="inlineStr">
        <is>
          <t>sonda HTTP read-only (GET limitado, payload nao preservado) + declaracao do perfil no site oficial do dono (rota publica, secao 10)</t>
        </is>
      </c>
      <c r="S503" t="inlineStr">
        <is>
          <t>2026-09-14T11:25:41Z</t>
        </is>
      </c>
      <c r="T503" t="inlineStr">
        <is>
          <t>NAO_SELECIONADA</t>
        </is>
      </c>
      <c r="U503" t="inlineStr">
        <is>
          <t>validada, mas fora do teto de 25 para INSTAGRAM (secao 20): a plataforma nao permite prova direta de identidade a partir do datacenter</t>
        </is>
      </c>
      <c r="V503" t="inlineStr">
        <is>
          <t>T9;T3</t>
        </is>
      </c>
      <c r="W503" t="inlineStr">
        <is>
          <t>NAZIONALE</t>
        </is>
      </c>
      <c r="X503" t="inlineStr"/>
      <c r="Y503" t="inlineStr">
        <is>
          <t>biocontrollo;insetti utili</t>
        </is>
      </c>
      <c r="Z503" t="inlineStr">
        <is>
          <t xml:space="preserve">titulo da pagina: </t>
        </is>
      </c>
      <c r="AA503" t="inlineStr">
        <is>
          <t>site oficial do dono: https://www.koppert.it/</t>
        </is>
      </c>
      <c r="AB503" t="inlineStr">
        <is>
          <t>nao sorteada</t>
        </is>
      </c>
      <c r="AC503" t="inlineStr">
        <is>
          <t>nao sorteada</t>
        </is>
      </c>
      <c r="AE503" t="inlineStr">
        <is>
          <t>HTTP_429,THIN_BODY</t>
        </is>
      </c>
      <c r="AF503" t="inlineStr"/>
    </row>
    <row r="504">
      <c r="A504" t="inlineStr">
        <is>
          <t>IT-DISC-2026-09-14-0503</t>
        </is>
      </c>
      <c r="B504" t="inlineStr">
        <is>
          <t>Valagro — Facebook ufficiale</t>
        </is>
      </c>
      <c r="C504" t="inlineStr">
        <is>
          <t>FACEBOOK</t>
        </is>
      </c>
      <c r="D504" t="inlineStr">
        <is>
          <t>ORG</t>
        </is>
      </c>
      <c r="E504" t="inlineStr">
        <is>
          <t>Valagro — Syngenta Group</t>
        </is>
      </c>
      <c r="F504" t="inlineStr">
        <is>
          <t>https://www.facebook.com/Syngenta</t>
        </is>
      </c>
      <c r="G504" t="inlineStr">
        <is>
          <t>https://www.facebook.com/Syngenta</t>
        </is>
      </c>
      <c r="H504" t="inlineStr">
        <is>
          <t>https://www.facebook.com/login/?next=https%3A%2F%2Fwww.facebook.com%2FSyngenta</t>
        </is>
      </c>
      <c r="I504" t="n">
        <v>200</v>
      </c>
      <c r="J504" t="inlineStr">
        <is>
          <t>text/html</t>
        </is>
      </c>
      <c r="K504" t="n">
        <v>1</v>
      </c>
      <c r="L504" t="b">
        <v>1</v>
      </c>
      <c r="M504" t="b">
        <v>1</v>
      </c>
      <c r="N504" t="inlineStr">
        <is>
          <t>PROVED_BY_OWNER_SITE</t>
        </is>
      </c>
      <c r="O504" t="inlineStr">
        <is>
          <t>SIM</t>
        </is>
      </c>
      <c r="P504" t="inlineStr">
        <is>
          <t>SIM — declarado por dono italiano no proprio site</t>
        </is>
      </c>
      <c r="Q504" t="inlineStr">
        <is>
          <t>https://www.valagro.com/it/</t>
        </is>
      </c>
      <c r="R504" t="inlineStr">
        <is>
          <t>sonda HTTP read-only (GET limitado, payload nao preservado) + declaracao do perfil no site oficial do dono (rota publica, secao 10)</t>
        </is>
      </c>
      <c r="S504" t="inlineStr">
        <is>
          <t>2026-09-14T11:25:41Z</t>
        </is>
      </c>
      <c r="T504" t="inlineStr">
        <is>
          <t>NAO_SELECIONADA</t>
        </is>
      </c>
      <c r="U504" t="inlineStr">
        <is>
          <t>validada, mas fora do teto de 20 para FACEBOOK (secao 20): a plataforma nao permite prova direta de identidade a partir do datacenter</t>
        </is>
      </c>
      <c r="V504" t="inlineStr">
        <is>
          <t>T9;T10</t>
        </is>
      </c>
      <c r="W504" t="inlineStr">
        <is>
          <t>ABRUZZO</t>
        </is>
      </c>
      <c r="X504" t="inlineStr"/>
      <c r="Y504" t="inlineStr">
        <is>
          <t>biostimolanti;nutrizione</t>
        </is>
      </c>
      <c r="Z504" t="inlineStr">
        <is>
          <t>titulo da pagina: Facebook</t>
        </is>
      </c>
      <c r="AA504" t="inlineStr">
        <is>
          <t>site oficial do dono: https://www.valagro.com/it/</t>
        </is>
      </c>
      <c r="AB504" t="inlineStr">
        <is>
          <t>nao sorteada</t>
        </is>
      </c>
      <c r="AC504" t="inlineStr">
        <is>
          <t>nao sorteada</t>
        </is>
      </c>
      <c r="AE504" t="inlineStr">
        <is>
          <t>PLATFORM_GENERIC_TITLE</t>
        </is>
      </c>
      <c r="AF504" t="inlineStr"/>
    </row>
    <row r="505">
      <c r="A505" t="inlineStr">
        <is>
          <t>IT-DISC-2026-09-14-0504</t>
        </is>
      </c>
      <c r="B505" t="inlineStr">
        <is>
          <t>Valagro — Instagram ufficiale</t>
        </is>
      </c>
      <c r="C505" t="inlineStr">
        <is>
          <t>INSTAGRAM</t>
        </is>
      </c>
      <c r="D505" t="inlineStr">
        <is>
          <t>ORG</t>
        </is>
      </c>
      <c r="E505" t="inlineStr">
        <is>
          <t>Valagro — Syngenta Group</t>
        </is>
      </c>
      <c r="F505" t="inlineStr">
        <is>
          <t>https://www.instagram.com/syngenta</t>
        </is>
      </c>
      <c r="G505" t="inlineStr">
        <is>
          <t>https://www.instagram.com/syngenta</t>
        </is>
      </c>
      <c r="H505" t="inlineStr">
        <is>
          <t>https://www.instagram.com/accounts/login/?next=https%3A%2F%2Fwww.instagram.com%2Fsyngenta&amp;is_from_rle</t>
        </is>
      </c>
      <c r="I505" t="n">
        <v>429</v>
      </c>
      <c r="J505" t="inlineStr">
        <is>
          <t>text/html</t>
        </is>
      </c>
      <c r="K505" t="n">
        <v>1</v>
      </c>
      <c r="L505" t="b">
        <v>1</v>
      </c>
      <c r="M505" t="b">
        <v>1</v>
      </c>
      <c r="N505" t="inlineStr">
        <is>
          <t>PROVED_BY_OWNER_SITE</t>
        </is>
      </c>
      <c r="O505" t="inlineStr">
        <is>
          <t>SIM</t>
        </is>
      </c>
      <c r="P505" t="inlineStr">
        <is>
          <t>SIM — declarado por dono italiano no proprio site</t>
        </is>
      </c>
      <c r="Q505" t="inlineStr">
        <is>
          <t>https://www.valagro.com/it/</t>
        </is>
      </c>
      <c r="R505" t="inlineStr">
        <is>
          <t>sonda HTTP read-only (GET limitado, payload nao preservado) + declaracao do perfil no site oficial do dono (rota publica, secao 10)</t>
        </is>
      </c>
      <c r="S505" t="inlineStr">
        <is>
          <t>2026-09-14T11:25:41Z</t>
        </is>
      </c>
      <c r="T505" t="inlineStr">
        <is>
          <t>NAO_SELECIONADA</t>
        </is>
      </c>
      <c r="U505" t="inlineStr">
        <is>
          <t>validada, mas fora do teto de 25 para INSTAGRAM (secao 20): a plataforma nao permite prova direta de identidade a partir do datacenter</t>
        </is>
      </c>
      <c r="V505" t="inlineStr">
        <is>
          <t>T9;T10</t>
        </is>
      </c>
      <c r="W505" t="inlineStr">
        <is>
          <t>ABRUZZO</t>
        </is>
      </c>
      <c r="X505" t="inlineStr"/>
      <c r="Y505" t="inlineStr">
        <is>
          <t>biostimolanti;nutrizione</t>
        </is>
      </c>
      <c r="Z505" t="inlineStr">
        <is>
          <t xml:space="preserve">titulo da pagina: </t>
        </is>
      </c>
      <c r="AA505" t="inlineStr">
        <is>
          <t>site oficial do dono: https://www.valagro.com/it/</t>
        </is>
      </c>
      <c r="AB505" t="inlineStr">
        <is>
          <t>nao sorteada</t>
        </is>
      </c>
      <c r="AC505" t="inlineStr">
        <is>
          <t>nao sorteada</t>
        </is>
      </c>
      <c r="AE505" t="inlineStr">
        <is>
          <t>HTTP_429,THIN_BODY</t>
        </is>
      </c>
      <c r="AF505" t="inlineStr"/>
    </row>
    <row r="506">
      <c r="A506" t="inlineStr">
        <is>
          <t>IT-DISC-2026-09-14-0505</t>
        </is>
      </c>
      <c r="B506" t="inlineStr">
        <is>
          <t>Serbios — Facebook ufficiale</t>
        </is>
      </c>
      <c r="C506" t="inlineStr">
        <is>
          <t>FACEBOOK</t>
        </is>
      </c>
      <c r="D506" t="inlineStr">
        <is>
          <t>ORG</t>
        </is>
      </c>
      <c r="E506" t="inlineStr">
        <is>
          <t>Serbios</t>
        </is>
      </c>
      <c r="F506" t="inlineStr">
        <is>
          <t>https://www.facebook.com/p/SERBIOS_srl-Agricoltura-100067093668960</t>
        </is>
      </c>
      <c r="G506" t="inlineStr">
        <is>
          <t>https://www.facebook.com/p/SERBIOS_srl-Agricoltura-100067093668960</t>
        </is>
      </c>
      <c r="H506" t="inlineStr">
        <is>
          <t>https://www.facebook.com/login/?next=https%3A%2F%2Fwww.facebook.com%2Fp%2FSERBIOS_srl-Agricoltura-100067093668960</t>
        </is>
      </c>
      <c r="I506" t="n">
        <v>200</v>
      </c>
      <c r="J506" t="inlineStr">
        <is>
          <t>text/html</t>
        </is>
      </c>
      <c r="K506" t="n">
        <v>1</v>
      </c>
      <c r="L506" t="b">
        <v>1</v>
      </c>
      <c r="M506" t="b">
        <v>1</v>
      </c>
      <c r="N506" t="inlineStr">
        <is>
          <t>PROVED_BY_OWNER_SITE</t>
        </is>
      </c>
      <c r="O506" t="inlineStr">
        <is>
          <t>SIM</t>
        </is>
      </c>
      <c r="P506" t="inlineStr">
        <is>
          <t>SIM — declarado por dono italiano no proprio site</t>
        </is>
      </c>
      <c r="Q506" t="inlineStr">
        <is>
          <t>https://www.serbios.it/</t>
        </is>
      </c>
      <c r="R506" t="inlineStr">
        <is>
          <t>sonda HTTP read-only (GET limitado, payload nao preservado) + declaracao do perfil no site oficial do dono (rota publica, secao 10)</t>
        </is>
      </c>
      <c r="S506" t="inlineStr">
        <is>
          <t>2026-09-14T11:25:42Z</t>
        </is>
      </c>
      <c r="T506" t="inlineStr">
        <is>
          <t>NAO_SELECIONADA</t>
        </is>
      </c>
      <c r="U506" t="inlineStr">
        <is>
          <t>validada, mas fora do teto de 20 para FACEBOOK (secao 20): a plataforma nao permite prova direta de identidade a partir do datacenter</t>
        </is>
      </c>
      <c r="V506" t="inlineStr">
        <is>
          <t>T9;T3</t>
        </is>
      </c>
      <c r="W506" t="inlineStr">
        <is>
          <t>VENETO</t>
        </is>
      </c>
      <c r="X506" t="inlineStr"/>
      <c r="Y506" t="inlineStr">
        <is>
          <t>biocontrollo;fitosanitari</t>
        </is>
      </c>
      <c r="Z506" t="inlineStr">
        <is>
          <t>titulo da pagina: Facebook</t>
        </is>
      </c>
      <c r="AA506" t="inlineStr">
        <is>
          <t>site oficial do dono: https://www.serbios.it/</t>
        </is>
      </c>
      <c r="AB506" t="inlineStr">
        <is>
          <t>nao sorteada</t>
        </is>
      </c>
      <c r="AC506" t="inlineStr">
        <is>
          <t>nao sorteada</t>
        </is>
      </c>
      <c r="AE506" t="inlineStr">
        <is>
          <t>PLATFORM_GENERIC_TITLE</t>
        </is>
      </c>
      <c r="AF506" t="inlineStr"/>
    </row>
    <row r="507">
      <c r="A507" t="inlineStr">
        <is>
          <t>IT-DISC-2026-09-14-0506</t>
        </is>
      </c>
      <c r="B507" t="inlineStr">
        <is>
          <t>Serbios — Instagram ufficiale</t>
        </is>
      </c>
      <c r="C507" t="inlineStr">
        <is>
          <t>INSTAGRAM</t>
        </is>
      </c>
      <c r="D507" t="inlineStr">
        <is>
          <t>ORG</t>
        </is>
      </c>
      <c r="E507" t="inlineStr">
        <is>
          <t>Serbios</t>
        </is>
      </c>
      <c r="F507" t="inlineStr">
        <is>
          <t>https://www.instagram.com/serbios_srl</t>
        </is>
      </c>
      <c r="G507" t="inlineStr">
        <is>
          <t>https://www.instagram.com/serbios_srl</t>
        </is>
      </c>
      <c r="H507" t="inlineStr">
        <is>
          <t>https://www.instagram.com/accounts/login/?next=https%3A%2F%2Fwww.instagram.com%2Fserbios_srl&amp;is_from_rle</t>
        </is>
      </c>
      <c r="I507" t="n">
        <v>429</v>
      </c>
      <c r="J507" t="inlineStr">
        <is>
          <t>text/html</t>
        </is>
      </c>
      <c r="K507" t="n">
        <v>1</v>
      </c>
      <c r="L507" t="b">
        <v>1</v>
      </c>
      <c r="M507" t="b">
        <v>1</v>
      </c>
      <c r="N507" t="inlineStr">
        <is>
          <t>PROVED_BY_OWNER_SITE</t>
        </is>
      </c>
      <c r="O507" t="inlineStr">
        <is>
          <t>SIM</t>
        </is>
      </c>
      <c r="P507" t="inlineStr">
        <is>
          <t>SIM — declarado por dono italiano no proprio site</t>
        </is>
      </c>
      <c r="Q507" t="inlineStr">
        <is>
          <t>https://www.serbios.it/</t>
        </is>
      </c>
      <c r="R507" t="inlineStr">
        <is>
          <t>sonda HTTP read-only (GET limitado, payload nao preservado) + declaracao do perfil no site oficial do dono (rota publica, secao 10)</t>
        </is>
      </c>
      <c r="S507" t="inlineStr">
        <is>
          <t>2026-09-14T11:25:42Z</t>
        </is>
      </c>
      <c r="T507" t="inlineStr">
        <is>
          <t>NAO_SELECIONADA</t>
        </is>
      </c>
      <c r="U507" t="inlineStr">
        <is>
          <t>validada, mas fora do teto de 25 para INSTAGRAM (secao 20): a plataforma nao permite prova direta de identidade a partir do datacenter</t>
        </is>
      </c>
      <c r="V507" t="inlineStr">
        <is>
          <t>T9;T3</t>
        </is>
      </c>
      <c r="W507" t="inlineStr">
        <is>
          <t>VENETO</t>
        </is>
      </c>
      <c r="X507" t="inlineStr"/>
      <c r="Y507" t="inlineStr">
        <is>
          <t>biocontrollo;fitosanitari</t>
        </is>
      </c>
      <c r="Z507" t="inlineStr">
        <is>
          <t xml:space="preserve">titulo da pagina: </t>
        </is>
      </c>
      <c r="AA507" t="inlineStr">
        <is>
          <t>site oficial do dono: https://www.serbios.it/</t>
        </is>
      </c>
      <c r="AB507" t="inlineStr">
        <is>
          <t>nao sorteada</t>
        </is>
      </c>
      <c r="AC507" t="inlineStr">
        <is>
          <t>nao sorteada</t>
        </is>
      </c>
      <c r="AE507" t="inlineStr">
        <is>
          <t>HTTP_429,THIN_BODY</t>
        </is>
      </c>
      <c r="AF507" t="inlineStr"/>
    </row>
    <row r="508">
      <c r="A508" t="inlineStr">
        <is>
          <t>IT-DISC-2026-09-14-0507</t>
        </is>
      </c>
      <c r="B508" t="inlineStr">
        <is>
          <t>Consorzio di Tutela del Grana Padano — Facebook ufficiale</t>
        </is>
      </c>
      <c r="C508" t="inlineStr">
        <is>
          <t>FACEBOOK</t>
        </is>
      </c>
      <c r="D508" t="inlineStr">
        <is>
          <t>ORG</t>
        </is>
      </c>
      <c r="E508" t="inlineStr">
        <is>
          <t>Consorzio Tutela Grana Padano</t>
        </is>
      </c>
      <c r="F508" t="inlineStr">
        <is>
          <t>https://www.facebook.com/GranaPadano</t>
        </is>
      </c>
      <c r="G508" t="inlineStr">
        <is>
          <t>https://www.facebook.com/GranaPadano</t>
        </is>
      </c>
      <c r="H508" t="inlineStr">
        <is>
          <t>https://www.facebook.com/login/?next=https%3A%2F%2Fwww.facebook.com%2FGranaPadano</t>
        </is>
      </c>
      <c r="I508" t="n">
        <v>200</v>
      </c>
      <c r="J508" t="inlineStr">
        <is>
          <t>text/html</t>
        </is>
      </c>
      <c r="K508" t="n">
        <v>1</v>
      </c>
      <c r="L508" t="b">
        <v>1</v>
      </c>
      <c r="M508" t="b">
        <v>1</v>
      </c>
      <c r="N508" t="inlineStr">
        <is>
          <t>PROVED_BY_OWNER_SITE</t>
        </is>
      </c>
      <c r="O508" t="inlineStr">
        <is>
          <t>SIM</t>
        </is>
      </c>
      <c r="P508" t="inlineStr">
        <is>
          <t>SIM — declarado por dono italiano no proprio site</t>
        </is>
      </c>
      <c r="Q508" t="inlineStr">
        <is>
          <t>https://www.granapadano.it/</t>
        </is>
      </c>
      <c r="R508" t="inlineStr">
        <is>
          <t>sonda HTTP read-only (GET limitado, payload nao preservado) + declaracao do perfil no site oficial do dono (rota publica, secao 10)</t>
        </is>
      </c>
      <c r="S508" t="inlineStr">
        <is>
          <t>2026-09-14T11:25:42Z</t>
        </is>
      </c>
      <c r="T508" t="inlineStr">
        <is>
          <t>NAO_SELECIONADA</t>
        </is>
      </c>
      <c r="U508" t="inlineStr">
        <is>
          <t>validada, mas fora do teto de 20 para FACEBOOK (secao 20): a plataforma nao permite prova direta de identidade a partir do datacenter</t>
        </is>
      </c>
      <c r="V508" t="inlineStr">
        <is>
          <t>T10;T1</t>
        </is>
      </c>
      <c r="W508" t="inlineStr">
        <is>
          <t>LOMBARDIA</t>
        </is>
      </c>
      <c r="X508" t="inlineStr">
        <is>
          <t>latte</t>
        </is>
      </c>
      <c r="Y508" t="inlineStr">
        <is>
          <t>DOP;latte;filiera</t>
        </is>
      </c>
      <c r="Z508" t="inlineStr">
        <is>
          <t>titulo da pagina: Facebook</t>
        </is>
      </c>
      <c r="AA508" t="inlineStr">
        <is>
          <t>site oficial do dono: https://www.granapadano.it/</t>
        </is>
      </c>
      <c r="AB508" t="inlineStr">
        <is>
          <t>nao sorteada</t>
        </is>
      </c>
      <c r="AC508" t="inlineStr">
        <is>
          <t>nao sorteada</t>
        </is>
      </c>
      <c r="AE508" t="inlineStr">
        <is>
          <t>PLATFORM_GENERIC_TITLE</t>
        </is>
      </c>
      <c r="AF508" t="inlineStr"/>
    </row>
    <row r="509">
      <c r="A509" t="inlineStr">
        <is>
          <t>IT-DISC-2026-09-14-0508</t>
        </is>
      </c>
      <c r="B509" t="inlineStr">
        <is>
          <t>Consorzio del Vino Brunello di Montalcino — Facebook ufficiale</t>
        </is>
      </c>
      <c r="C509" t="inlineStr">
        <is>
          <t>FACEBOOK</t>
        </is>
      </c>
      <c r="D509" t="inlineStr">
        <is>
          <t>ORG</t>
        </is>
      </c>
      <c r="E509" t="inlineStr">
        <is>
          <t>Consorzio Brunello di Montalcino</t>
        </is>
      </c>
      <c r="F509" t="inlineStr">
        <is>
          <t>https://www.facebook.com/brunellodimontalcino</t>
        </is>
      </c>
      <c r="G509" t="inlineStr">
        <is>
          <t>https://www.facebook.com/brunellodimontalcino</t>
        </is>
      </c>
      <c r="H509" t="inlineStr">
        <is>
          <t>https://www.facebook.com/login/?next=https%3A%2F%2Fwww.facebook.com%2Fbrunellodimontalcino</t>
        </is>
      </c>
      <c r="I509" t="n">
        <v>200</v>
      </c>
      <c r="J509" t="inlineStr">
        <is>
          <t>text/html</t>
        </is>
      </c>
      <c r="K509" t="n">
        <v>1</v>
      </c>
      <c r="L509" t="b">
        <v>1</v>
      </c>
      <c r="M509" t="b">
        <v>1</v>
      </c>
      <c r="N509" t="inlineStr">
        <is>
          <t>PROVED_BY_OWNER_SITE</t>
        </is>
      </c>
      <c r="O509" t="inlineStr">
        <is>
          <t>SIM</t>
        </is>
      </c>
      <c r="P509" t="inlineStr">
        <is>
          <t>SIM — declarado por dono italiano no proprio site</t>
        </is>
      </c>
      <c r="Q509" t="inlineStr">
        <is>
          <t>https://www.consorziobrunellodimontalcino.it/</t>
        </is>
      </c>
      <c r="R509" t="inlineStr">
        <is>
          <t>sonda HTTP read-only (GET limitado, payload nao preservado) + declaracao do perfil no site oficial do dono (rota publica, secao 10)</t>
        </is>
      </c>
      <c r="S509" t="inlineStr">
        <is>
          <t>2026-09-14T11:25:43Z</t>
        </is>
      </c>
      <c r="T509" t="inlineStr">
        <is>
          <t>NAO_SELECIONADA</t>
        </is>
      </c>
      <c r="U509" t="inlineStr">
        <is>
          <t>validada, mas fora do teto de 20 para FACEBOOK (secao 20): a plataforma nao permite prova direta de identidade a partir do datacenter</t>
        </is>
      </c>
      <c r="V509" t="inlineStr">
        <is>
          <t>T10;T1</t>
        </is>
      </c>
      <c r="W509" t="inlineStr">
        <is>
          <t>TOSCANA</t>
        </is>
      </c>
      <c r="X509" t="inlineStr">
        <is>
          <t>vino</t>
        </is>
      </c>
      <c r="Y509" t="inlineStr">
        <is>
          <t>vino;DOCG</t>
        </is>
      </c>
      <c r="Z509" t="inlineStr">
        <is>
          <t>titulo da pagina: Facebook</t>
        </is>
      </c>
      <c r="AA509" t="inlineStr">
        <is>
          <t>site oficial do dono: https://www.consorziobrunellodimontalcino.it/</t>
        </is>
      </c>
      <c r="AB509" t="inlineStr">
        <is>
          <t>nao sorteada</t>
        </is>
      </c>
      <c r="AC509" t="inlineStr">
        <is>
          <t>nao sorteada</t>
        </is>
      </c>
      <c r="AE509" t="inlineStr">
        <is>
          <t>PLATFORM_GENERIC_TITLE</t>
        </is>
      </c>
      <c r="AF509" t="inlineStr"/>
    </row>
    <row r="510">
      <c r="A510" t="inlineStr">
        <is>
          <t>IT-DISC-2026-09-14-0509</t>
        </is>
      </c>
      <c r="B510" t="inlineStr">
        <is>
          <t>Consorzio di Tutela dell'Aceto Balsamico di Modena — Facebook ufficiale</t>
        </is>
      </c>
      <c r="C510" t="inlineStr">
        <is>
          <t>FACEBOOK</t>
        </is>
      </c>
      <c r="D510" t="inlineStr">
        <is>
          <t>ORG</t>
        </is>
      </c>
      <c r="E510" t="inlineStr">
        <is>
          <t>Consorzio Aceto Balsamico di Modena</t>
        </is>
      </c>
      <c r="F510" t="inlineStr">
        <is>
          <t>https://www.facebook.com/tutelabalsamico</t>
        </is>
      </c>
      <c r="G510" t="inlineStr">
        <is>
          <t>https://www.facebook.com/tutelabalsamico</t>
        </is>
      </c>
      <c r="H510" t="inlineStr">
        <is>
          <t>https://www.facebook.com/login/?next=https%3A%2F%2Fwww.facebook.com%2Ftutelabalsamico</t>
        </is>
      </c>
      <c r="I510" t="n">
        <v>200</v>
      </c>
      <c r="J510" t="inlineStr">
        <is>
          <t>text/html</t>
        </is>
      </c>
      <c r="K510" t="n">
        <v>1</v>
      </c>
      <c r="L510" t="b">
        <v>1</v>
      </c>
      <c r="M510" t="b">
        <v>1</v>
      </c>
      <c r="N510" t="inlineStr">
        <is>
          <t>PROVED_BY_OWNER_SITE</t>
        </is>
      </c>
      <c r="O510" t="inlineStr">
        <is>
          <t>SIM</t>
        </is>
      </c>
      <c r="P510" t="inlineStr">
        <is>
          <t>SIM — declarado por dono italiano no proprio site</t>
        </is>
      </c>
      <c r="Q510" t="inlineStr">
        <is>
          <t>https://www.consorziobalsamico.it/</t>
        </is>
      </c>
      <c r="R510" t="inlineStr">
        <is>
          <t>sonda HTTP read-only (GET limitado, payload nao preservado) + declaracao do perfil no site oficial do dono (rota publica, secao 10)</t>
        </is>
      </c>
      <c r="S510" t="inlineStr">
        <is>
          <t>2026-09-14T11:25:44Z</t>
        </is>
      </c>
      <c r="T510" t="inlineStr">
        <is>
          <t>NAO_SELECIONADA</t>
        </is>
      </c>
      <c r="U510" t="inlineStr">
        <is>
          <t>validada, mas fora do teto de 20 para FACEBOOK (secao 20): a plataforma nao permite prova direta de identidade a partir do datacenter</t>
        </is>
      </c>
      <c r="V510" t="inlineStr">
        <is>
          <t>T10</t>
        </is>
      </c>
      <c r="W510" t="inlineStr">
        <is>
          <t>EMILIA-ROMAGNA</t>
        </is>
      </c>
      <c r="X510" t="inlineStr"/>
      <c r="Y510" t="inlineStr">
        <is>
          <t>IGP;trasformazione</t>
        </is>
      </c>
      <c r="Z510" t="inlineStr">
        <is>
          <t>titulo da pagina: Facebook</t>
        </is>
      </c>
      <c r="AA510" t="inlineStr">
        <is>
          <t>site oficial do dono: https://www.consorziobalsamico.it/</t>
        </is>
      </c>
      <c r="AB510" t="inlineStr">
        <is>
          <t>nao sorteada</t>
        </is>
      </c>
      <c r="AC510" t="inlineStr">
        <is>
          <t>nao sorteada</t>
        </is>
      </c>
      <c r="AE510" t="inlineStr">
        <is>
          <t>PLATFORM_GENERIC_TITLE</t>
        </is>
      </c>
      <c r="AF510" t="inlineStr"/>
    </row>
    <row r="511">
      <c r="A511" t="inlineStr">
        <is>
          <t>IT-DISC-2026-09-14-0510</t>
        </is>
      </c>
      <c r="B511" t="inlineStr">
        <is>
          <t>Consorzio di Tutela Arancia Rossa di Sicilia IGP — Facebook ufficiale</t>
        </is>
      </c>
      <c r="C511" t="inlineStr">
        <is>
          <t>FACEBOOK</t>
        </is>
      </c>
      <c r="D511" t="inlineStr">
        <is>
          <t>ORG</t>
        </is>
      </c>
      <c r="E511" t="inlineStr">
        <is>
          <t>Consorzio Arancia Rossa di Sicilia</t>
        </is>
      </c>
      <c r="F511" t="inlineStr">
        <is>
          <t>https://www.facebook.com/aranciarossadisiciliaigp</t>
        </is>
      </c>
      <c r="G511" t="inlineStr">
        <is>
          <t>https://www.facebook.com/aranciarossadisiciliaigp</t>
        </is>
      </c>
      <c r="H511" t="inlineStr">
        <is>
          <t>https://www.facebook.com/login/?next=https%3A%2F%2Fwww.facebook.com%2Faranciarossadisiciliaigp</t>
        </is>
      </c>
      <c r="I511" t="n">
        <v>200</v>
      </c>
      <c r="J511" t="inlineStr">
        <is>
          <t>text/html</t>
        </is>
      </c>
      <c r="K511" t="n">
        <v>1</v>
      </c>
      <c r="L511" t="b">
        <v>1</v>
      </c>
      <c r="M511" t="b">
        <v>1</v>
      </c>
      <c r="N511" t="inlineStr">
        <is>
          <t>PROVED_BY_OWNER_SITE</t>
        </is>
      </c>
      <c r="O511" t="inlineStr">
        <is>
          <t>SIM</t>
        </is>
      </c>
      <c r="P511" t="inlineStr">
        <is>
          <t>SIM — declarado por dono italiano no proprio site</t>
        </is>
      </c>
      <c r="Q511" t="inlineStr">
        <is>
          <t>https://www.tutelaaranciarossa.it/</t>
        </is>
      </c>
      <c r="R511" t="inlineStr">
        <is>
          <t>sonda HTTP read-only (GET limitado, payload nao preservado) + declaracao do perfil no site oficial do dono (rota publica, secao 10)</t>
        </is>
      </c>
      <c r="S511" t="inlineStr">
        <is>
          <t>2026-09-14T11:25:44Z</t>
        </is>
      </c>
      <c r="T511" t="inlineStr">
        <is>
          <t>NAO_SELECIONADA</t>
        </is>
      </c>
      <c r="U511" t="inlineStr">
        <is>
          <t>validada, mas fora do teto de 20 para FACEBOOK (secao 20): a plataforma nao permite prova direta de identidade a partir do datacenter</t>
        </is>
      </c>
      <c r="V511" t="inlineStr">
        <is>
          <t>T10;T1</t>
        </is>
      </c>
      <c r="W511" t="inlineStr">
        <is>
          <t>SICILIA</t>
        </is>
      </c>
      <c r="X511" t="inlineStr">
        <is>
          <t>agrumi</t>
        </is>
      </c>
      <c r="Y511" t="inlineStr">
        <is>
          <t>agrumi;IGP</t>
        </is>
      </c>
      <c r="Z511" t="inlineStr">
        <is>
          <t>titulo da pagina: Facebook</t>
        </is>
      </c>
      <c r="AA511" t="inlineStr">
        <is>
          <t>site oficial do dono: https://www.tutelaaranciarossa.it/</t>
        </is>
      </c>
      <c r="AB511" t="inlineStr">
        <is>
          <t>nao sorteada</t>
        </is>
      </c>
      <c r="AC511" t="inlineStr">
        <is>
          <t>nao sorteada</t>
        </is>
      </c>
      <c r="AE511" t="inlineStr">
        <is>
          <t>PLATFORM_GENERIC_TITLE</t>
        </is>
      </c>
      <c r="AF511" t="inlineStr"/>
    </row>
    <row r="512">
      <c r="A512" t="inlineStr">
        <is>
          <t>IT-DISC-2026-09-14-0511</t>
        </is>
      </c>
      <c r="B512" t="inlineStr">
        <is>
          <t>Granarolo — Instagram ufficiale</t>
        </is>
      </c>
      <c r="C512" t="inlineStr">
        <is>
          <t>INSTAGRAM</t>
        </is>
      </c>
      <c r="D512" t="inlineStr">
        <is>
          <t>ORG</t>
        </is>
      </c>
      <c r="E512" t="inlineStr">
        <is>
          <t>Granarolo</t>
        </is>
      </c>
      <c r="F512" t="inlineStr">
        <is>
          <t>https://www.instagram.com/granarolo</t>
        </is>
      </c>
      <c r="G512" t="inlineStr">
        <is>
          <t>https://www.instagram.com/granarolo</t>
        </is>
      </c>
      <c r="H512" t="inlineStr">
        <is>
          <t>https://www.instagram.com/accounts/login/?next=https%3A%2F%2Fwww.instagram.com%2Fgranarolo&amp;is_from_rle</t>
        </is>
      </c>
      <c r="I512" t="n">
        <v>429</v>
      </c>
      <c r="J512" t="inlineStr">
        <is>
          <t>text/html</t>
        </is>
      </c>
      <c r="K512" t="n">
        <v>1</v>
      </c>
      <c r="L512" t="b">
        <v>1</v>
      </c>
      <c r="M512" t="b">
        <v>1</v>
      </c>
      <c r="N512" t="inlineStr">
        <is>
          <t>PROVED_BY_OWNER_SITE</t>
        </is>
      </c>
      <c r="O512" t="inlineStr">
        <is>
          <t>SIM</t>
        </is>
      </c>
      <c r="P512" t="inlineStr">
        <is>
          <t>SIM — declarado por dono italiano no proprio site</t>
        </is>
      </c>
      <c r="Q512" t="inlineStr">
        <is>
          <t>https://www.granarolo.it/</t>
        </is>
      </c>
      <c r="R512" t="inlineStr">
        <is>
          <t>sonda HTTP read-only (GET limitado, payload nao preservado) + declaracao do perfil no site oficial do dono (rota publica, secao 10)</t>
        </is>
      </c>
      <c r="S512" t="inlineStr">
        <is>
          <t>2026-09-14T11:25:44Z</t>
        </is>
      </c>
      <c r="T512" t="inlineStr">
        <is>
          <t>NAO_SELECIONADA</t>
        </is>
      </c>
      <c r="U512" t="inlineStr">
        <is>
          <t>validada, mas fora do teto de 25 para INSTAGRAM (secao 20): a plataforma nao permite prova direta de identidade a partir do datacenter</t>
        </is>
      </c>
      <c r="V512" t="inlineStr">
        <is>
          <t>T10</t>
        </is>
      </c>
      <c r="W512" t="inlineStr">
        <is>
          <t>EMILIA-ROMAGNA</t>
        </is>
      </c>
      <c r="X512" t="inlineStr">
        <is>
          <t>latte</t>
        </is>
      </c>
      <c r="Y512" t="inlineStr">
        <is>
          <t>latte;filiera</t>
        </is>
      </c>
      <c r="Z512" t="inlineStr">
        <is>
          <t xml:space="preserve">titulo da pagina: </t>
        </is>
      </c>
      <c r="AA512" t="inlineStr">
        <is>
          <t>site oficial do dono: https://www.granarolo.it/</t>
        </is>
      </c>
      <c r="AB512" t="inlineStr">
        <is>
          <t>nao sorteada</t>
        </is>
      </c>
      <c r="AC512" t="inlineStr">
        <is>
          <t>nao sorteada</t>
        </is>
      </c>
      <c r="AE512" t="inlineStr">
        <is>
          <t>HTTP_429,THIN_BODY</t>
        </is>
      </c>
      <c r="AF512" t="inlineStr"/>
    </row>
    <row r="513">
      <c r="A513" t="inlineStr">
        <is>
          <t>IT-DISC-2026-09-14-0512</t>
        </is>
      </c>
      <c r="B513" t="inlineStr">
        <is>
          <t>Consorzi Agrari d'Italia — CAI — Facebook ufficiale</t>
        </is>
      </c>
      <c r="C513" t="inlineStr">
        <is>
          <t>FACEBOOK</t>
        </is>
      </c>
      <c r="D513" t="inlineStr">
        <is>
          <t>ORG</t>
        </is>
      </c>
      <c r="E513" t="inlineStr">
        <is>
          <t>Consorzi Agrari d'Italia</t>
        </is>
      </c>
      <c r="F513" t="inlineStr">
        <is>
          <t>https://www.facebook.com/Consorziagrariditalia</t>
        </is>
      </c>
      <c r="G513" t="inlineStr">
        <is>
          <t>https://www.facebook.com/Consorziagrariditalia</t>
        </is>
      </c>
      <c r="H513" t="inlineStr">
        <is>
          <t>https://www.facebook.com/login/?next=https%3A%2F%2Fwww.facebook.com%2FConsorziagrariditalia</t>
        </is>
      </c>
      <c r="I513" t="n">
        <v>200</v>
      </c>
      <c r="J513" t="inlineStr">
        <is>
          <t>text/html</t>
        </is>
      </c>
      <c r="K513" t="n">
        <v>1</v>
      </c>
      <c r="L513" t="b">
        <v>1</v>
      </c>
      <c r="M513" t="b">
        <v>1</v>
      </c>
      <c r="N513" t="inlineStr">
        <is>
          <t>PROVED_BY_OWNER_SITE</t>
        </is>
      </c>
      <c r="O513" t="inlineStr">
        <is>
          <t>SIM</t>
        </is>
      </c>
      <c r="P513" t="inlineStr">
        <is>
          <t>SIM — declarado por dono italiano no proprio site</t>
        </is>
      </c>
      <c r="Q513" t="inlineStr">
        <is>
          <t>https://www.consorziagrariditalia.it/chi-siamo/</t>
        </is>
      </c>
      <c r="R513" t="inlineStr">
        <is>
          <t>sonda HTTP read-only (GET limitado, payload nao preservado) + declaracao do perfil no site oficial do dono (rota publica, secao 10)</t>
        </is>
      </c>
      <c r="S513" t="inlineStr">
        <is>
          <t>2026-09-14T11:25:44Z</t>
        </is>
      </c>
      <c r="T513" t="inlineStr">
        <is>
          <t>NAO_SELECIONADA</t>
        </is>
      </c>
      <c r="U513" t="inlineStr">
        <is>
          <t>validada, mas fora do teto de 20 para FACEBOOK (secao 20): a plataforma nao permite prova direta de identidade a partir do datacenter</t>
        </is>
      </c>
      <c r="V513" t="inlineStr">
        <is>
          <t>T7;T10</t>
        </is>
      </c>
      <c r="W513" t="inlineStr">
        <is>
          <t>NAZIONALE</t>
        </is>
      </c>
      <c r="X513" t="inlineStr"/>
      <c r="Y513" t="inlineStr">
        <is>
          <t>consorzio agrario;distribuzione</t>
        </is>
      </c>
      <c r="Z513" t="inlineStr">
        <is>
          <t>titulo da pagina: Facebook</t>
        </is>
      </c>
      <c r="AA513" t="inlineStr">
        <is>
          <t>site oficial do dono: https://www.consorziagrariditalia.it/chi-siamo/</t>
        </is>
      </c>
      <c r="AB513" t="inlineStr">
        <is>
          <t>nao sorteada</t>
        </is>
      </c>
      <c r="AC513" t="inlineStr">
        <is>
          <t>nao sorteada</t>
        </is>
      </c>
      <c r="AE513" t="inlineStr">
        <is>
          <t>PLATFORM_GENERIC_TITLE</t>
        </is>
      </c>
      <c r="AF513" t="inlineStr"/>
    </row>
    <row r="514">
      <c r="A514" t="inlineStr">
        <is>
          <t>IT-DISC-2026-09-14-0513</t>
        </is>
      </c>
      <c r="B514" t="inlineStr">
        <is>
          <t>Consorzi Agrari d'Italia — CAI — Instagram ufficiale</t>
        </is>
      </c>
      <c r="C514" t="inlineStr">
        <is>
          <t>INSTAGRAM</t>
        </is>
      </c>
      <c r="D514" t="inlineStr">
        <is>
          <t>ORG</t>
        </is>
      </c>
      <c r="E514" t="inlineStr">
        <is>
          <t>Consorzi Agrari d'Italia</t>
        </is>
      </c>
      <c r="F514" t="inlineStr">
        <is>
          <t>https://www.instagram.com/cai_consorziagrariditalia</t>
        </is>
      </c>
      <c r="G514" t="inlineStr">
        <is>
          <t>https://www.instagram.com/cai_consorziagrariditalia</t>
        </is>
      </c>
      <c r="H514" t="inlineStr">
        <is>
          <t>https://www.instagram.com/accounts/login/?next=https%3A%2F%2Fwww.instagram.com%2Fcai_consorziagrariditalia&amp;is_from_rle</t>
        </is>
      </c>
      <c r="I514" t="n">
        <v>429</v>
      </c>
      <c r="J514" t="inlineStr">
        <is>
          <t>text/html</t>
        </is>
      </c>
      <c r="K514" t="n">
        <v>1</v>
      </c>
      <c r="L514" t="b">
        <v>1</v>
      </c>
      <c r="M514" t="b">
        <v>1</v>
      </c>
      <c r="N514" t="inlineStr">
        <is>
          <t>PROVED_BY_OWNER_SITE</t>
        </is>
      </c>
      <c r="O514" t="inlineStr">
        <is>
          <t>SIM</t>
        </is>
      </c>
      <c r="P514" t="inlineStr">
        <is>
          <t>SIM — declarado por dono italiano no proprio site</t>
        </is>
      </c>
      <c r="Q514" t="inlineStr">
        <is>
          <t>https://www.consorziagrariditalia.it/chi-siamo/</t>
        </is>
      </c>
      <c r="R514" t="inlineStr">
        <is>
          <t>sonda HTTP read-only (GET limitado, payload nao preservado) + declaracao do perfil no site oficial do dono (rota publica, secao 10)</t>
        </is>
      </c>
      <c r="S514" t="inlineStr">
        <is>
          <t>2026-09-14T11:25:44Z</t>
        </is>
      </c>
      <c r="T514" t="inlineStr">
        <is>
          <t>NAO_SELECIONADA</t>
        </is>
      </c>
      <c r="U514" t="inlineStr">
        <is>
          <t>validada, mas fora do teto de 25 para INSTAGRAM (secao 20): a plataforma nao permite prova direta de identidade a partir do datacenter</t>
        </is>
      </c>
      <c r="V514" t="inlineStr">
        <is>
          <t>T7;T10</t>
        </is>
      </c>
      <c r="W514" t="inlineStr">
        <is>
          <t>NAZIONALE</t>
        </is>
      </c>
      <c r="X514" t="inlineStr"/>
      <c r="Y514" t="inlineStr">
        <is>
          <t>consorzio agrario;distribuzione</t>
        </is>
      </c>
      <c r="Z514" t="inlineStr">
        <is>
          <t xml:space="preserve">titulo da pagina: </t>
        </is>
      </c>
      <c r="AA514" t="inlineStr">
        <is>
          <t>site oficial do dono: https://www.consorziagrariditalia.it/chi-siamo/</t>
        </is>
      </c>
      <c r="AB514" t="inlineStr">
        <is>
          <t>nao sorteada</t>
        </is>
      </c>
      <c r="AC514" t="inlineStr">
        <is>
          <t>nao sorteada</t>
        </is>
      </c>
      <c r="AE514" t="inlineStr">
        <is>
          <t>HTTP_429,THIN_BODY</t>
        </is>
      </c>
      <c r="AF514" t="inlineStr"/>
    </row>
    <row r="515">
      <c r="A515" t="inlineStr">
        <is>
          <t>IT-DISC-2026-09-14-0514</t>
        </is>
      </c>
      <c r="B515" t="inlineStr">
        <is>
          <t>Consorzio di Bonifica Piave — Facebook ufficiale</t>
        </is>
      </c>
      <c r="C515" t="inlineStr">
        <is>
          <t>FACEBOOK</t>
        </is>
      </c>
      <c r="D515" t="inlineStr">
        <is>
          <t>ORG</t>
        </is>
      </c>
      <c r="E515" t="inlineStr">
        <is>
          <t>Consorzio di Bonifica Piave</t>
        </is>
      </c>
      <c r="F515" t="inlineStr">
        <is>
          <t>https://www.facebook.com/consorzioPiave</t>
        </is>
      </c>
      <c r="G515" t="inlineStr">
        <is>
          <t>https://www.facebook.com/consorzioPiave</t>
        </is>
      </c>
      <c r="H515" t="inlineStr">
        <is>
          <t>https://www.facebook.com/login/?next=https%3A%2F%2Fwww.facebook.com%2FconsorzioPiave</t>
        </is>
      </c>
      <c r="I515" t="n">
        <v>200</v>
      </c>
      <c r="J515" t="inlineStr">
        <is>
          <t>text/html</t>
        </is>
      </c>
      <c r="K515" t="n">
        <v>1</v>
      </c>
      <c r="L515" t="b">
        <v>1</v>
      </c>
      <c r="M515" t="b">
        <v>1</v>
      </c>
      <c r="N515" t="inlineStr">
        <is>
          <t>PROVED_BY_OWNER_SITE</t>
        </is>
      </c>
      <c r="O515" t="inlineStr">
        <is>
          <t>SIM</t>
        </is>
      </c>
      <c r="P515" t="inlineStr">
        <is>
          <t>SIM — declarado por dono italiano no proprio site</t>
        </is>
      </c>
      <c r="Q515" t="inlineStr">
        <is>
          <t>https://www.consorziopiave.it/</t>
        </is>
      </c>
      <c r="R515" t="inlineStr">
        <is>
          <t>sonda HTTP read-only (GET limitado, payload nao preservado) + declaracao do perfil no site oficial do dono (rota publica, secao 10)</t>
        </is>
      </c>
      <c r="S515" t="inlineStr">
        <is>
          <t>2026-09-14T11:25:45Z</t>
        </is>
      </c>
      <c r="T515" t="inlineStr">
        <is>
          <t>NAO_SELECIONADA</t>
        </is>
      </c>
      <c r="U515" t="inlineStr">
        <is>
          <t>validada, mas fora do teto de 20 para FACEBOOK (secao 20): a plataforma nao permite prova direta de identidade a partir do datacenter</t>
        </is>
      </c>
      <c r="V515" t="inlineStr">
        <is>
          <t>T2;T1</t>
        </is>
      </c>
      <c r="W515" t="inlineStr">
        <is>
          <t>VENETO</t>
        </is>
      </c>
      <c r="X515" t="inlineStr"/>
      <c r="Y515" t="inlineStr">
        <is>
          <t>irrigazione;acqua</t>
        </is>
      </c>
      <c r="Z515" t="inlineStr">
        <is>
          <t>titulo da pagina: Facebook</t>
        </is>
      </c>
      <c r="AA515" t="inlineStr">
        <is>
          <t>site oficial do dono: https://www.consorziopiave.it/</t>
        </is>
      </c>
      <c r="AB515" t="inlineStr">
        <is>
          <t>nao sorteada</t>
        </is>
      </c>
      <c r="AC515" t="inlineStr">
        <is>
          <t>nao sorteada</t>
        </is>
      </c>
      <c r="AE515" t="inlineStr">
        <is>
          <t>PLATFORM_GENERIC_TITLE</t>
        </is>
      </c>
      <c r="AF515" t="inlineStr"/>
    </row>
    <row r="516">
      <c r="A516" t="inlineStr">
        <is>
          <t>IT-DISC-2026-09-14-0515</t>
        </is>
      </c>
      <c r="B516" t="inlineStr">
        <is>
          <t>Consorzio di Bonifica Est Ticino Villoresi — Linkedin ufficiale</t>
        </is>
      </c>
      <c r="C516" t="inlineStr">
        <is>
          <t>LINKEDIN</t>
        </is>
      </c>
      <c r="D516" t="inlineStr">
        <is>
          <t>ORG</t>
        </is>
      </c>
      <c r="E516" t="inlineStr">
        <is>
          <t>Consorzio Est Ticino Villoresi</t>
        </is>
      </c>
      <c r="F516" t="inlineStr">
        <is>
          <t>https://www.linkedin.com/company/est-ticino-villoresi</t>
        </is>
      </c>
      <c r="G516" t="inlineStr">
        <is>
          <t>https://www.linkedin.com/company/est-ticino-villoresi</t>
        </is>
      </c>
      <c r="H516" t="inlineStr">
        <is>
          <t>https://www.linkedin.com/company/est-ticino-villoresi</t>
        </is>
      </c>
      <c r="I516" t="n">
        <v>404</v>
      </c>
      <c r="J516" t="inlineStr">
        <is>
          <t>text/html</t>
        </is>
      </c>
      <c r="K516" t="n">
        <v>0</v>
      </c>
      <c r="L516" t="b">
        <v>1</v>
      </c>
      <c r="M516" t="b">
        <v>1</v>
      </c>
      <c r="N516" t="inlineStr">
        <is>
          <t>PROVED_BY_OWNER_SITE</t>
        </is>
      </c>
      <c r="O516" t="inlineStr">
        <is>
          <t>SIM</t>
        </is>
      </c>
      <c r="P516" t="inlineStr">
        <is>
          <t>SIM — declarado por dono italiano no proprio site</t>
        </is>
      </c>
      <c r="Q516" t="inlineStr">
        <is>
          <t>https://www.etvilloresi.it/</t>
        </is>
      </c>
      <c r="R516" t="inlineStr">
        <is>
          <t>sonda HTTP read-only (GET limitado, payload nao preservado) + declaracao do perfil no site oficial do dono (rota publica, secao 10)</t>
        </is>
      </c>
      <c r="S516" t="inlineStr">
        <is>
          <t>2026-09-14T11:25:45Z</t>
        </is>
      </c>
      <c r="T516" t="inlineStr">
        <is>
          <t>REJECT</t>
        </is>
      </c>
      <c r="U516" t="inlineStr">
        <is>
          <t>HTTP 404</t>
        </is>
      </c>
      <c r="V516" t="inlineStr">
        <is>
          <t>T2;T1</t>
        </is>
      </c>
      <c r="W516" t="inlineStr">
        <is>
          <t>LOMBARDIA</t>
        </is>
      </c>
      <c r="X516" t="inlineStr"/>
      <c r="Y516" t="inlineStr">
        <is>
          <t>irrigazione;risaia;acqua</t>
        </is>
      </c>
      <c r="Z516" t="inlineStr">
        <is>
          <t>titulo da pagina: LinkedIn</t>
        </is>
      </c>
      <c r="AA516" t="inlineStr">
        <is>
          <t>site oficial do dono: https://www.etvilloresi.it/</t>
        </is>
      </c>
      <c r="AB516" t="inlineStr">
        <is>
          <t>nao sorteada</t>
        </is>
      </c>
      <c r="AC516" t="inlineStr">
        <is>
          <t>nao sorteada</t>
        </is>
      </c>
      <c r="AE516" t="inlineStr">
        <is>
          <t>HTTP_404,PLATFORM_GENERIC_TITLE</t>
        </is>
      </c>
      <c r="AF516" t="inlineStr"/>
    </row>
    <row r="517">
      <c r="A517" t="inlineStr">
        <is>
          <t>IT-DISC-2026-09-14-0516</t>
        </is>
      </c>
      <c r="B517" t="inlineStr">
        <is>
          <t>FederBio — Facebook ufficiale</t>
        </is>
      </c>
      <c r="C517" t="inlineStr">
        <is>
          <t>FACEBOOK</t>
        </is>
      </c>
      <c r="D517" t="inlineStr">
        <is>
          <t>ORG</t>
        </is>
      </c>
      <c r="E517" t="inlineStr">
        <is>
          <t>FederBio</t>
        </is>
      </c>
      <c r="F517" t="inlineStr">
        <is>
          <t>https://www.facebook.com/FederBio-212088832159395</t>
        </is>
      </c>
      <c r="G517" t="inlineStr">
        <is>
          <t>https://www.facebook.com/FederBio-212088832159395</t>
        </is>
      </c>
      <c r="H517" t="inlineStr">
        <is>
          <t>https://www.facebook.com/login/?next=https%3A%2F%2Fwww.facebook.com%2FFederBio-212088832159395</t>
        </is>
      </c>
      <c r="I517" t="n">
        <v>200</v>
      </c>
      <c r="J517" t="inlineStr">
        <is>
          <t>text/html</t>
        </is>
      </c>
      <c r="K517" t="n">
        <v>1</v>
      </c>
      <c r="L517" t="b">
        <v>1</v>
      </c>
      <c r="M517" t="b">
        <v>1</v>
      </c>
      <c r="N517" t="inlineStr">
        <is>
          <t>PROVED_BY_OWNER_SITE</t>
        </is>
      </c>
      <c r="O517" t="inlineStr">
        <is>
          <t>SIM</t>
        </is>
      </c>
      <c r="P517" t="inlineStr">
        <is>
          <t>SIM — declarado por dono italiano no proprio site</t>
        </is>
      </c>
      <c r="Q517" t="inlineStr">
        <is>
          <t>https://feder.bio/</t>
        </is>
      </c>
      <c r="R517" t="inlineStr">
        <is>
          <t>sonda HTTP read-only (GET limitado, payload nao preservado) + declaracao do perfil no site oficial do dono (rota publica, secao 10)</t>
        </is>
      </c>
      <c r="S517" t="inlineStr">
        <is>
          <t>2026-09-14T11:25:46Z</t>
        </is>
      </c>
      <c r="T517" t="inlineStr">
        <is>
          <t>NAO_SELECIONADA</t>
        </is>
      </c>
      <c r="U517" t="inlineStr">
        <is>
          <t>validada, mas fora do teto de 20 para FACEBOOK (secao 20): a plataforma nao permite prova direta de identidade a partir do datacenter</t>
        </is>
      </c>
      <c r="V517" t="inlineStr">
        <is>
          <t>T12;T1</t>
        </is>
      </c>
      <c r="W517" t="inlineStr">
        <is>
          <t>NAZIONALE</t>
        </is>
      </c>
      <c r="X517" t="inlineStr"/>
      <c r="Y517" t="inlineStr">
        <is>
          <t>agricoltura biologica;certificazione</t>
        </is>
      </c>
      <c r="Z517" t="inlineStr">
        <is>
          <t>titulo da pagina: Facebook</t>
        </is>
      </c>
      <c r="AA517" t="inlineStr">
        <is>
          <t>site oficial do dono: https://feder.bio/</t>
        </is>
      </c>
      <c r="AB517" t="inlineStr">
        <is>
          <t>nao sorteada</t>
        </is>
      </c>
      <c r="AC517" t="inlineStr">
        <is>
          <t>nao sorteada</t>
        </is>
      </c>
      <c r="AE517" t="inlineStr">
        <is>
          <t>PLATFORM_GENERIC_TITLE</t>
        </is>
      </c>
      <c r="AF517" t="inlineStr"/>
    </row>
    <row r="518">
      <c r="A518" t="inlineStr">
        <is>
          <t>IT-DISC-2026-09-14-0517</t>
        </is>
      </c>
      <c r="B518" t="inlineStr">
        <is>
          <t>FederBio — Instagram ufficiale</t>
        </is>
      </c>
      <c r="C518" t="inlineStr">
        <is>
          <t>INSTAGRAM</t>
        </is>
      </c>
      <c r="D518" t="inlineStr">
        <is>
          <t>ORG</t>
        </is>
      </c>
      <c r="E518" t="inlineStr">
        <is>
          <t>FederBio</t>
        </is>
      </c>
      <c r="F518" t="inlineStr">
        <is>
          <t>https://www.instagram.com/federbioitalia</t>
        </is>
      </c>
      <c r="G518" t="inlineStr">
        <is>
          <t>https://www.instagram.com/federbioitalia</t>
        </is>
      </c>
      <c r="H518" t="inlineStr">
        <is>
          <t>https://www.instagram.com/accounts/login/?next=https%3A%2F%2Fwww.instagram.com%2Ffederbioitalia&amp;is_from_rle</t>
        </is>
      </c>
      <c r="I518" t="n">
        <v>429</v>
      </c>
      <c r="J518" t="inlineStr">
        <is>
          <t>text/html</t>
        </is>
      </c>
      <c r="K518" t="n">
        <v>1</v>
      </c>
      <c r="L518" t="b">
        <v>1</v>
      </c>
      <c r="M518" t="b">
        <v>1</v>
      </c>
      <c r="N518" t="inlineStr">
        <is>
          <t>PROVED_BY_OWNER_SITE</t>
        </is>
      </c>
      <c r="O518" t="inlineStr">
        <is>
          <t>SIM</t>
        </is>
      </c>
      <c r="P518" t="inlineStr">
        <is>
          <t>SIM — declarado por dono italiano no proprio site</t>
        </is>
      </c>
      <c r="Q518" t="inlineStr">
        <is>
          <t>https://feder.bio/</t>
        </is>
      </c>
      <c r="R518" t="inlineStr">
        <is>
          <t>sonda HTTP read-only (GET limitado, payload nao preservado) + declaracao do perfil no site oficial do dono (rota publica, secao 10)</t>
        </is>
      </c>
      <c r="S518" t="inlineStr">
        <is>
          <t>2026-09-14T11:25:46Z</t>
        </is>
      </c>
      <c r="T518" t="inlineStr">
        <is>
          <t>NAO_SELECIONADA</t>
        </is>
      </c>
      <c r="U518" t="inlineStr">
        <is>
          <t>validada, mas fora do teto de 25 para INSTAGRAM (secao 20): a plataforma nao permite prova direta de identidade a partir do datacenter</t>
        </is>
      </c>
      <c r="V518" t="inlineStr">
        <is>
          <t>T12;T1</t>
        </is>
      </c>
      <c r="W518" t="inlineStr">
        <is>
          <t>NAZIONALE</t>
        </is>
      </c>
      <c r="X518" t="inlineStr"/>
      <c r="Y518" t="inlineStr">
        <is>
          <t>agricoltura biologica;certificazione</t>
        </is>
      </c>
      <c r="Z518" t="inlineStr">
        <is>
          <t xml:space="preserve">titulo da pagina: </t>
        </is>
      </c>
      <c r="AA518" t="inlineStr">
        <is>
          <t>site oficial do dono: https://feder.bio/</t>
        </is>
      </c>
      <c r="AB518" t="inlineStr">
        <is>
          <t>nao sorteada</t>
        </is>
      </c>
      <c r="AC518" t="inlineStr">
        <is>
          <t>nao sorteada</t>
        </is>
      </c>
      <c r="AE518" t="inlineStr">
        <is>
          <t>HTTP_429,THIN_BODY</t>
        </is>
      </c>
      <c r="AF518" t="inlineStr"/>
    </row>
    <row r="519">
      <c r="A519" t="inlineStr">
        <is>
          <t>IT-DISC-2026-09-14-0518</t>
        </is>
      </c>
      <c r="B519" t="inlineStr">
        <is>
          <t>AIAB — Associazione Italiana Agricoltura Biologica — Facebook ufficiale</t>
        </is>
      </c>
      <c r="C519" t="inlineStr">
        <is>
          <t>FACEBOOK</t>
        </is>
      </c>
      <c r="D519" t="inlineStr">
        <is>
          <t>ORG</t>
        </is>
      </c>
      <c r="E519" t="inlineStr">
        <is>
          <t>AIAB</t>
        </is>
      </c>
      <c r="F519" t="inlineStr">
        <is>
          <t>https://www.facebook.com/AIABFederale</t>
        </is>
      </c>
      <c r="G519" t="inlineStr">
        <is>
          <t>https://www.facebook.com/AIABFederale</t>
        </is>
      </c>
      <c r="H519" t="inlineStr">
        <is>
          <t>https://www.facebook.com/login/?next=https%3A%2F%2Fwww.facebook.com%2FAIABFederale</t>
        </is>
      </c>
      <c r="I519" t="n">
        <v>200</v>
      </c>
      <c r="J519" t="inlineStr">
        <is>
          <t>text/html</t>
        </is>
      </c>
      <c r="K519" t="n">
        <v>1</v>
      </c>
      <c r="L519" t="b">
        <v>1</v>
      </c>
      <c r="M519" t="b">
        <v>1</v>
      </c>
      <c r="N519" t="inlineStr">
        <is>
          <t>PROVED_BY_OWNER_SITE</t>
        </is>
      </c>
      <c r="O519" t="inlineStr">
        <is>
          <t>SIM</t>
        </is>
      </c>
      <c r="P519" t="inlineStr">
        <is>
          <t>SIM — declarado por dono italiano no proprio site</t>
        </is>
      </c>
      <c r="Q519" t="inlineStr">
        <is>
          <t>https://aiab.it/</t>
        </is>
      </c>
      <c r="R519" t="inlineStr">
        <is>
          <t>sonda HTTP read-only (GET limitado, payload nao preservado) + declaracao do perfil no site oficial do dono (rota publica, secao 10)</t>
        </is>
      </c>
      <c r="S519" t="inlineStr">
        <is>
          <t>2026-09-14T11:25:46Z</t>
        </is>
      </c>
      <c r="T519" t="inlineStr">
        <is>
          <t>NAO_SELECIONADA</t>
        </is>
      </c>
      <c r="U519" t="inlineStr">
        <is>
          <t>validada, mas fora do teto de 20 para FACEBOOK (secao 20): a plataforma nao permite prova direta de identidade a partir do datacenter</t>
        </is>
      </c>
      <c r="V519" t="inlineStr">
        <is>
          <t>T12;T1</t>
        </is>
      </c>
      <c r="W519" t="inlineStr">
        <is>
          <t>NAZIONALE</t>
        </is>
      </c>
      <c r="X519" t="inlineStr"/>
      <c r="Y519" t="inlineStr">
        <is>
          <t>biologico;agroecologia</t>
        </is>
      </c>
      <c r="Z519" t="inlineStr">
        <is>
          <t>titulo da pagina: Facebook</t>
        </is>
      </c>
      <c r="AA519" t="inlineStr">
        <is>
          <t>site oficial do dono: https://aiab.it/</t>
        </is>
      </c>
      <c r="AB519" t="inlineStr">
        <is>
          <t>nao sorteada</t>
        </is>
      </c>
      <c r="AC519" t="inlineStr">
        <is>
          <t>nao sorteada</t>
        </is>
      </c>
      <c r="AE519" t="inlineStr">
        <is>
          <t>PLATFORM_GENERIC_TITLE</t>
        </is>
      </c>
      <c r="AF519" t="inlineStr"/>
    </row>
    <row r="520">
      <c r="A520" t="inlineStr">
        <is>
          <t>IT-DISC-2026-09-14-0519</t>
        </is>
      </c>
      <c r="B520" t="inlineStr">
        <is>
          <t>Unione Nazionale Associazioni Produttori Olivicoli — UNAPROL — Facebook ufficiale</t>
        </is>
      </c>
      <c r="C520" t="inlineStr">
        <is>
          <t>FACEBOOK</t>
        </is>
      </c>
      <c r="D520" t="inlineStr">
        <is>
          <t>ORG</t>
        </is>
      </c>
      <c r="E520" t="inlineStr">
        <is>
          <t>Unaprol</t>
        </is>
      </c>
      <c r="F520" t="inlineStr">
        <is>
          <t>https://www.facebook.com/unaprol.it</t>
        </is>
      </c>
      <c r="G520" t="inlineStr">
        <is>
          <t>https://www.facebook.com/unaprol.it</t>
        </is>
      </c>
      <c r="H520" t="inlineStr">
        <is>
          <t>https://www.facebook.com/login/?next=https%3A%2F%2Fwww.facebook.com%2Funaprol.it</t>
        </is>
      </c>
      <c r="I520" t="n">
        <v>200</v>
      </c>
      <c r="J520" t="inlineStr">
        <is>
          <t>text/html</t>
        </is>
      </c>
      <c r="K520" t="n">
        <v>1</v>
      </c>
      <c r="L520" t="b">
        <v>1</v>
      </c>
      <c r="M520" t="b">
        <v>1</v>
      </c>
      <c r="N520" t="inlineStr">
        <is>
          <t>PROVED_BY_OWNER_SITE</t>
        </is>
      </c>
      <c r="O520" t="inlineStr">
        <is>
          <t>SIM</t>
        </is>
      </c>
      <c r="P520" t="inlineStr">
        <is>
          <t>SIM — declarado por dono italiano no proprio site</t>
        </is>
      </c>
      <c r="Q520" t="inlineStr">
        <is>
          <t>https://www.unaprol.it/</t>
        </is>
      </c>
      <c r="R520" t="inlineStr">
        <is>
          <t>sonda HTTP read-only (GET limitado, payload nao preservado) + declaracao do perfil no site oficial do dono (rota publica, secao 10)</t>
        </is>
      </c>
      <c r="S520" t="inlineStr">
        <is>
          <t>2026-09-14T11:25:46Z</t>
        </is>
      </c>
      <c r="T520" t="inlineStr">
        <is>
          <t>NAO_SELECIONADA</t>
        </is>
      </c>
      <c r="U520" t="inlineStr">
        <is>
          <t>validada, mas fora do teto de 20 para FACEBOOK (secao 20): a plataforma nao permite prova direta de identidade a partir do datacenter</t>
        </is>
      </c>
      <c r="V520" t="inlineStr">
        <is>
          <t>T1;T10</t>
        </is>
      </c>
      <c r="W520" t="inlineStr">
        <is>
          <t>LAZIO</t>
        </is>
      </c>
      <c r="X520" t="inlineStr"/>
      <c r="Y520" t="inlineStr">
        <is>
          <t>olivicoltura;OP</t>
        </is>
      </c>
      <c r="Z520" t="inlineStr">
        <is>
          <t>titulo da pagina: Facebook</t>
        </is>
      </c>
      <c r="AA520" t="inlineStr">
        <is>
          <t>site oficial do dono: https://www.unaprol.it/</t>
        </is>
      </c>
      <c r="AB520" t="inlineStr">
        <is>
          <t>nao sorteada</t>
        </is>
      </c>
      <c r="AC520" t="inlineStr">
        <is>
          <t>nao sorteada</t>
        </is>
      </c>
      <c r="AE520" t="inlineStr">
        <is>
          <t>PLATFORM_GENERIC_TITLE</t>
        </is>
      </c>
      <c r="AF520" t="inlineStr"/>
    </row>
    <row r="521">
      <c r="A521" t="inlineStr">
        <is>
          <t>IT-DISC-2026-09-14-0520</t>
        </is>
      </c>
      <c r="B521" t="inlineStr">
        <is>
          <t>Unione Nazionale Associazioni Produttori Olivicoli — UNAPROL — Instagram ufficiale</t>
        </is>
      </c>
      <c r="C521" t="inlineStr">
        <is>
          <t>INSTAGRAM</t>
        </is>
      </c>
      <c r="D521" t="inlineStr">
        <is>
          <t>ORG</t>
        </is>
      </c>
      <c r="E521" t="inlineStr">
        <is>
          <t>Unaprol</t>
        </is>
      </c>
      <c r="F521" t="inlineStr">
        <is>
          <t>https://www.instagram.com/evooschool</t>
        </is>
      </c>
      <c r="G521" t="inlineStr">
        <is>
          <t>https://www.instagram.com/evooschool</t>
        </is>
      </c>
      <c r="H521" t="inlineStr">
        <is>
          <t>https://www.instagram.com/accounts/login/?next=https%3A%2F%2Fwww.instagram.com%2Fevooschool&amp;is_from_rle</t>
        </is>
      </c>
      <c r="I521" t="n">
        <v>429</v>
      </c>
      <c r="J521" t="inlineStr">
        <is>
          <t>text/html</t>
        </is>
      </c>
      <c r="K521" t="n">
        <v>1</v>
      </c>
      <c r="L521" t="b">
        <v>1</v>
      </c>
      <c r="M521" t="b">
        <v>1</v>
      </c>
      <c r="N521" t="inlineStr">
        <is>
          <t>PROVED_BY_OWNER_SITE</t>
        </is>
      </c>
      <c r="O521" t="inlineStr">
        <is>
          <t>SIM</t>
        </is>
      </c>
      <c r="P521" t="inlineStr">
        <is>
          <t>SIM — declarado por dono italiano no proprio site</t>
        </is>
      </c>
      <c r="Q521" t="inlineStr">
        <is>
          <t>https://www.unaprol.it/</t>
        </is>
      </c>
      <c r="R521" t="inlineStr">
        <is>
          <t>sonda HTTP read-only (GET limitado, payload nao preservado) + declaracao do perfil no site oficial do dono (rota publica, secao 10)</t>
        </is>
      </c>
      <c r="S521" t="inlineStr">
        <is>
          <t>2026-09-14T11:25:46Z</t>
        </is>
      </c>
      <c r="T521" t="inlineStr">
        <is>
          <t>NAO_SELECIONADA</t>
        </is>
      </c>
      <c r="U521" t="inlineStr">
        <is>
          <t>validada, mas fora do teto de 25 para INSTAGRAM (secao 20): a plataforma nao permite prova direta de identidade a partir do datacenter</t>
        </is>
      </c>
      <c r="V521" t="inlineStr">
        <is>
          <t>T1;T10</t>
        </is>
      </c>
      <c r="W521" t="inlineStr">
        <is>
          <t>LAZIO</t>
        </is>
      </c>
      <c r="X521" t="inlineStr"/>
      <c r="Y521" t="inlineStr">
        <is>
          <t>olivicoltura;OP</t>
        </is>
      </c>
      <c r="Z521" t="inlineStr">
        <is>
          <t xml:space="preserve">titulo da pagina: </t>
        </is>
      </c>
      <c r="AA521" t="inlineStr">
        <is>
          <t>site oficial do dono: https://www.unaprol.it/</t>
        </is>
      </c>
      <c r="AB521" t="inlineStr">
        <is>
          <t>nao sorteada</t>
        </is>
      </c>
      <c r="AC521" t="inlineStr">
        <is>
          <t>nao sorteada</t>
        </is>
      </c>
      <c r="AE521" t="inlineStr">
        <is>
          <t>HTTP_429,THIN_BODY</t>
        </is>
      </c>
      <c r="AF521" t="inlineStr"/>
    </row>
    <row r="522">
      <c r="A522" t="inlineStr">
        <is>
          <t>IT-DISC-2026-09-14-0521</t>
        </is>
      </c>
      <c r="B522" t="inlineStr">
        <is>
          <t>Italia Olivicola — Facebook ufficiale</t>
        </is>
      </c>
      <c r="C522" t="inlineStr">
        <is>
          <t>FACEBOOK</t>
        </is>
      </c>
      <c r="D522" t="inlineStr">
        <is>
          <t>ORG</t>
        </is>
      </c>
      <c r="E522" t="inlineStr">
        <is>
          <t>Italia Olivicola Consorzio Nazionale</t>
        </is>
      </c>
      <c r="F522" t="inlineStr">
        <is>
          <t>https://www.facebook.com/italiaolivicolacn</t>
        </is>
      </c>
      <c r="G522" t="inlineStr">
        <is>
          <t>https://www.facebook.com/italiaolivicolacn</t>
        </is>
      </c>
      <c r="H522" t="inlineStr">
        <is>
          <t>https://www.facebook.com/login/?next=https%3A%2F%2Fwww.facebook.com%2Fitaliaolivicolacn</t>
        </is>
      </c>
      <c r="I522" t="n">
        <v>200</v>
      </c>
      <c r="J522" t="inlineStr">
        <is>
          <t>text/html</t>
        </is>
      </c>
      <c r="K522" t="n">
        <v>1</v>
      </c>
      <c r="L522" t="b">
        <v>1</v>
      </c>
      <c r="M522" t="b">
        <v>1</v>
      </c>
      <c r="N522" t="inlineStr">
        <is>
          <t>PROVED_BY_OWNER_SITE</t>
        </is>
      </c>
      <c r="O522" t="inlineStr">
        <is>
          <t>SIM</t>
        </is>
      </c>
      <c r="P522" t="inlineStr">
        <is>
          <t>SIM — declarado por dono italiano no proprio site</t>
        </is>
      </c>
      <c r="Q522" t="inlineStr">
        <is>
          <t>https://www.italiaolivicola.it/</t>
        </is>
      </c>
      <c r="R522" t="inlineStr">
        <is>
          <t>sonda HTTP read-only (GET limitado, payload nao preservado) + declaracao do perfil no site oficial do dono (rota publica, secao 10)</t>
        </is>
      </c>
      <c r="S522" t="inlineStr">
        <is>
          <t>2026-09-14T11:25:46Z</t>
        </is>
      </c>
      <c r="T522" t="inlineStr">
        <is>
          <t>NAO_SELECIONADA</t>
        </is>
      </c>
      <c r="U522" t="inlineStr">
        <is>
          <t>validada, mas fora do teto de 20 para FACEBOOK (secao 20): a plataforma nao permite prova direta de identidade a partir do datacenter</t>
        </is>
      </c>
      <c r="V522" t="inlineStr">
        <is>
          <t>T1;T10</t>
        </is>
      </c>
      <c r="W522" t="inlineStr">
        <is>
          <t>NAZIONALE</t>
        </is>
      </c>
      <c r="X522" t="inlineStr"/>
      <c r="Y522" t="inlineStr">
        <is>
          <t>olivicoltura;OP</t>
        </is>
      </c>
      <c r="Z522" t="inlineStr">
        <is>
          <t>titulo da pagina: Facebook</t>
        </is>
      </c>
      <c r="AA522" t="inlineStr">
        <is>
          <t>site oficial do dono: https://www.italiaolivicola.it/</t>
        </is>
      </c>
      <c r="AB522" t="inlineStr">
        <is>
          <t>nao sorteada</t>
        </is>
      </c>
      <c r="AC522" t="inlineStr">
        <is>
          <t>nao sorteada</t>
        </is>
      </c>
      <c r="AE522" t="inlineStr">
        <is>
          <t>PLATFORM_GENERIC_TITLE</t>
        </is>
      </c>
      <c r="AF522" t="inlineStr"/>
    </row>
    <row r="523">
      <c r="A523" t="inlineStr">
        <is>
          <t>IT-DISC-2026-09-14-0522</t>
        </is>
      </c>
      <c r="B523" t="inlineStr">
        <is>
          <t>Aurora Maio — registo cientifico ORCID (University of Messina)</t>
        </is>
      </c>
      <c r="C523" t="inlineStr">
        <is>
          <t>CIENCIA</t>
        </is>
      </c>
      <c r="D523" t="inlineStr">
        <is>
          <t>PERSON</t>
        </is>
      </c>
      <c r="E523" t="inlineStr">
        <is>
          <t>Aurora Maio · University of Messina</t>
        </is>
      </c>
      <c r="F523" t="inlineStr">
        <is>
          <t>https://orcid.org/0009-0001-2458-1247</t>
        </is>
      </c>
      <c r="G523" t="inlineStr">
        <is>
          <t>https://orcid.org/0009-0001-2458-1247</t>
        </is>
      </c>
      <c r="H523" t="inlineStr">
        <is>
          <t>https://orcid.org/0009-0001-2458-1247</t>
        </is>
      </c>
      <c r="I523" t="n">
        <v>200</v>
      </c>
      <c r="J523" t="inlineStr">
        <is>
          <t>text/html</t>
        </is>
      </c>
      <c r="K523" t="n">
        <v>0</v>
      </c>
      <c r="L523" t="b">
        <v>1</v>
      </c>
      <c r="M523" t="b">
        <v>1</v>
      </c>
      <c r="N523" t="inlineStr">
        <is>
          <t>PROVED_BY_ORCID_EMPLOYMENT</t>
        </is>
      </c>
      <c r="O523" t="inlineStr">
        <is>
          <t>SIM</t>
        </is>
      </c>
      <c r="P523" t="inlineStr">
        <is>
          <t>SIM — ORCID declara afiliacao com country=IT e sem data de fim</t>
        </is>
      </c>
      <c r="Q523" t="inlineStr">
        <is>
          <t>ORCID employments: University of Messina</t>
        </is>
      </c>
      <c r="R523" t="inlineStr">
        <is>
          <t>sonda HTTP read-only (GET limitado, payload nao preservado) + ORCID public API /employments</t>
        </is>
      </c>
      <c r="S523" t="inlineStr">
        <is>
          <t>2026-09-14T11:25:48Z</t>
        </is>
      </c>
      <c r="T523" t="inlineStr">
        <is>
          <t>REJECT</t>
        </is>
      </c>
      <c r="U523" t="inlineStr">
        <is>
          <t>revisao manual (secao 32): departamento de ciencias veterinarias; a irrigacao de culturas nao e' o seu tema</t>
        </is>
      </c>
      <c r="V523" t="inlineStr">
        <is>
          <t>T6;T5</t>
        </is>
      </c>
      <c r="W523" t="inlineStr">
        <is>
          <t>NAZIONALE</t>
        </is>
      </c>
      <c r="X523" t="inlineStr"/>
      <c r="Y523" t="inlineStr">
        <is>
          <t>acqua;irrigazione</t>
        </is>
      </c>
      <c r="Z523" t="inlineStr">
        <is>
          <t>ORCID 0009-0001-2458-1247</t>
        </is>
      </c>
      <c r="AA523" t="inlineStr">
        <is>
          <t>afiliacao atual: University of Messina</t>
        </is>
      </c>
      <c r="AB523" t="inlineStr">
        <is>
          <t>nao sorteada</t>
        </is>
      </c>
      <c r="AC523" t="inlineStr">
        <is>
          <t>nao sorteada</t>
        </is>
      </c>
      <c r="AE523" t="inlineStr"/>
      <c r="AF523" t="inlineStr"/>
    </row>
    <row r="524">
      <c r="A524" t="inlineStr">
        <is>
          <t>IT-DISC-2026-09-14-0523</t>
        </is>
      </c>
      <c r="B524" t="inlineStr">
        <is>
          <t>Lucia Morbidelli — registo cientifico ORCID (University of Siena)</t>
        </is>
      </c>
      <c r="C524" t="inlineStr">
        <is>
          <t>CIENCIA</t>
        </is>
      </c>
      <c r="D524" t="inlineStr">
        <is>
          <t>PERSON</t>
        </is>
      </c>
      <c r="E524" t="inlineStr">
        <is>
          <t>Lucia Morbidelli · University of Siena</t>
        </is>
      </c>
      <c r="F524" t="inlineStr">
        <is>
          <t>https://orcid.org/0000-0001-8148-7049</t>
        </is>
      </c>
      <c r="G524" t="inlineStr">
        <is>
          <t>https://orcid.org/0000-0001-8148-7049</t>
        </is>
      </c>
      <c r="H524" t="inlineStr">
        <is>
          <t>https://orcid.org/0000-0001-8148-7049</t>
        </is>
      </c>
      <c r="I524" t="n">
        <v>200</v>
      </c>
      <c r="J524" t="inlineStr">
        <is>
          <t>text/html</t>
        </is>
      </c>
      <c r="K524" t="n">
        <v>0</v>
      </c>
      <c r="L524" t="b">
        <v>1</v>
      </c>
      <c r="M524" t="b">
        <v>1</v>
      </c>
      <c r="N524" t="inlineStr">
        <is>
          <t>PROVED_BY_ORCID_EMPLOYMENT</t>
        </is>
      </c>
      <c r="O524" t="inlineStr">
        <is>
          <t>SIM</t>
        </is>
      </c>
      <c r="P524" t="inlineStr">
        <is>
          <t>SIM — ORCID declara afiliacao com country=IT e sem data de fim</t>
        </is>
      </c>
      <c r="Q524" t="inlineStr">
        <is>
          <t>ORCID employments: University of Siena</t>
        </is>
      </c>
      <c r="R524" t="inlineStr">
        <is>
          <t>sonda HTTP read-only (GET limitado, payload nao preservado) + ORCID public API /employments</t>
        </is>
      </c>
      <c r="S524" t="inlineStr">
        <is>
          <t>2026-09-14T11:25:48Z</t>
        </is>
      </c>
      <c r="T524" t="inlineStr">
        <is>
          <t>REJECT</t>
        </is>
      </c>
      <c r="U524" t="inlineStr">
        <is>
          <t>revisao manual (secao 32): departamento de ciencias da vida sem ligacao agricola provada — casou por palavra, nao por tema</t>
        </is>
      </c>
      <c r="V524" t="inlineStr">
        <is>
          <t>T6;T5</t>
        </is>
      </c>
      <c r="W524" t="inlineStr">
        <is>
          <t>NAZIONALE</t>
        </is>
      </c>
      <c r="X524" t="inlineStr"/>
      <c r="Y524" t="inlineStr">
        <is>
          <t>Popillia japonica</t>
        </is>
      </c>
      <c r="Z524" t="inlineStr">
        <is>
          <t>ORCID 0000-0001-8148-7049</t>
        </is>
      </c>
      <c r="AA524" t="inlineStr">
        <is>
          <t>afiliacao atual: University of Siena</t>
        </is>
      </c>
      <c r="AB524" t="inlineStr">
        <is>
          <t>nao sorteada</t>
        </is>
      </c>
      <c r="AC524" t="inlineStr">
        <is>
          <t>nao sorteada</t>
        </is>
      </c>
      <c r="AE524" t="inlineStr"/>
      <c r="AF524" t="inlineStr"/>
    </row>
    <row r="525">
      <c r="A525" t="inlineStr">
        <is>
          <t>IT-DISC-2026-09-14-0524</t>
        </is>
      </c>
      <c r="B525" t="inlineStr">
        <is>
          <t>Andrea Maiorano — registo cientifico ORCID (European Food Safety Authority)</t>
        </is>
      </c>
      <c r="C525" t="inlineStr">
        <is>
          <t>CIENCIA</t>
        </is>
      </c>
      <c r="D525" t="inlineStr">
        <is>
          <t>PERSON</t>
        </is>
      </c>
      <c r="E525" t="inlineStr">
        <is>
          <t>Andrea Maiorano · European Food Safety Authority</t>
        </is>
      </c>
      <c r="F525" t="inlineStr">
        <is>
          <t>https://orcid.org/0000-0002-0497-9303</t>
        </is>
      </c>
      <c r="G525" t="inlineStr">
        <is>
          <t>https://orcid.org/0000-0002-0497-9303</t>
        </is>
      </c>
      <c r="H525" t="inlineStr">
        <is>
          <t>https://orcid.org/0000-0002-0497-9303</t>
        </is>
      </c>
      <c r="I525" t="n">
        <v>200</v>
      </c>
      <c r="J525" t="inlineStr">
        <is>
          <t>text/html</t>
        </is>
      </c>
      <c r="K525" t="n">
        <v>0</v>
      </c>
      <c r="L525" t="b">
        <v>1</v>
      </c>
      <c r="M525" t="b">
        <v>1</v>
      </c>
      <c r="N525" t="inlineStr">
        <is>
          <t>PROVED_BY_ORCID_EMPLOYMENT</t>
        </is>
      </c>
      <c r="O525" t="inlineStr">
        <is>
          <t>SIM</t>
        </is>
      </c>
      <c r="P525" t="inlineStr">
        <is>
          <t>SIM — ORCID declara afiliacao com country=IT e sem data de fim</t>
        </is>
      </c>
      <c r="Q525" t="inlineStr">
        <is>
          <t>ORCID employments: European Food Safety Authority</t>
        </is>
      </c>
      <c r="R525" t="inlineStr">
        <is>
          <t>sonda HTTP read-only (GET limitado, payload nao preservado) + ORCID public API /employments</t>
        </is>
      </c>
      <c r="S525" t="inlineStr">
        <is>
          <t>2026-09-14T11:25:49Z</t>
        </is>
      </c>
      <c r="T525" t="inlineStr">
        <is>
          <t>REJECT</t>
        </is>
      </c>
      <c r="U525" t="inlineStr">
        <is>
          <t>revisao manual (secao 32): EFSA e' orgao da UE sediado em Italia, nao fonte de escopo italiano</t>
        </is>
      </c>
      <c r="V525" t="inlineStr">
        <is>
          <t>T6;T5</t>
        </is>
      </c>
      <c r="W525" t="inlineStr">
        <is>
          <t>NAZIONALE</t>
        </is>
      </c>
      <c r="X525" t="inlineStr"/>
      <c r="Y525" t="inlineStr">
        <is>
          <t>agrometeorologia;modelli</t>
        </is>
      </c>
      <c r="Z525" t="inlineStr">
        <is>
          <t>ORCID 0000-0002-0497-9303</t>
        </is>
      </c>
      <c r="AA525" t="inlineStr">
        <is>
          <t>afiliacao atual: European Food Safety Authority</t>
        </is>
      </c>
      <c r="AB525" t="inlineStr">
        <is>
          <t>nao sorteada</t>
        </is>
      </c>
      <c r="AC525" t="inlineStr">
        <is>
          <t>nao sorteada</t>
        </is>
      </c>
      <c r="AE525" t="inlineStr"/>
      <c r="AF525" t="inlineStr"/>
    </row>
    <row r="526">
      <c r="A526" t="inlineStr">
        <is>
          <t>IT-DISC-2026-09-14-0525</t>
        </is>
      </c>
      <c r="B526" t="inlineStr">
        <is>
          <t>Cristiana Correia — registo cientifico ORCID (European Food Safety Authority)</t>
        </is>
      </c>
      <c r="C526" t="inlineStr">
        <is>
          <t>CIENCIA</t>
        </is>
      </c>
      <c r="D526" t="inlineStr">
        <is>
          <t>PERSON</t>
        </is>
      </c>
      <c r="E526" t="inlineStr">
        <is>
          <t>Cristiana Correia · European Food Safety Authority</t>
        </is>
      </c>
      <c r="F526" t="inlineStr">
        <is>
          <t>https://orcid.org/0000-0001-5159-6412</t>
        </is>
      </c>
      <c r="G526" t="inlineStr">
        <is>
          <t>https://orcid.org/0000-0001-5159-6412</t>
        </is>
      </c>
      <c r="H526" t="inlineStr">
        <is>
          <t>https://orcid.org/0000-0001-5159-6412</t>
        </is>
      </c>
      <c r="I526" t="n">
        <v>200</v>
      </c>
      <c r="J526" t="inlineStr">
        <is>
          <t>text/html</t>
        </is>
      </c>
      <c r="K526" t="n">
        <v>0</v>
      </c>
      <c r="L526" t="b">
        <v>1</v>
      </c>
      <c r="M526" t="b">
        <v>1</v>
      </c>
      <c r="N526" t="inlineStr">
        <is>
          <t>PROVED_BY_ORCID_EMPLOYMENT</t>
        </is>
      </c>
      <c r="O526" t="inlineStr">
        <is>
          <t>SIM</t>
        </is>
      </c>
      <c r="P526" t="inlineStr">
        <is>
          <t>SIM — ORCID declara afiliacao com country=IT e sem data de fim</t>
        </is>
      </c>
      <c r="Q526" t="inlineStr">
        <is>
          <t>ORCID employments: European Food Safety Authority</t>
        </is>
      </c>
      <c r="R526" t="inlineStr">
        <is>
          <t>sonda HTTP read-only (GET limitado, payload nao preservado) + ORCID public API /employments</t>
        </is>
      </c>
      <c r="S526" t="inlineStr">
        <is>
          <t>2026-09-14T11:25:49Z</t>
        </is>
      </c>
      <c r="T526" t="inlineStr">
        <is>
          <t>REJECT</t>
        </is>
      </c>
      <c r="U526" t="inlineStr">
        <is>
          <t>revisao manual (secao 32): EFSA e' orgao da UE sediado em Italia, nao fonte de escopo italiano</t>
        </is>
      </c>
      <c r="V526" t="inlineStr">
        <is>
          <t>T6;T5</t>
        </is>
      </c>
      <c r="W526" t="inlineStr">
        <is>
          <t>NAZIONALE</t>
        </is>
      </c>
      <c r="X526" t="inlineStr"/>
      <c r="Y526" t="inlineStr">
        <is>
          <t>biocontrollo;difesa biologica</t>
        </is>
      </c>
      <c r="Z526" t="inlineStr">
        <is>
          <t>ORCID 0000-0001-5159-6412</t>
        </is>
      </c>
      <c r="AA526" t="inlineStr">
        <is>
          <t>afiliacao atual: European Food Safety Authority</t>
        </is>
      </c>
      <c r="AB526" t="inlineStr">
        <is>
          <t>nao sorteada</t>
        </is>
      </c>
      <c r="AC526" t="inlineStr">
        <is>
          <t>nao sorteada</t>
        </is>
      </c>
      <c r="AE526" t="inlineStr"/>
      <c r="AF526" t="inlineStr"/>
    </row>
    <row r="527">
      <c r="A527" t="inlineStr">
        <is>
          <t>IT-DISC-2026-09-14-0526</t>
        </is>
      </c>
      <c r="B527" t="inlineStr">
        <is>
          <t>Jonathan Brooks — registo cientifico ORCID (Johns Hopkins University)</t>
        </is>
      </c>
      <c r="C527" t="inlineStr">
        <is>
          <t>CIENCIA</t>
        </is>
      </c>
      <c r="D527" t="inlineStr">
        <is>
          <t>PERSON</t>
        </is>
      </c>
      <c r="E527" t="inlineStr">
        <is>
          <t>Jonathan Brooks · Johns Hopkins University</t>
        </is>
      </c>
      <c r="F527" t="inlineStr">
        <is>
          <t>https://orcid.org/0009-0005-2567-4487</t>
        </is>
      </c>
      <c r="G527" t="inlineStr">
        <is>
          <t>https://orcid.org/0009-0005-2567-4487</t>
        </is>
      </c>
      <c r="H527" t="inlineStr">
        <is>
          <t>https://orcid.org/0009-0005-2567-4487</t>
        </is>
      </c>
      <c r="I527" t="n">
        <v>200</v>
      </c>
      <c r="J527" t="inlineStr">
        <is>
          <t>text/html</t>
        </is>
      </c>
      <c r="K527" t="n">
        <v>0</v>
      </c>
      <c r="L527" t="b">
        <v>1</v>
      </c>
      <c r="M527" t="b">
        <v>1</v>
      </c>
      <c r="N527" t="inlineStr">
        <is>
          <t>PROVED_BY_ORCID_EMPLOYMENT</t>
        </is>
      </c>
      <c r="O527" t="inlineStr">
        <is>
          <t>SIM</t>
        </is>
      </c>
      <c r="P527" t="inlineStr">
        <is>
          <t>SIM — ORCID declara afiliacao com country=IT e sem data de fim</t>
        </is>
      </c>
      <c r="Q527" t="inlineStr">
        <is>
          <t>ORCID employments: Johns Hopkins University</t>
        </is>
      </c>
      <c r="R527" t="inlineStr">
        <is>
          <t>sonda HTTP read-only (GET limitado, payload nao preservado) + ORCID public API /employments</t>
        </is>
      </c>
      <c r="S527" t="inlineStr">
        <is>
          <t>2026-09-14T11:25:50Z</t>
        </is>
      </c>
      <c r="T527" t="inlineStr">
        <is>
          <t>REJECT</t>
        </is>
      </c>
      <c r="U527" t="inlineStr">
        <is>
          <t>revisao manual (secao 32): dono e' universidade dos EUA (campus de Bolonha); sem relevancia agricola provada</t>
        </is>
      </c>
      <c r="V527" t="inlineStr">
        <is>
          <t>T6;T5</t>
        </is>
      </c>
      <c r="W527" t="inlineStr">
        <is>
          <t>EMILIA-ROMAGNA</t>
        </is>
      </c>
      <c r="X527" t="inlineStr"/>
      <c r="Y527" t="inlineStr">
        <is>
          <t>economia agraria;mercati</t>
        </is>
      </c>
      <c r="Z527" t="inlineStr">
        <is>
          <t>ORCID 0009-0005-2567-4487</t>
        </is>
      </c>
      <c r="AA527" t="inlineStr">
        <is>
          <t>afiliacao atual: Johns Hopkins University</t>
        </is>
      </c>
      <c r="AB527" t="inlineStr">
        <is>
          <t>nao sorteada</t>
        </is>
      </c>
      <c r="AC527" t="inlineStr">
        <is>
          <t>nao sorteada</t>
        </is>
      </c>
      <c r="AE527" t="inlineStr"/>
      <c r="AF527" t="inlineStr"/>
    </row>
    <row r="528">
      <c r="A528" t="inlineStr">
        <is>
          <t>IT-DISC-2026-09-14-0527</t>
        </is>
      </c>
      <c r="B528" t="inlineStr">
        <is>
          <t>Agricoltura24</t>
        </is>
      </c>
      <c r="C528" t="inlineStr">
        <is>
          <t>IMPRENSA</t>
        </is>
      </c>
      <c r="D528" t="inlineStr">
        <is>
          <t>ORG</t>
        </is>
      </c>
      <c r="E528" t="inlineStr">
        <is>
          <t>New Business Media</t>
        </is>
      </c>
      <c r="F528" t="inlineStr">
        <is>
          <t>https://www.agricoltura24.com/</t>
        </is>
      </c>
      <c r="G528" t="inlineStr">
        <is>
          <t>https://www.agricoltura24.com/</t>
        </is>
      </c>
      <c r="K528" t="n">
        <v>0</v>
      </c>
      <c r="L528" t="b">
        <v>1</v>
      </c>
      <c r="M528" t="b">
        <v>1</v>
      </c>
      <c r="N528" t="inlineStr">
        <is>
          <t>PROVED_DIRECT</t>
        </is>
      </c>
      <c r="O528" t="inlineStr">
        <is>
          <t>SIM</t>
        </is>
      </c>
      <c r="P528" t="inlineStr">
        <is>
          <t>SIM — dono italiano identificado na pagina</t>
        </is>
      </c>
      <c r="Q528" t="inlineStr"/>
      <c r="R528" t="inlineStr">
        <is>
          <t>sonda HTTP read-only (GET limitado, payload nao preservado)</t>
        </is>
      </c>
      <c r="S528" t="inlineStr">
        <is>
          <t>2026-09-14T11:22:27Z</t>
        </is>
      </c>
      <c r="T528" t="inlineStr">
        <is>
          <t>REJECT</t>
        </is>
      </c>
      <c r="U528" t="inlineStr">
        <is>
          <t>handshake TLS falha mesmo com a cadeia completada por AIA</t>
        </is>
      </c>
      <c r="V528" t="inlineStr">
        <is>
          <t>T10;T1</t>
        </is>
      </c>
      <c r="W528" t="inlineStr">
        <is>
          <t>NAZIONALE</t>
        </is>
      </c>
      <c r="X528" t="inlineStr"/>
      <c r="Y528" t="inlineStr">
        <is>
          <t>notizie agricole;mercato</t>
        </is>
      </c>
      <c r="Z528" t="inlineStr">
        <is>
          <t xml:space="preserve">titulo da pagina: </t>
        </is>
      </c>
      <c r="AA528" t="inlineStr">
        <is>
          <t>dominio institucional do dono</t>
        </is>
      </c>
      <c r="AB528" t="inlineStr">
        <is>
          <t>nao sorteada</t>
        </is>
      </c>
      <c r="AC528" t="inlineStr">
        <is>
          <t>nao sorteada</t>
        </is>
      </c>
      <c r="AE528" t="inlineStr">
        <is>
          <t>TLS_ERROR</t>
        </is>
      </c>
      <c r="AF528" t="inlineStr"/>
    </row>
    <row r="529">
      <c r="A529" t="inlineStr">
        <is>
          <t>IT-DISC-2026-09-14-0528</t>
        </is>
      </c>
      <c r="B529" t="inlineStr">
        <is>
          <t>Coltura &amp; Cultura</t>
        </is>
      </c>
      <c r="C529" t="inlineStr">
        <is>
          <t>IMPRENSA</t>
        </is>
      </c>
      <c r="D529" t="inlineStr">
        <is>
          <t>ORG</t>
        </is>
      </c>
      <c r="E529" t="inlineStr">
        <is>
          <t>Bayer CropScience Italia</t>
        </is>
      </c>
      <c r="F529" t="inlineStr">
        <is>
          <t>https://www.colturaecultura.it/</t>
        </is>
      </c>
      <c r="G529" t="inlineStr">
        <is>
          <t>https://www.colturaecultura.it/</t>
        </is>
      </c>
      <c r="K529" t="n">
        <v>0</v>
      </c>
      <c r="L529" t="b">
        <v>1</v>
      </c>
      <c r="M529" t="b">
        <v>1</v>
      </c>
      <c r="N529" t="inlineStr">
        <is>
          <t>NOT_PROVED</t>
        </is>
      </c>
      <c r="O529" t="inlineStr">
        <is>
          <t>SIM</t>
        </is>
      </c>
      <c r="P529" t="inlineStr">
        <is>
          <t>SIM — dominio .it e conteudo em italiano</t>
        </is>
      </c>
      <c r="Q529" t="inlineStr"/>
      <c r="R529" t="inlineStr">
        <is>
          <t>sonda HTTP read-only (GET limitado, payload nao preservado)</t>
        </is>
      </c>
      <c r="S529" t="inlineStr">
        <is>
          <t>2026-09-14T11:22:28Z</t>
        </is>
      </c>
      <c r="T529" t="inlineStr">
        <is>
          <t>UNKNOWN</t>
        </is>
      </c>
      <c r="U529" t="inlineStr">
        <is>
          <t>bloqueio/inconclusivo no datacenter (status=None, flags=CONN_FAIL)</t>
        </is>
      </c>
      <c r="V529" t="inlineStr">
        <is>
          <t>T1;T9;T5</t>
        </is>
      </c>
      <c r="W529" t="inlineStr">
        <is>
          <t>NAZIONALE</t>
        </is>
      </c>
      <c r="X529" t="inlineStr"/>
      <c r="Y529" t="inlineStr">
        <is>
          <t>divulgazione colturale;monografie</t>
        </is>
      </c>
      <c r="Z529" t="inlineStr">
        <is>
          <t xml:space="preserve">titulo da pagina: </t>
        </is>
      </c>
      <c r="AA529" t="inlineStr">
        <is>
          <t>dominio institucional do dono</t>
        </is>
      </c>
      <c r="AB529" t="inlineStr">
        <is>
          <t>nao sorteada</t>
        </is>
      </c>
      <c r="AC529" t="inlineStr">
        <is>
          <t>nao sorteada</t>
        </is>
      </c>
      <c r="AE529" t="inlineStr">
        <is>
          <t>CONN_FAIL</t>
        </is>
      </c>
      <c r="AF529" t="inlineStr"/>
    </row>
    <row r="530">
      <c r="A530" t="inlineStr">
        <is>
          <t>IT-DISC-2026-09-14-0529</t>
        </is>
      </c>
      <c r="B530" t="inlineStr">
        <is>
          <t>Rivista Frutticoltura Edagricole</t>
        </is>
      </c>
      <c r="C530" t="inlineStr">
        <is>
          <t>IMPRENSA</t>
        </is>
      </c>
      <c r="D530" t="inlineStr">
        <is>
          <t>ORG</t>
        </is>
      </c>
      <c r="E530" t="inlineStr">
        <is>
          <t>Edagricole — New Business Media</t>
        </is>
      </c>
      <c r="F530" t="inlineStr">
        <is>
          <t>https://frutticoltura.edagricole.it/</t>
        </is>
      </c>
      <c r="G530" t="inlineStr">
        <is>
          <t>https://frutticoltura.edagricole.it/</t>
        </is>
      </c>
      <c r="K530" t="n">
        <v>0</v>
      </c>
      <c r="L530" t="b">
        <v>0</v>
      </c>
      <c r="N530" t="inlineStr">
        <is>
          <t>PROVED_DIRECT</t>
        </is>
      </c>
      <c r="O530" t="inlineStr">
        <is>
          <t>SIM</t>
        </is>
      </c>
      <c r="P530" t="inlineStr">
        <is>
          <t>SIM — dominio .it e conteudo em italiano</t>
        </is>
      </c>
      <c r="Q530" t="inlineStr"/>
      <c r="R530" t="inlineStr">
        <is>
          <t>sonda HTTP read-only (GET limitado, payload nao preservado)</t>
        </is>
      </c>
      <c r="S530" t="inlineStr">
        <is>
          <t>2026-09-14T11:22:28Z</t>
        </is>
      </c>
      <c r="T530" t="inlineStr">
        <is>
          <t>REJECT</t>
        </is>
      </c>
      <c r="U530" t="inlineStr">
        <is>
          <t>DNS nao resolve: o endereco nao existe</t>
        </is>
      </c>
      <c r="V530" t="inlineStr">
        <is>
          <t>T1;T5</t>
        </is>
      </c>
      <c r="W530" t="inlineStr">
        <is>
          <t>NAZIONALE</t>
        </is>
      </c>
      <c r="X530" t="inlineStr"/>
      <c r="Y530" t="inlineStr">
        <is>
          <t>frutticoltura;tecnica</t>
        </is>
      </c>
      <c r="Z530" t="inlineStr">
        <is>
          <t xml:space="preserve">titulo da pagina: </t>
        </is>
      </c>
      <c r="AA530" t="inlineStr">
        <is>
          <t>dominio institucional do dono</t>
        </is>
      </c>
      <c r="AB530" t="inlineStr">
        <is>
          <t>nao sorteada</t>
        </is>
      </c>
      <c r="AC530" t="inlineStr">
        <is>
          <t>nao sorteada</t>
        </is>
      </c>
      <c r="AE530" t="inlineStr">
        <is>
          <t>DNS_FAIL</t>
        </is>
      </c>
      <c r="AF530" t="inlineStr"/>
    </row>
    <row r="531">
      <c r="A531" t="inlineStr">
        <is>
          <t>IT-DISC-2026-09-14-0530</t>
        </is>
      </c>
      <c r="B531" t="inlineStr">
        <is>
          <t>Terra e Vita Edagricole — vite</t>
        </is>
      </c>
      <c r="C531" t="inlineStr">
        <is>
          <t>IMPRENSA</t>
        </is>
      </c>
      <c r="D531" t="inlineStr">
        <is>
          <t>ORG</t>
        </is>
      </c>
      <c r="E531" t="inlineStr">
        <is>
          <t>Edagricole — New Business Media</t>
        </is>
      </c>
      <c r="F531" t="inlineStr">
        <is>
          <t>https://vitevinoqualita.edagricole.it/</t>
        </is>
      </c>
      <c r="G531" t="inlineStr">
        <is>
          <t>https://vitevinoqualita.edagricole.it/</t>
        </is>
      </c>
      <c r="K531" t="n">
        <v>0</v>
      </c>
      <c r="L531" t="b">
        <v>0</v>
      </c>
      <c r="N531" t="inlineStr">
        <is>
          <t>PROVED_DIRECT</t>
        </is>
      </c>
      <c r="O531" t="inlineStr">
        <is>
          <t>SIM</t>
        </is>
      </c>
      <c r="P531" t="inlineStr">
        <is>
          <t>SIM — dominio .it e conteudo em italiano</t>
        </is>
      </c>
      <c r="Q531" t="inlineStr"/>
      <c r="R531" t="inlineStr">
        <is>
          <t>sonda HTTP read-only (GET limitado, payload nao preservado)</t>
        </is>
      </c>
      <c r="S531" t="inlineStr">
        <is>
          <t>2026-09-14T11:22:28Z</t>
        </is>
      </c>
      <c r="T531" t="inlineStr">
        <is>
          <t>REJECT</t>
        </is>
      </c>
      <c r="U531" t="inlineStr">
        <is>
          <t>DNS nao resolve: o endereco nao existe</t>
        </is>
      </c>
      <c r="V531" t="inlineStr">
        <is>
          <t>T1;T3</t>
        </is>
      </c>
      <c r="W531" t="inlineStr">
        <is>
          <t>NAZIONALE</t>
        </is>
      </c>
      <c r="X531" t="inlineStr"/>
      <c r="Y531" t="inlineStr">
        <is>
          <t>viticoltura;enologia</t>
        </is>
      </c>
      <c r="Z531" t="inlineStr">
        <is>
          <t xml:space="preserve">titulo da pagina: </t>
        </is>
      </c>
      <c r="AA531" t="inlineStr">
        <is>
          <t>dominio institucional do dono</t>
        </is>
      </c>
      <c r="AB531" t="inlineStr">
        <is>
          <t>nao sorteada</t>
        </is>
      </c>
      <c r="AC531" t="inlineStr">
        <is>
          <t>nao sorteada</t>
        </is>
      </c>
      <c r="AE531" t="inlineStr">
        <is>
          <t>DNS_FAIL</t>
        </is>
      </c>
      <c r="AF531" t="inlineStr"/>
    </row>
    <row r="532">
      <c r="A532" t="inlineStr">
        <is>
          <t>IT-DISC-2026-09-14-0531</t>
        </is>
      </c>
      <c r="B532" t="inlineStr">
        <is>
          <t>Marche — Regione Marche agricoltura</t>
        </is>
      </c>
      <c r="C532" t="inlineStr">
        <is>
          <t>BASE_OFICIAL</t>
        </is>
      </c>
      <c r="D532" t="inlineStr">
        <is>
          <t>ORG</t>
        </is>
      </c>
      <c r="E532" t="inlineStr">
        <is>
          <t>Regione Marche</t>
        </is>
      </c>
      <c r="F532" t="inlineStr">
        <is>
          <t>https://www.regione.marche.it/Entra-in-Regione/Agricoltura</t>
        </is>
      </c>
      <c r="G532" t="inlineStr">
        <is>
          <t>https://validate.perfdrive.com/?ssa=01da160d-a3e9-4d68-a7d6-a2f934d46d9a&amp;ssb=02265280098&amp;ssc=https%3A%2F%2Fwww.regione.marche.it%2FEntra-in-Regione%2FAgricoltura&amp;ssi=ba86f0bc-d3ou-45ed-84b7-6e3fa4ccf93c&amp;ssk=botmanager_support@radware.com&amp;ssm=17889367107680489109442105186135&amp;ssn=e9a571b246fab389f89238c75e0722f6adf3ab5cc284-f891-4e62-8d2d40&amp;sso=9e9576a2-6bf1feb66ed262ea466489d2dd4973aa5989f4d06b5d2c93&amp;ssp=72234226601789355137178931915060713&amp;ssq=90015988495266508324984952854195347577953&amp;ssr=MTYwLjc5LjEwNi4xMzE=&amp;sst=Mozilla/5.0%20(X11;%20Linux%20x86_64)%20AppleWebKit/537.36%20(KHTML,%20like%20Gecko)%20Chrome/127.0.0.0%20Safari/537.36&amp;ssu=&amp;ssv=&amp;ssw=&amp;ssx=eyJ1em14IjoiN2ZjMDAwMjQ5MWUwMjUtYmFjNi00NzI1LTk3YzUtN2QyOWYxNzM4YTRlMS0xNzg5Mzg0OTUyODczMC0wMDUyZmFhYzhhYmM5YzQ3YjhlMTAiLCJfX3V6bWYiOiI3ZjkwMDBhYjVjYzI4NC1mODkxLTRlNjItODZhMi02YmYxZmViNjZlZDIxLTE3ODkzODQ5NTI4NzMwLTAwNGE4YzgxOGJhYTE1ZTQzMTcxMCIsInJkIjoicmVnaW9uZS5tYXJjaGUuaXQifQ==</t>
        </is>
      </c>
      <c r="H532" t="inlineStr">
        <is>
          <t>https://validate.perfdrive.com/?ssa=01da160d-a3e9-4d68-a7d6-a2f934d46d9a&amp;ssb=02265280098&amp;ssc=https%3A%2F%2Fwww.regione.marche.it%2FEntra-in-Regione%2FAgricoltura&amp;ssi=ba86f0bc-d3ou-45ed-84b7-6e3fa4ccf93c&amp;ssk=botmanager_support@radware.com&amp;ssm=17889367107680489109442105186135&amp;ssn=e9a571b246fab389f89238c75e0722f6adf3ab5cc284-f891-4e62-8d2d40&amp;sso=9e9576a2-6bf1feb66ed262ea466489d2dd4973aa5989f4d06b5d2c93&amp;ssp=72234226601789355137178931915060713&amp;ssq=90015988495266508324984952854195347577953&amp;ssr=MTYwLjc5LjEwNi4xMzE=&amp;sst=Mozilla/5.0%20(X11;%20Linux%20x86_64)%20AppleWebKit/537.36%20(KHTML,%20like%20Gecko)%20Chrome/127.0.0.0%20Safari/537.36&amp;ssu=&amp;ssv=&amp;ssw=&amp;ssx=eyJ1em14IjoiN2ZjMDAwMjQ5MWUwMjUtYmFjNi00NzI1LTk3YzUtN2QyOWYxNzM4YTRlMS0xNzg5Mzg0OTUyODczMC0wMDUyZmFhYzhhYmM5YzQ3YjhlMTAiLCJfX3V6bWYiOiI3ZjkwMDBhYjVjYzI4NC1mODkxLTRlNjItODZhMi02YmYxZmViNjZlZDIxLTE3ODkzODQ5NTI4NzMwLTAwNGE4YzgxOGJhYTE1ZTQzMTcxMCIsInJkIjoicmVnaW9uZS5tYXJjaGUuaXQifQ==</t>
        </is>
      </c>
      <c r="I532" t="n">
        <v>200</v>
      </c>
      <c r="J532" t="inlineStr">
        <is>
          <t>text/html</t>
        </is>
      </c>
      <c r="K532" t="n">
        <v>1</v>
      </c>
      <c r="L532" t="b">
        <v>1</v>
      </c>
      <c r="M532" t="b">
        <v>1</v>
      </c>
      <c r="N532" t="inlineStr">
        <is>
          <t>PROVED_DIRECT</t>
        </is>
      </c>
      <c r="O532" t="inlineStr">
        <is>
          <t>SIM</t>
        </is>
      </c>
      <c r="P532" t="inlineStr">
        <is>
          <t>SIM — dono italiano identificado na pagina</t>
        </is>
      </c>
      <c r="Q532" t="inlineStr">
        <is>
          <t>Radware Captcha Page</t>
        </is>
      </c>
      <c r="R532" t="inlineStr">
        <is>
          <t>sonda HTTP read-only (GET limitado, payload nao preservado)</t>
        </is>
      </c>
      <c r="S532" t="inlineStr">
        <is>
          <t>2026-09-14T11:22:31Z</t>
        </is>
      </c>
      <c r="T532" t="inlineStr">
        <is>
          <t>UNKNOWN</t>
        </is>
      </c>
      <c r="U532" t="inlineStr">
        <is>
          <t>bloqueio/inconclusivo no datacenter (status=200, flags=ANTIBOT,REDIRECT_TO_HOME)</t>
        </is>
      </c>
      <c r="V532" t="inlineStr">
        <is>
          <t>T1;T4</t>
        </is>
      </c>
      <c r="W532" t="inlineStr">
        <is>
          <t>MARCHE</t>
        </is>
      </c>
      <c r="X532" t="inlineStr"/>
      <c r="Y532" t="inlineStr">
        <is>
          <t>agricoltura;PSR</t>
        </is>
      </c>
      <c r="Z532" t="inlineStr">
        <is>
          <t>titulo da pagina: Radware Captcha Page</t>
        </is>
      </c>
      <c r="AA532" t="inlineStr">
        <is>
          <t>dominio institucional do dono</t>
        </is>
      </c>
      <c r="AB532" t="inlineStr">
        <is>
          <t>nao sorteada</t>
        </is>
      </c>
      <c r="AC532" t="inlineStr">
        <is>
          <t>nao sorteada</t>
        </is>
      </c>
      <c r="AE532" t="inlineStr">
        <is>
          <t>ANTIBOT</t>
        </is>
      </c>
      <c r="AF532" t="inlineStr">
        <is>
          <t>endereco canonizado para o destino final</t>
        </is>
      </c>
    </row>
    <row r="533">
      <c r="A533" t="inlineStr">
        <is>
          <t>IT-DISC-2026-09-14-0532</t>
        </is>
      </c>
      <c r="B533" t="inlineStr">
        <is>
          <t>Xylella Regione Puglia — emergenza fitosanitaria</t>
        </is>
      </c>
      <c r="C533" t="inlineStr">
        <is>
          <t>BASE_OFICIAL</t>
        </is>
      </c>
      <c r="D533" t="inlineStr">
        <is>
          <t>ORG</t>
        </is>
      </c>
      <c r="E533" t="inlineStr">
        <is>
          <t>Regione Puglia</t>
        </is>
      </c>
      <c r="F533" t="inlineStr">
        <is>
          <t>https://www.emergenzaxylella.it/</t>
        </is>
      </c>
      <c r="G533" t="inlineStr">
        <is>
          <t>https://www.emergenzaxylella.it/</t>
        </is>
      </c>
      <c r="K533" t="n">
        <v>0</v>
      </c>
      <c r="L533" t="b">
        <v>1</v>
      </c>
      <c r="M533" t="b">
        <v>1</v>
      </c>
      <c r="N533" t="inlineStr">
        <is>
          <t>NOT_PROVED</t>
        </is>
      </c>
      <c r="O533" t="inlineStr">
        <is>
          <t>SIM</t>
        </is>
      </c>
      <c r="P533" t="inlineStr">
        <is>
          <t>SIM — dominio .it e conteudo em italiano</t>
        </is>
      </c>
      <c r="Q533" t="inlineStr"/>
      <c r="R533" t="inlineStr">
        <is>
          <t>sonda HTTP read-only (GET limitado, payload nao preservado)</t>
        </is>
      </c>
      <c r="S533" t="inlineStr">
        <is>
          <t>2026-09-14T11:22:35Z</t>
        </is>
      </c>
      <c r="T533" t="inlineStr">
        <is>
          <t>REJECT</t>
        </is>
      </c>
      <c r="U533" t="inlineStr">
        <is>
          <t>handshake TLS falha mesmo com a cadeia completada por AIA</t>
        </is>
      </c>
      <c r="V533" t="inlineStr">
        <is>
          <t>T3;T4</t>
        </is>
      </c>
      <c r="W533" t="inlineStr">
        <is>
          <t>PUGLIA</t>
        </is>
      </c>
      <c r="X533" t="inlineStr">
        <is>
          <t>olivo</t>
        </is>
      </c>
      <c r="Y533" t="inlineStr">
        <is>
          <t>Xylella;olivo;emergenza</t>
        </is>
      </c>
      <c r="Z533" t="inlineStr">
        <is>
          <t xml:space="preserve">titulo da pagina: </t>
        </is>
      </c>
      <c r="AA533" t="inlineStr">
        <is>
          <t>dominio institucional do dono</t>
        </is>
      </c>
      <c r="AB533" t="inlineStr">
        <is>
          <t>nao sorteada</t>
        </is>
      </c>
      <c r="AC533" t="inlineStr">
        <is>
          <t>nao sorteada</t>
        </is>
      </c>
      <c r="AE533" t="inlineStr">
        <is>
          <t>TLS_ERROR</t>
        </is>
      </c>
      <c r="AF5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  <col width="14" customWidth="1" min="3" max="3"/>
    <col width="14" customWidth="1" min="4" max="4"/>
    <col width="58" customWidth="1" min="5" max="5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</row>
    <row r="2">
      <c r="A2">
        <f>= CONTAGEM POR TIPO (faixa desejavel da secao 20) ==</f>
        <v/>
      </c>
      <c r="B2" t="inlineStr"/>
      <c r="C2" t="inlineStr"/>
      <c r="D2" t="inlineStr"/>
      <c r="E2" t="inlineStr"/>
    </row>
    <row r="3">
      <c r="A3" t="inlineStr">
        <is>
          <t>TIPO</t>
        </is>
      </c>
      <c r="B3" t="inlineStr">
        <is>
          <t>CONTAGEM</t>
        </is>
      </c>
      <c r="C3" t="inlineStr">
        <is>
          <t>FAIXA_MIN</t>
        </is>
      </c>
      <c r="D3" t="inlineStr">
        <is>
          <t>FAIXA_MAX</t>
        </is>
      </c>
      <c r="E3" t="inlineStr">
        <is>
          <t>SITUACAO</t>
        </is>
      </c>
    </row>
    <row r="4">
      <c r="A4" t="inlineStr">
        <is>
          <t>BASE_OFICIAL</t>
        </is>
      </c>
      <c r="B4" t="n">
        <v>52</v>
      </c>
      <c r="C4" t="n">
        <v>35</v>
      </c>
      <c r="D4" t="n">
        <v>50</v>
      </c>
      <c r="E4" t="inlineStr">
        <is>
          <t>ACIMA da faixa — todas validadas, mantidas por diversidade</t>
        </is>
      </c>
    </row>
    <row r="5">
      <c r="A5" t="inlineStr">
        <is>
          <t>CIENCIA</t>
        </is>
      </c>
      <c r="B5" t="n">
        <v>75</v>
      </c>
      <c r="C5" t="n">
        <v>25</v>
      </c>
      <c r="D5" t="n">
        <v>35</v>
      </c>
      <c r="E5" t="inlineStr">
        <is>
          <t>ACIMA da faixa — todas validadas, mantidas por diversidade</t>
        </is>
      </c>
    </row>
    <row r="6">
      <c r="A6" t="inlineStr">
        <is>
          <t>FACEBOOK</t>
        </is>
      </c>
      <c r="B6" t="n">
        <v>20</v>
      </c>
      <c r="C6" t="n">
        <v>10</v>
      </c>
      <c r="D6" t="n">
        <v>20</v>
      </c>
      <c r="E6" t="inlineStr">
        <is>
          <t>dentro da faixa</t>
        </is>
      </c>
    </row>
    <row r="7">
      <c r="A7" t="inlineStr">
        <is>
          <t>IMPRENSA</t>
        </is>
      </c>
      <c r="B7" t="n">
        <v>27</v>
      </c>
      <c r="C7" t="n">
        <v>25</v>
      </c>
      <c r="D7" t="n">
        <v>35</v>
      </c>
      <c r="E7" t="inlineStr">
        <is>
          <t>dentro da faixa</t>
        </is>
      </c>
    </row>
    <row r="8">
      <c r="A8" t="inlineStr">
        <is>
          <t>INSTAGRAM</t>
        </is>
      </c>
      <c r="B8" t="n">
        <v>25</v>
      </c>
      <c r="C8" t="n">
        <v>15</v>
      </c>
      <c r="D8" t="n">
        <v>25</v>
      </c>
      <c r="E8" t="inlineStr">
        <is>
          <t>dentro da faixa</t>
        </is>
      </c>
    </row>
    <row r="9">
      <c r="A9" t="inlineStr">
        <is>
          <t>LINKEDIN</t>
        </is>
      </c>
      <c r="B9" t="n">
        <v>44</v>
      </c>
      <c r="C9" t="n">
        <v>15</v>
      </c>
      <c r="D9" t="n">
        <v>25</v>
      </c>
      <c r="E9" t="inlineStr">
        <is>
          <t>ACIMA da faixa — todas validadas, mantidas por diversidade</t>
        </is>
      </c>
    </row>
    <row r="10">
      <c r="A10" t="inlineStr">
        <is>
          <t>ORGANIZACAO</t>
        </is>
      </c>
      <c r="B10" t="n">
        <v>78</v>
      </c>
      <c r="C10" t="n">
        <v>40</v>
      </c>
      <c r="D10" t="n">
        <v>55</v>
      </c>
      <c r="E10" t="inlineStr">
        <is>
          <t>ACIMA da faixa — todas validadas, mantidas por diversidade</t>
        </is>
      </c>
    </row>
    <row r="11">
      <c r="A11" t="inlineStr">
        <is>
          <t>OUTRO</t>
        </is>
      </c>
      <c r="B11" t="n">
        <v>0</v>
      </c>
      <c r="C11" t="n">
        <v>0</v>
      </c>
      <c r="D11" t="n">
        <v>10</v>
      </c>
      <c r="E11" t="inlineStr">
        <is>
          <t>vazio de proposito: OUTRO nao e' deposito</t>
        </is>
      </c>
    </row>
    <row r="12">
      <c r="A12" t="inlineStr">
        <is>
          <t>YOUTUBE</t>
        </is>
      </c>
      <c r="B12" t="n">
        <v>60</v>
      </c>
      <c r="C12" t="n">
        <v>15</v>
      </c>
      <c r="D12" t="n">
        <v>25</v>
      </c>
      <c r="E12" t="inlineStr">
        <is>
          <t>ACIMA da faixa — todas validadas, mantidas por diversidade</t>
        </is>
      </c>
    </row>
    <row r="13">
      <c r="A13" t="inlineStr">
        <is>
          <t>TOTAL</t>
        </is>
      </c>
      <c r="B13" t="n">
        <v>381</v>
      </c>
      <c r="C13" t="inlineStr"/>
      <c r="D13" t="inlineStr"/>
      <c r="E13" t="inlineStr"/>
    </row>
    <row r="15">
      <c r="A15">
        <f>= COBERTURA T1-T12 ==</f>
        <v/>
      </c>
      <c r="B15" t="inlineStr"/>
      <c r="C15" t="inlineStr"/>
      <c r="D15" t="inlineStr"/>
      <c r="E15" t="inlineStr"/>
    </row>
    <row r="16">
      <c r="A16" t="inlineStr">
        <is>
          <t>TERRITORIO</t>
        </is>
      </c>
      <c r="B16" t="inlineStr">
        <is>
          <t>NOME</t>
        </is>
      </c>
      <c r="C16" t="inlineStr">
        <is>
          <t>FONTES_PASS</t>
        </is>
      </c>
      <c r="D16" t="inlineStr"/>
      <c r="E16" t="inlineStr"/>
    </row>
    <row r="17">
      <c r="A17" t="inlineStr">
        <is>
          <t>T1</t>
        </is>
      </c>
      <c r="B17" t="inlineStr">
        <is>
          <t>cultura e producao</t>
        </is>
      </c>
      <c r="C17" t="n">
        <v>173</v>
      </c>
      <c r="D17" t="inlineStr"/>
      <c r="E17" t="inlineStr"/>
    </row>
    <row r="18">
      <c r="A18" t="inlineStr">
        <is>
          <t>T2</t>
        </is>
      </c>
      <c r="B18" t="inlineStr">
        <is>
          <t>clima/acqua/suolo</t>
        </is>
      </c>
      <c r="C18" t="n">
        <v>61</v>
      </c>
      <c r="D18" t="inlineStr"/>
      <c r="E18" t="inlineStr"/>
    </row>
    <row r="19">
      <c r="A19" t="inlineStr">
        <is>
          <t>T3</t>
        </is>
      </c>
      <c r="B19" t="inlineStr">
        <is>
          <t>praga, doenca e infestanti</t>
        </is>
      </c>
      <c r="C19" t="n">
        <v>64</v>
      </c>
      <c r="D19" t="inlineStr"/>
      <c r="E19" t="inlineStr"/>
    </row>
    <row r="20">
      <c r="A20" t="inlineStr">
        <is>
          <t>T4</t>
        </is>
      </c>
      <c r="B20" t="inlineStr">
        <is>
          <t>regulatorio</t>
        </is>
      </c>
      <c r="C20" t="n">
        <v>31</v>
      </c>
      <c r="D20" t="inlineStr"/>
      <c r="E20" t="inlineStr"/>
    </row>
    <row r="21">
      <c r="A21" t="inlineStr">
        <is>
          <t>T5</t>
        </is>
      </c>
      <c r="B21" t="inlineStr">
        <is>
          <t>ciencia</t>
        </is>
      </c>
      <c r="C21" t="n">
        <v>112</v>
      </c>
      <c r="D21" t="inlineStr"/>
      <c r="E21" t="inlineStr"/>
    </row>
    <row r="22">
      <c r="A22" t="inlineStr">
        <is>
          <t>T6</t>
        </is>
      </c>
      <c r="B22" t="inlineStr">
        <is>
          <t>pesquisadores</t>
        </is>
      </c>
      <c r="C22" t="n">
        <v>73</v>
      </c>
      <c r="D22" t="inlineStr"/>
      <c r="E22" t="inlineStr"/>
    </row>
    <row r="23">
      <c r="A23" t="inlineStr">
        <is>
          <t>T7</t>
        </is>
      </c>
      <c r="B23" t="inlineStr">
        <is>
          <t>rede tecnica</t>
        </is>
      </c>
      <c r="C23" t="n">
        <v>50</v>
      </c>
      <c r="D23" t="inlineStr"/>
      <c r="E23" t="inlineStr"/>
    </row>
    <row r="24">
      <c r="A24" t="inlineStr">
        <is>
          <t>T8</t>
        </is>
      </c>
      <c r="B24" t="inlineStr">
        <is>
          <t>agricultores e influenciadores</t>
        </is>
      </c>
      <c r="C24" t="n">
        <v>7</v>
      </c>
      <c r="D24" t="inlineStr"/>
      <c r="E24" t="inlineStr"/>
    </row>
    <row r="25">
      <c r="A25" t="inlineStr">
        <is>
          <t>T9</t>
        </is>
      </c>
      <c r="B25" t="inlineStr">
        <is>
          <t>concorrentes</t>
        </is>
      </c>
      <c r="C25" t="n">
        <v>21</v>
      </c>
      <c r="D25" t="inlineStr"/>
      <c r="E25" t="inlineStr"/>
    </row>
    <row r="26">
      <c r="A26" t="inlineStr">
        <is>
          <t>T10</t>
        </is>
      </c>
      <c r="B26" t="inlineStr">
        <is>
          <t>mercado e industria</t>
        </is>
      </c>
      <c r="C26" t="n">
        <v>137</v>
      </c>
      <c r="D26" t="inlineStr"/>
      <c r="E26" t="inlineStr"/>
    </row>
    <row r="27">
      <c r="A27" t="inlineStr">
        <is>
          <t>T11</t>
        </is>
      </c>
      <c r="B27" t="inlineStr">
        <is>
          <t>eventos</t>
        </is>
      </c>
      <c r="C27" t="n">
        <v>29</v>
      </c>
      <c r="D27" t="inlineStr"/>
      <c r="E27" t="inlineStr"/>
    </row>
    <row r="28">
      <c r="A28" t="inlineStr">
        <is>
          <t>T12</t>
        </is>
      </c>
      <c r="B28" t="inlineStr">
        <is>
          <t>politica e ambiente agricola</t>
        </is>
      </c>
      <c r="C28" t="n">
        <v>85</v>
      </c>
      <c r="D28" t="inlineStr"/>
      <c r="E28" t="inlineStr"/>
    </row>
    <row r="30">
      <c r="A30">
        <f>= COBERTURA GEOGRAFICA (20 regioes) ==</f>
        <v/>
      </c>
      <c r="B30" t="inlineStr"/>
      <c r="C30" t="inlineStr"/>
      <c r="D30" t="inlineStr"/>
      <c r="E30" t="inlineStr"/>
    </row>
    <row r="31">
      <c r="A31" t="inlineStr">
        <is>
          <t>REGIAO</t>
        </is>
      </c>
      <c r="B31" t="inlineStr">
        <is>
          <t>FONTES_PASS</t>
        </is>
      </c>
      <c r="C31" t="inlineStr"/>
      <c r="D31" t="inlineStr"/>
      <c r="E31" t="inlineStr"/>
    </row>
    <row r="32">
      <c r="A32" t="inlineStr">
        <is>
          <t>ABRUZZO</t>
        </is>
      </c>
      <c r="B32" t="n">
        <v>11</v>
      </c>
      <c r="C32" t="inlineStr"/>
      <c r="D32" t="inlineStr"/>
      <c r="E32" t="inlineStr"/>
    </row>
    <row r="33">
      <c r="A33" t="inlineStr">
        <is>
          <t>BASILICATA</t>
        </is>
      </c>
      <c r="B33" t="n">
        <v>1</v>
      </c>
      <c r="C33" t="inlineStr"/>
      <c r="D33" t="inlineStr"/>
      <c r="E33" t="inlineStr"/>
    </row>
    <row r="34">
      <c r="A34" t="inlineStr">
        <is>
          <t>CALABRIA</t>
        </is>
      </c>
      <c r="B34" t="n">
        <v>6</v>
      </c>
      <c r="C34" t="inlineStr"/>
      <c r="D34" t="inlineStr"/>
      <c r="E34" t="inlineStr"/>
    </row>
    <row r="35">
      <c r="A35" t="inlineStr">
        <is>
          <t>CAMPANIA</t>
        </is>
      </c>
      <c r="B35" t="n">
        <v>6</v>
      </c>
      <c r="C35" t="inlineStr"/>
      <c r="D35" t="inlineStr"/>
      <c r="E35" t="inlineStr"/>
    </row>
    <row r="36">
      <c r="A36" t="inlineStr">
        <is>
          <t>EMILIA-ROMAGNA</t>
        </is>
      </c>
      <c r="B36" t="n">
        <v>63</v>
      </c>
      <c r="C36" t="inlineStr"/>
      <c r="D36" t="inlineStr"/>
      <c r="E36" t="inlineStr"/>
    </row>
    <row r="37">
      <c r="A37" t="inlineStr">
        <is>
          <t>FRIULI-VENEZIA GIULIA</t>
        </is>
      </c>
      <c r="B37" t="n">
        <v>4</v>
      </c>
      <c r="C37" t="inlineStr"/>
      <c r="D37" t="inlineStr"/>
      <c r="E37" t="inlineStr"/>
    </row>
    <row r="38">
      <c r="A38" t="inlineStr">
        <is>
          <t>LAZIO</t>
        </is>
      </c>
      <c r="B38" t="n">
        <v>13</v>
      </c>
      <c r="C38" t="inlineStr"/>
      <c r="D38" t="inlineStr"/>
      <c r="E38" t="inlineStr"/>
    </row>
    <row r="39">
      <c r="A39" t="inlineStr">
        <is>
          <t>LIGURIA</t>
        </is>
      </c>
      <c r="B39" t="n">
        <v>7</v>
      </c>
      <c r="C39" t="inlineStr"/>
      <c r="D39" t="inlineStr"/>
      <c r="E39" t="inlineStr"/>
    </row>
    <row r="40">
      <c r="A40" t="inlineStr">
        <is>
          <t>LOMBARDIA</t>
        </is>
      </c>
      <c r="B40" t="n">
        <v>32</v>
      </c>
      <c r="C40" t="inlineStr"/>
      <c r="D40" t="inlineStr"/>
      <c r="E40" t="inlineStr"/>
    </row>
    <row r="41">
      <c r="A41" t="inlineStr">
        <is>
          <t>MARCHE</t>
        </is>
      </c>
      <c r="B41" t="n">
        <v>9</v>
      </c>
      <c r="C41" t="inlineStr"/>
      <c r="D41" t="inlineStr"/>
      <c r="E41" t="inlineStr"/>
    </row>
    <row r="42">
      <c r="A42" t="inlineStr">
        <is>
          <t>MOLISE</t>
        </is>
      </c>
      <c r="B42" t="n">
        <v>4</v>
      </c>
      <c r="C42" t="inlineStr"/>
      <c r="D42" t="inlineStr"/>
      <c r="E42" t="inlineStr"/>
    </row>
    <row r="43">
      <c r="A43" t="inlineStr">
        <is>
          <t>PIEMONTE</t>
        </is>
      </c>
      <c r="B43" t="n">
        <v>16</v>
      </c>
      <c r="C43" t="inlineStr"/>
      <c r="D43" t="inlineStr"/>
      <c r="E43" t="inlineStr"/>
    </row>
    <row r="44">
      <c r="A44" t="inlineStr">
        <is>
          <t>PUGLIA</t>
        </is>
      </c>
      <c r="B44" t="n">
        <v>10</v>
      </c>
      <c r="C44" t="inlineStr"/>
      <c r="D44" t="inlineStr"/>
      <c r="E44" t="inlineStr"/>
    </row>
    <row r="45">
      <c r="A45" t="inlineStr">
        <is>
          <t>SARDEGNA</t>
        </is>
      </c>
      <c r="B45" t="n">
        <v>7</v>
      </c>
      <c r="C45" t="inlineStr"/>
      <c r="D45" t="inlineStr"/>
      <c r="E45" t="inlineStr"/>
    </row>
    <row r="46">
      <c r="A46" t="inlineStr">
        <is>
          <t>SICILIA</t>
        </is>
      </c>
      <c r="B46" t="n">
        <v>11</v>
      </c>
      <c r="C46" t="inlineStr"/>
      <c r="D46" t="inlineStr"/>
      <c r="E46" t="inlineStr"/>
    </row>
    <row r="47">
      <c r="A47" t="inlineStr">
        <is>
          <t>TOSCANA</t>
        </is>
      </c>
      <c r="B47" t="n">
        <v>31</v>
      </c>
      <c r="C47" t="inlineStr"/>
      <c r="D47" t="inlineStr"/>
      <c r="E47" t="inlineStr"/>
    </row>
    <row r="48">
      <c r="A48" t="inlineStr">
        <is>
          <t>TRENTINO-ALTO ADIGE</t>
        </is>
      </c>
      <c r="B48" t="n">
        <v>18</v>
      </c>
      <c r="C48" t="inlineStr"/>
      <c r="D48" t="inlineStr"/>
      <c r="E48" t="inlineStr"/>
    </row>
    <row r="49">
      <c r="A49" t="inlineStr">
        <is>
          <t>UMBRIA</t>
        </is>
      </c>
      <c r="B49" t="n">
        <v>7</v>
      </c>
      <c r="C49" t="inlineStr"/>
      <c r="D49" t="inlineStr"/>
      <c r="E49" t="inlineStr"/>
    </row>
    <row r="50">
      <c r="A50" t="inlineStr">
        <is>
          <t>VALLE D'AOSTA</t>
        </is>
      </c>
      <c r="B50" t="n">
        <v>7</v>
      </c>
      <c r="C50" t="inlineStr"/>
      <c r="D50" t="inlineStr"/>
      <c r="E50" t="inlineStr"/>
    </row>
    <row r="51">
      <c r="A51" t="inlineStr">
        <is>
          <t>VENETO</t>
        </is>
      </c>
      <c r="B51" t="n">
        <v>26</v>
      </c>
      <c r="C51" t="inlineStr"/>
      <c r="D51" t="inlineStr"/>
      <c r="E51" t="inlineStr"/>
    </row>
    <row r="52">
      <c r="A52" t="inlineStr">
        <is>
          <t>NAZIONALE (sem recorte regional)</t>
        </is>
      </c>
      <c r="B52" t="n">
        <v>92</v>
      </c>
      <c r="C52" t="inlineStr"/>
      <c r="D52" t="inlineStr"/>
      <c r="E52" t="inlineStr"/>
    </row>
    <row r="54">
      <c r="A54">
        <f>= ENTITY_KIND ==</f>
        <v/>
      </c>
      <c r="B54" t="inlineStr"/>
      <c r="C54" t="inlineStr"/>
      <c r="D54" t="inlineStr"/>
      <c r="E54" t="inlineStr"/>
    </row>
    <row r="55">
      <c r="A55" t="inlineStr">
        <is>
          <t>ORG</t>
        </is>
      </c>
      <c r="B55" t="n">
        <v>343</v>
      </c>
      <c r="C55" t="inlineStr"/>
      <c r="D55" t="inlineStr"/>
      <c r="E55" t="inlineStr"/>
    </row>
    <row r="56">
      <c r="A56" t="inlineStr">
        <is>
          <t>PERSON</t>
        </is>
      </c>
      <c r="B56" t="n">
        <v>38</v>
      </c>
      <c r="C56" t="inlineStr"/>
      <c r="D56" t="inlineStr"/>
      <c r="E56" t="inlineStr"/>
    </row>
    <row r="58">
      <c r="A58">
        <f>= PLATAFORMA ==</f>
        <v/>
      </c>
      <c r="B58" t="inlineStr"/>
      <c r="C58" t="inlineStr"/>
      <c r="D58" t="inlineStr"/>
      <c r="E58" t="inlineStr"/>
    </row>
    <row r="59">
      <c r="A59" t="inlineStr">
        <is>
          <t>youtube.com</t>
        </is>
      </c>
      <c r="B59" t="n">
        <v>60</v>
      </c>
      <c r="C59" t="inlineStr"/>
      <c r="D59" t="inlineStr"/>
      <c r="E59" t="inlineStr"/>
    </row>
    <row r="60">
      <c r="A60" t="inlineStr">
        <is>
          <t>linkedin.com</t>
        </is>
      </c>
      <c r="B60" t="n">
        <v>44</v>
      </c>
      <c r="C60" t="inlineStr"/>
      <c r="D60" t="inlineStr"/>
      <c r="E60" t="inlineStr"/>
    </row>
    <row r="61">
      <c r="A61" t="inlineStr">
        <is>
          <t>orcid.org</t>
        </is>
      </c>
      <c r="B61" t="n">
        <v>36</v>
      </c>
      <c r="C61" t="inlineStr"/>
      <c r="D61" t="inlineStr"/>
      <c r="E61" t="inlineStr"/>
    </row>
    <row r="62">
      <c r="A62" t="inlineStr">
        <is>
          <t>instagram.com</t>
        </is>
      </c>
      <c r="B62" t="n">
        <v>25</v>
      </c>
      <c r="C62" t="inlineStr"/>
      <c r="D62" t="inlineStr"/>
      <c r="E62" t="inlineStr"/>
    </row>
    <row r="63">
      <c r="A63" t="inlineStr">
        <is>
          <t>facebook.com</t>
        </is>
      </c>
      <c r="B63" t="n">
        <v>20</v>
      </c>
      <c r="C63" t="inlineStr"/>
      <c r="D63" t="inlineStr"/>
      <c r="E63" t="inlineStr"/>
    </row>
    <row r="64">
      <c r="A64" t="inlineStr">
        <is>
          <t>ersaf.lombardia.it</t>
        </is>
      </c>
      <c r="B64" t="n">
        <v>2</v>
      </c>
      <c r="C64" t="inlineStr"/>
      <c r="D64" t="inlineStr"/>
      <c r="E64" t="inlineStr"/>
    </row>
    <row r="65">
      <c r="A65" t="inlineStr">
        <is>
          <t>sardegnaagricoltura.it</t>
        </is>
      </c>
      <c r="B65" t="n">
        <v>2</v>
      </c>
      <c r="C65" t="inlineStr"/>
      <c r="D65" t="inlineStr"/>
      <c r="E65" t="inlineStr"/>
    </row>
    <row r="66">
      <c r="A66" t="inlineStr">
        <is>
          <t>regione.toscana.it</t>
        </is>
      </c>
      <c r="B66" t="n">
        <v>2</v>
      </c>
      <c r="C66" t="inlineStr"/>
      <c r="D66" t="inlineStr"/>
      <c r="E66" t="inlineStr"/>
    </row>
    <row r="67">
      <c r="A67" t="inlineStr">
        <is>
          <t>regione.umbria.it</t>
        </is>
      </c>
      <c r="B67" t="n">
        <v>2</v>
      </c>
      <c r="C67" t="inlineStr"/>
      <c r="D67" t="inlineStr"/>
      <c r="E67" t="inlineStr"/>
    </row>
    <row r="68">
      <c r="A68" t="inlineStr">
        <is>
          <t>regione.vda.it</t>
        </is>
      </c>
      <c r="B68" t="n">
        <v>2</v>
      </c>
      <c r="C68" t="inlineStr"/>
      <c r="D68" t="inlineStr"/>
      <c r="E68" t="inlineStr"/>
    </row>
    <row r="69">
      <c r="A69" t="inlineStr">
        <is>
          <t>artaabruzzo.it</t>
        </is>
      </c>
      <c r="B69" t="n">
        <v>1</v>
      </c>
      <c r="C69" t="inlineStr"/>
      <c r="D69" t="inlineStr"/>
      <c r="E69" t="inlineStr"/>
    </row>
    <row r="70">
      <c r="A70" t="inlineStr">
        <is>
          <t>regione.abruzzo.it</t>
        </is>
      </c>
      <c r="B70" t="n">
        <v>1</v>
      </c>
      <c r="C70" t="inlineStr"/>
      <c r="D70" t="inlineStr"/>
      <c r="E70" t="inlineStr"/>
    </row>
    <row r="71">
      <c r="A71" t="inlineStr">
        <is>
          <t>arpab.it</t>
        </is>
      </c>
      <c r="B71" t="n">
        <v>1</v>
      </c>
      <c r="C71" t="inlineStr"/>
      <c r="D71" t="inlineStr"/>
      <c r="E71" t="inlineStr"/>
    </row>
    <row r="72">
      <c r="A72" t="inlineStr">
        <is>
          <t>arpacal.it</t>
        </is>
      </c>
      <c r="B72" t="n">
        <v>1</v>
      </c>
      <c r="C72" t="inlineStr"/>
      <c r="D72" t="inlineStr"/>
      <c r="E72" t="inlineStr"/>
    </row>
    <row r="73">
      <c r="A73" t="inlineStr">
        <is>
          <t>arsac.calabria.it</t>
        </is>
      </c>
      <c r="B73" t="n">
        <v>1</v>
      </c>
      <c r="C73" t="inlineStr"/>
      <c r="D73" t="inlineStr"/>
      <c r="E73" t="inlineStr"/>
    </row>
    <row r="74">
      <c r="A74" t="inlineStr">
        <is>
          <t>regione.calabria.it</t>
        </is>
      </c>
      <c r="B74" t="n">
        <v>1</v>
      </c>
      <c r="C74" t="inlineStr"/>
      <c r="D74" t="inlineStr"/>
      <c r="E74" t="inlineStr"/>
    </row>
    <row r="75">
      <c r="A75" t="inlineStr">
        <is>
          <t>arpacampania.it</t>
        </is>
      </c>
      <c r="B75" t="n">
        <v>1</v>
      </c>
      <c r="C75" t="inlineStr"/>
      <c r="D75" t="inlineStr"/>
      <c r="E75" t="inlineStr"/>
    </row>
    <row r="76">
      <c r="A76" t="inlineStr">
        <is>
          <t>bo.camcom.gov.it</t>
        </is>
      </c>
      <c r="B76" t="n">
        <v>1</v>
      </c>
      <c r="C76" t="inlineStr"/>
      <c r="D76" t="inlineStr"/>
      <c r="E76" t="inlineStr"/>
    </row>
    <row r="78">
      <c r="A78">
        <f>= DONOS COM MAIS DE UM CANAL (owner != source != channel) ==</f>
        <v/>
      </c>
      <c r="B78" t="inlineStr"/>
      <c r="C78" t="inlineStr"/>
      <c r="D78" t="inlineStr"/>
      <c r="E78" t="inlineStr"/>
    </row>
    <row r="79">
      <c r="A79" t="inlineStr">
        <is>
          <t>CNR</t>
        </is>
      </c>
      <c r="B79" t="n">
        <v>8</v>
      </c>
      <c r="C79" t="inlineStr"/>
      <c r="D79" t="inlineStr"/>
      <c r="E79" t="inlineStr"/>
    </row>
    <row r="80">
      <c r="A80" t="inlineStr">
        <is>
          <t>Provincia autonoma di Trento</t>
        </is>
      </c>
      <c r="B80" t="n">
        <v>6</v>
      </c>
      <c r="C80" t="inlineStr"/>
      <c r="D80" t="inlineStr"/>
      <c r="E80" t="inlineStr"/>
    </row>
    <row r="81">
      <c r="A81" t="inlineStr">
        <is>
          <t>Confagricoltura</t>
        </is>
      </c>
      <c r="B81" t="n">
        <v>6</v>
      </c>
      <c r="C81" t="inlineStr"/>
      <c r="D81" t="inlineStr"/>
      <c r="E81" t="inlineStr"/>
    </row>
    <row r="82">
      <c r="A82" t="inlineStr">
        <is>
          <t>FederUnacoma</t>
        </is>
      </c>
      <c r="B82" t="n">
        <v>6</v>
      </c>
      <c r="C82" t="inlineStr"/>
      <c r="D82" t="inlineStr"/>
      <c r="E82" t="inlineStr"/>
    </row>
    <row r="83">
      <c r="A83" t="inlineStr">
        <is>
          <t>Coldiretti</t>
        </is>
      </c>
      <c r="B83" t="n">
        <v>6</v>
      </c>
      <c r="C83" t="inlineStr"/>
      <c r="D83" t="inlineStr"/>
      <c r="E83" t="inlineStr"/>
    </row>
    <row r="84">
      <c r="A84" t="inlineStr">
        <is>
          <t>Universita di Bologna</t>
        </is>
      </c>
      <c r="B84" t="n">
        <v>5</v>
      </c>
      <c r="C84" t="inlineStr"/>
      <c r="D84" t="inlineStr"/>
      <c r="E84" t="inlineStr"/>
    </row>
    <row r="85">
      <c r="A85" t="inlineStr">
        <is>
          <t>CRPV</t>
        </is>
      </c>
      <c r="B85" t="n">
        <v>5</v>
      </c>
      <c r="C85" t="inlineStr"/>
      <c r="D85" t="inlineStr"/>
      <c r="E85" t="inlineStr"/>
    </row>
    <row r="86">
      <c r="A86" t="inlineStr">
        <is>
          <t>Cifo</t>
        </is>
      </c>
      <c r="B86" t="n">
        <v>5</v>
      </c>
      <c r="C86" t="inlineStr"/>
      <c r="D86" t="inlineStr"/>
      <c r="E86" t="inlineStr"/>
    </row>
    <row r="87">
      <c r="A87" t="inlineStr">
        <is>
          <t>Consorzio Tutela Vini Valpolicella</t>
        </is>
      </c>
      <c r="B87" t="n">
        <v>5</v>
      </c>
      <c r="C87" t="inlineStr"/>
      <c r="D87" t="inlineStr"/>
      <c r="E87" t="inlineStr"/>
    </row>
    <row r="88">
      <c r="A88" t="inlineStr">
        <is>
          <t>Regione Calabria</t>
        </is>
      </c>
      <c r="B88" t="n">
        <v>4</v>
      </c>
      <c r="C88" t="inlineStr"/>
      <c r="D88" t="inlineStr"/>
      <c r="E88" t="inlineStr"/>
    </row>
    <row r="89">
      <c r="A89" t="inlineStr">
        <is>
          <t>Image Line</t>
        </is>
      </c>
      <c r="B89" t="n">
        <v>4</v>
      </c>
      <c r="C89" t="inlineStr"/>
      <c r="D89" t="inlineStr"/>
      <c r="E89" t="inlineStr"/>
    </row>
    <row r="90">
      <c r="A90" t="inlineStr">
        <is>
          <t>ARPA Lazio</t>
        </is>
      </c>
      <c r="B90" t="n">
        <v>4</v>
      </c>
      <c r="C90" t="inlineStr"/>
      <c r="D90" t="inlineStr"/>
      <c r="E90" t="inlineStr"/>
    </row>
    <row r="91">
      <c r="A91" t="inlineStr">
        <is>
          <t>Regione Lazio</t>
        </is>
      </c>
      <c r="B91" t="n">
        <v>4</v>
      </c>
      <c r="C91" t="inlineStr"/>
      <c r="D91" t="inlineStr"/>
      <c r="E91" t="inlineStr"/>
    </row>
    <row r="92">
      <c r="A92" t="inlineStr">
        <is>
          <t>ARPAL</t>
        </is>
      </c>
      <c r="B92" t="n">
        <v>4</v>
      </c>
      <c r="C92" t="inlineStr"/>
      <c r="D92" t="inlineStr"/>
      <c r="E92" t="inlineStr"/>
    </row>
    <row r="93">
      <c r="A93" t="inlineStr">
        <is>
          <t>ARPA Lombardia</t>
        </is>
      </c>
      <c r="B93" t="n">
        <v>4</v>
      </c>
      <c r="C93" t="inlineStr"/>
      <c r="D93" t="inlineStr"/>
      <c r="E93" t="inlineStr"/>
    </row>
    <row r="95">
      <c r="A95">
        <f>= MACROTEMA (familia de fonte) ==</f>
        <v/>
      </c>
      <c r="B95" t="inlineStr"/>
      <c r="C95" t="inlineStr"/>
      <c r="D95" t="inlineStr"/>
      <c r="E95" t="inlineStr"/>
    </row>
    <row r="96">
      <c r="A96" t="inlineStr">
        <is>
          <t>social_youtube</t>
        </is>
      </c>
      <c r="B96" t="n">
        <v>55</v>
      </c>
      <c r="C96" t="inlineStr"/>
      <c r="D96" t="inlineStr"/>
      <c r="E96" t="inlineStr"/>
    </row>
    <row r="97">
      <c r="A97" t="inlineStr">
        <is>
          <t>social_linkedin</t>
        </is>
      </c>
      <c r="B97" t="n">
        <v>44</v>
      </c>
      <c r="C97" t="inlineStr"/>
      <c r="D97" t="inlineStr"/>
      <c r="E97" t="inlineStr"/>
    </row>
    <row r="98">
      <c r="A98" t="inlineStr">
        <is>
          <t>pesquisador_orcid</t>
        </is>
      </c>
      <c r="B98" t="n">
        <v>36</v>
      </c>
      <c r="C98" t="inlineStr"/>
      <c r="D98" t="inlineStr"/>
      <c r="E98" t="inlineStr"/>
    </row>
    <row r="99">
      <c r="A99" t="inlineStr">
        <is>
          <t>social_instagram</t>
        </is>
      </c>
      <c r="B99" t="n">
        <v>25</v>
      </c>
      <c r="C99" t="inlineStr"/>
      <c r="D99" t="inlineStr"/>
      <c r="E99" t="inlineStr"/>
    </row>
    <row r="100">
      <c r="A100" t="inlineStr">
        <is>
          <t>social_facebook</t>
        </is>
      </c>
      <c r="B100" t="n">
        <v>20</v>
      </c>
      <c r="C100" t="inlineStr"/>
      <c r="D100" t="inlineStr"/>
      <c r="E100" t="inlineStr"/>
    </row>
    <row r="101">
      <c r="A101" t="inlineStr">
        <is>
          <t>universita</t>
        </is>
      </c>
      <c r="B101" t="n">
        <v>18</v>
      </c>
      <c r="C101" t="inlineStr"/>
      <c r="D101" t="inlineStr"/>
      <c r="E101" t="inlineStr"/>
    </row>
    <row r="102">
      <c r="A102" t="inlineStr">
        <is>
          <t>arpa</t>
        </is>
      </c>
      <c r="B102" t="n">
        <v>17</v>
      </c>
      <c r="C102" t="inlineStr"/>
      <c r="D102" t="inlineStr"/>
      <c r="E102" t="inlineStr"/>
    </row>
    <row r="103">
      <c r="A103" t="inlineStr">
        <is>
          <t>regione_agricoltura</t>
        </is>
      </c>
      <c r="B103" t="n">
        <v>15</v>
      </c>
      <c r="C103" t="inlineStr"/>
      <c r="D103" t="inlineStr"/>
      <c r="E103" t="inlineStr"/>
    </row>
    <row r="104">
      <c r="A104" t="inlineStr">
        <is>
          <t>imprensa_setorial</t>
        </is>
      </c>
      <c r="B104" t="n">
        <v>14</v>
      </c>
      <c r="C104" t="inlineStr"/>
      <c r="D104" t="inlineStr"/>
      <c r="E104" t="inlineStr"/>
    </row>
    <row r="105">
      <c r="A105" t="inlineStr">
        <is>
          <t>imprensa_tecnica</t>
        </is>
      </c>
      <c r="B105" t="n">
        <v>12</v>
      </c>
      <c r="C105" t="inlineStr"/>
      <c r="D105" t="inlineStr"/>
      <c r="E105" t="inlineStr"/>
    </row>
    <row r="106">
      <c r="A106" t="inlineStr">
        <is>
          <t>consorzio_tutela</t>
        </is>
      </c>
      <c r="B106" t="n">
        <v>11</v>
      </c>
      <c r="C106" t="inlineStr"/>
      <c r="D106" t="inlineStr"/>
      <c r="E106" t="inlineStr"/>
    </row>
    <row r="107">
      <c r="A107" t="inlineStr">
        <is>
          <t>organizzazione_agricola</t>
        </is>
      </c>
      <c r="B107" t="n">
        <v>11</v>
      </c>
      <c r="C107" t="inlineStr"/>
      <c r="D107" t="inlineStr"/>
      <c r="E107" t="inlineStr"/>
    </row>
    <row r="108">
      <c r="A108" t="inlineStr">
        <is>
          <t>concorrente</t>
        </is>
      </c>
      <c r="B108" t="n">
        <v>10</v>
      </c>
      <c r="C108" t="inlineStr"/>
      <c r="D108" t="inlineStr"/>
      <c r="E108" t="inlineStr"/>
    </row>
    <row r="109">
      <c r="A109" t="inlineStr">
        <is>
          <t>ente_ricerca</t>
        </is>
      </c>
      <c r="B109" t="n">
        <v>9</v>
      </c>
      <c r="C109" t="inlineStr"/>
      <c r="D109" t="inlineStr"/>
      <c r="E109" t="inlineStr"/>
    </row>
    <row r="110">
      <c r="A110" t="inlineStr">
        <is>
          <t>cooperativa</t>
        </is>
      </c>
      <c r="B110" t="n">
        <v>9</v>
      </c>
      <c r="C110" t="inlineStr"/>
      <c r="D110" t="inlineStr"/>
      <c r="E110" t="inlineStr"/>
    </row>
    <row r="111">
      <c r="A111" t="inlineStr">
        <is>
          <t>evento</t>
        </is>
      </c>
      <c r="B111" t="n">
        <v>9</v>
      </c>
      <c r="C111" t="inlineStr"/>
      <c r="D111" t="inlineStr"/>
      <c r="E111" t="inlineStr"/>
    </row>
    <row r="112">
      <c r="A112" t="inlineStr">
        <is>
          <t>societa_scientifica</t>
        </is>
      </c>
      <c r="B112" t="n">
        <v>7</v>
      </c>
      <c r="C112" t="inlineStr"/>
      <c r="D112" t="inlineStr"/>
      <c r="E112" t="inlineStr"/>
    </row>
    <row r="113">
      <c r="A113" t="inlineStr">
        <is>
          <t>agenzia_regionale</t>
        </is>
      </c>
      <c r="B113" t="n">
        <v>6</v>
      </c>
      <c r="C113" t="inlineStr"/>
      <c r="D113" t="inlineStr"/>
      <c r="E113" t="inlineStr"/>
    </row>
    <row r="114">
      <c r="A114" t="inlineStr">
        <is>
          <t>servizio_fitosanitario</t>
        </is>
      </c>
      <c r="B114" t="n">
        <v>6</v>
      </c>
      <c r="C114" t="inlineStr"/>
      <c r="D114" t="inlineStr"/>
      <c r="E114" t="inlineStr"/>
    </row>
    <row r="115">
      <c r="A115" t="inlineStr">
        <is>
          <t>istituto_cnr</t>
        </is>
      </c>
      <c r="B115" t="n">
        <v>5</v>
      </c>
      <c r="C115" t="inlineStr"/>
      <c r="D115" t="inlineStr"/>
      <c r="E115" t="inlineStr"/>
    </row>
    <row r="116">
      <c r="A116" t="inlineStr">
        <is>
          <t>repositorio</t>
        </is>
      </c>
      <c r="B116" t="n">
        <v>5</v>
      </c>
      <c r="C116" t="inlineStr"/>
      <c r="D116" t="inlineStr"/>
      <c r="E116" t="inlineStr"/>
    </row>
    <row r="117">
      <c r="A117" t="inlineStr">
        <is>
          <t>journal</t>
        </is>
      </c>
      <c r="B117" t="n">
        <v>4</v>
      </c>
      <c r="C117" t="inlineStr"/>
      <c r="D117" t="inlineStr"/>
      <c r="E117" t="inlineStr"/>
    </row>
    <row r="118">
      <c r="A118" t="inlineStr">
        <is>
          <t>creator</t>
        </is>
      </c>
      <c r="B118" t="n">
        <v>4</v>
      </c>
      <c r="C118" t="inlineStr"/>
      <c r="D118" t="inlineStr"/>
      <c r="E118" t="inlineStr"/>
    </row>
    <row r="119">
      <c r="A119" t="inlineStr">
        <is>
          <t>consorzio_bonifica</t>
        </is>
      </c>
      <c r="B119" t="n">
        <v>4</v>
      </c>
      <c r="C119" t="inlineStr"/>
      <c r="D119" t="inlineStr"/>
      <c r="E119" t="inlineStr"/>
    </row>
    <row r="120">
      <c r="A120" t="inlineStr">
        <is>
          <t>industria</t>
        </is>
      </c>
      <c r="B120" t="n">
        <v>4</v>
      </c>
      <c r="C120" t="inlineStr"/>
      <c r="D120" t="inlineStr"/>
      <c r="E120" t="inlineStr"/>
    </row>
    <row r="121">
      <c r="A121" t="inlineStr">
        <is>
          <t>agenzia_nazionale</t>
        </is>
      </c>
      <c r="B121" t="n">
        <v>3</v>
      </c>
      <c r="C121" t="inlineStr"/>
      <c r="D121" t="inlineStr"/>
      <c r="E121" t="inlineStr"/>
    </row>
    <row r="122">
      <c r="A122" t="inlineStr">
        <is>
          <t>filiera</t>
        </is>
      </c>
      <c r="B122" t="n">
        <v>3</v>
      </c>
      <c r="C122" t="inlineStr"/>
      <c r="D122" t="inlineStr"/>
      <c r="E122" t="inlineStr"/>
    </row>
    <row r="123">
      <c r="A123" t="inlineStr">
        <is>
          <t>op_aop</t>
        </is>
      </c>
      <c r="B123" t="n">
        <v>3</v>
      </c>
      <c r="C123" t="inlineStr"/>
      <c r="D123" t="inlineStr"/>
      <c r="E123" t="inlineStr"/>
    </row>
    <row r="124">
      <c r="A124" t="inlineStr">
        <is>
          <t>mercado</t>
        </is>
      </c>
      <c r="B124" t="n">
        <v>2</v>
      </c>
      <c r="C124" t="inlineStr"/>
      <c r="D124" t="inlineStr"/>
      <c r="E124" t="inlineStr"/>
    </row>
    <row r="125">
      <c r="A125" t="inlineStr">
        <is>
          <t>base_dados</t>
        </is>
      </c>
      <c r="B125" t="n">
        <v>2</v>
      </c>
      <c r="C125" t="inlineStr"/>
      <c r="D125" t="inlineStr"/>
      <c r="E125" t="inlineStr"/>
    </row>
    <row r="126">
      <c r="A126" t="inlineStr">
        <is>
          <t>imprensa_generalista</t>
        </is>
      </c>
      <c r="B126" t="n">
        <v>2</v>
      </c>
      <c r="C126" t="inlineStr"/>
      <c r="D126" t="inlineStr"/>
      <c r="E126" t="inlineStr"/>
    </row>
    <row r="127">
      <c r="A127" t="inlineStr">
        <is>
          <t>ente_filiera</t>
        </is>
      </c>
      <c r="B127" t="n">
        <v>1</v>
      </c>
      <c r="C127" t="inlineStr"/>
      <c r="D127" t="inlineStr"/>
      <c r="E127" t="inlineStr"/>
    </row>
    <row r="128">
      <c r="A128" t="inlineStr">
        <is>
          <t>politica_agricola</t>
        </is>
      </c>
      <c r="B128" t="n">
        <v>1</v>
      </c>
      <c r="C128" t="inlineStr"/>
      <c r="D128" t="inlineStr"/>
      <c r="E128" t="inlineStr"/>
    </row>
    <row r="129">
      <c r="A129" t="inlineStr">
        <is>
          <t>centro_ricerca</t>
        </is>
      </c>
      <c r="B129" t="n">
        <v>1</v>
      </c>
      <c r="C129" t="inlineStr"/>
      <c r="D129" t="inlineStr"/>
      <c r="E129" t="inlineStr"/>
    </row>
    <row r="130">
      <c r="A130" t="inlineStr">
        <is>
          <t>ricerca_economica</t>
        </is>
      </c>
      <c r="B130" t="n">
        <v>1</v>
      </c>
      <c r="C130" t="inlineStr"/>
      <c r="D130" t="inlineStr"/>
      <c r="E130" t="inlineStr"/>
    </row>
    <row r="131">
      <c r="A131" t="inlineStr">
        <is>
          <t>ordine_professionale</t>
        </is>
      </c>
      <c r="B131" t="n">
        <v>1</v>
      </c>
      <c r="C131" t="inlineStr"/>
      <c r="D131" t="inlineStr"/>
      <c r="E131" t="inlineStr"/>
    </row>
    <row r="132">
      <c r="A132" t="inlineStr">
        <is>
          <t>consorzio_agrario</t>
        </is>
      </c>
      <c r="B132" t="n">
        <v>1</v>
      </c>
      <c r="C132" t="inlineStr"/>
      <c r="D132" t="inlineStr"/>
      <c r="E1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52" customWidth="1" min="3" max="3"/>
    <col width="15" customWidth="1" min="4" max="4"/>
    <col width="14" customWidth="1" min="5" max="5"/>
    <col width="21" customWidth="1" min="6" max="6"/>
    <col width="66" customWidth="1" min="7" max="7"/>
    <col width="30" customWidth="1" min="8" max="8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URL_TESTADA</t>
        </is>
      </c>
      <c r="D1" s="1" t="inlineStr">
        <is>
          <t>HTTP_STATUS</t>
        </is>
      </c>
      <c r="E1" s="1" t="inlineStr">
        <is>
          <t>FLAGS</t>
        </is>
      </c>
      <c r="F1" s="1" t="inlineStr">
        <is>
          <t>VALIDATION_RESULT</t>
        </is>
      </c>
      <c r="G1" s="1" t="inlineStr">
        <is>
          <t>MOTIVO</t>
        </is>
      </c>
      <c r="H1" s="1" t="inlineStr">
        <is>
          <t>ONDE_FOI_ACHADA</t>
        </is>
      </c>
    </row>
    <row r="2">
      <c r="A2" t="inlineStr">
        <is>
          <t>AGEA — Agenzia per le Erogazioni in Agricoltura</t>
        </is>
      </c>
      <c r="B2" t="inlineStr">
        <is>
          <t>BASE_OFICIAL</t>
        </is>
      </c>
      <c r="C2" t="inlineStr">
        <is>
          <t>https://www.agea.gov.it/</t>
        </is>
      </c>
      <c r="D2" t="n">
        <v>403</v>
      </c>
      <c r="E2" t="inlineStr">
        <is>
          <t>HTTP_403,THIN_BODY</t>
        </is>
      </c>
      <c r="F2" t="inlineStr">
        <is>
          <t>UNKNOWN</t>
        </is>
      </c>
      <c r="G2" t="inlineStr">
        <is>
          <t>bloqueio/inconclusivo no datacenter (status=403, flags=HTTP_403,THIN_BODY)</t>
        </is>
      </c>
      <c r="H2" t="inlineStr">
        <is>
          <t>seed_dominio</t>
        </is>
      </c>
    </row>
    <row r="3">
      <c r="A3" t="inlineStr">
        <is>
          <t>ENEA — Agenzia nazionale efficienza energetica e sviluppo economico sostenibile</t>
        </is>
      </c>
      <c r="B3" t="inlineStr">
        <is>
          <t>ORGANIZACAO</t>
        </is>
      </c>
      <c r="C3" t="inlineStr">
        <is>
          <t>https://www.enea.it/</t>
        </is>
      </c>
      <c r="E3" t="inlineStr">
        <is>
          <t>TLS_ERROR</t>
        </is>
      </c>
      <c r="F3" t="inlineStr">
        <is>
          <t>REJECT</t>
        </is>
      </c>
      <c r="G3" t="inlineStr">
        <is>
          <t>handshake TLS falha mesmo com a cadeia completada por AIA</t>
        </is>
      </c>
      <c r="H3" t="inlineStr">
        <is>
          <t>seed_dominio</t>
        </is>
      </c>
    </row>
    <row r="4">
      <c r="A4" t="inlineStr">
        <is>
          <t>Copagri</t>
        </is>
      </c>
      <c r="B4" t="inlineStr">
        <is>
          <t>ORGANIZACAO</t>
        </is>
      </c>
      <c r="C4" t="inlineStr">
        <is>
          <t>https://www.copagri.it/</t>
        </is>
      </c>
      <c r="E4" t="inlineStr">
        <is>
          <t>TLS_ERROR</t>
        </is>
      </c>
      <c r="F4" t="inlineStr">
        <is>
          <t>REJECT</t>
        </is>
      </c>
      <c r="G4" t="inlineStr">
        <is>
          <t>handshake TLS falha mesmo com a cadeia completada por AIA</t>
        </is>
      </c>
      <c r="H4" t="inlineStr">
        <is>
          <t>seed_dominio</t>
        </is>
      </c>
    </row>
    <row r="5">
      <c r="A5" t="inlineStr">
        <is>
          <t>Compag — Federazione Nazionale Commercianti Prodotti per l'Agricoltura</t>
        </is>
      </c>
      <c r="B5" t="inlineStr">
        <is>
          <t>ORGANIZACAO</t>
        </is>
      </c>
      <c r="C5" t="inlineStr">
        <is>
          <t>https://www.compag.org/</t>
        </is>
      </c>
      <c r="E5" t="inlineStr">
        <is>
          <t>TLS_ERROR</t>
        </is>
      </c>
      <c r="F5" t="inlineStr">
        <is>
          <t>REJECT</t>
        </is>
      </c>
      <c r="G5" t="inlineStr">
        <is>
          <t>handshake TLS falha mesmo com a cadeia completada por AIA</t>
        </is>
      </c>
      <c r="H5" t="inlineStr">
        <is>
          <t>seed_dominio</t>
        </is>
      </c>
    </row>
    <row r="6">
      <c r="A6" t="inlineStr">
        <is>
          <t>Regione Basilicata — Politiche agricole</t>
        </is>
      </c>
      <c r="B6" t="inlineStr">
        <is>
          <t>BASE_OFICIAL</t>
        </is>
      </c>
      <c r="C6" t="inlineStr">
        <is>
          <t>https://www.regione.basilicata.it/giunta/site/giunta/home.jsp</t>
        </is>
      </c>
      <c r="E6" t="inlineStr">
        <is>
          <t>CONN_FAIL</t>
        </is>
      </c>
      <c r="F6" t="inlineStr">
        <is>
          <t>UNKNOWN</t>
        </is>
      </c>
      <c r="G6" t="inlineStr">
        <is>
          <t>bloqueio/inconclusivo no datacenter (status=None, flags=CONN_FAIL)</t>
        </is>
      </c>
      <c r="H6" t="inlineStr">
        <is>
          <t>seed_dominio</t>
        </is>
      </c>
    </row>
    <row r="7">
      <c r="A7" t="inlineStr">
        <is>
          <t>Regione Puglia — Agricoltura</t>
        </is>
      </c>
      <c r="B7" t="inlineStr">
        <is>
          <t>BASE_OFICIAL</t>
        </is>
      </c>
      <c r="C7" t="inlineStr">
        <is>
          <t>https://www.regione.puglia.it/web/agricoltura</t>
        </is>
      </c>
      <c r="E7" t="inlineStr">
        <is>
          <t>CONN_FAIL</t>
        </is>
      </c>
      <c r="F7" t="inlineStr">
        <is>
          <t>UNKNOWN</t>
        </is>
      </c>
      <c r="G7" t="inlineStr">
        <is>
          <t>bloqueio/inconclusivo no datacenter (status=None, flags=CONN_FAIL)</t>
        </is>
      </c>
      <c r="H7" t="inlineStr">
        <is>
          <t>seed_dominio</t>
        </is>
      </c>
    </row>
    <row r="8">
      <c r="A8" t="inlineStr">
        <is>
          <t>ARPA Umbria</t>
        </is>
      </c>
      <c r="B8" t="inlineStr">
        <is>
          <t>BASE_OFICIAL</t>
        </is>
      </c>
      <c r="C8" t="inlineStr">
        <is>
          <t>https://www.arpa.umbria.it/</t>
        </is>
      </c>
      <c r="D8" t="n">
        <v>404</v>
      </c>
      <c r="E8" t="inlineStr">
        <is>
          <t>HTTP_404,THIN_BODY</t>
        </is>
      </c>
      <c r="F8" t="inlineStr">
        <is>
          <t>REJECT</t>
        </is>
      </c>
      <c r="G8" t="inlineStr">
        <is>
          <t>HTTP 404</t>
        </is>
      </c>
      <c r="H8" t="inlineStr">
        <is>
          <t>seed_dominio</t>
        </is>
      </c>
    </row>
    <row r="9">
      <c r="A9" t="inlineStr">
        <is>
          <t>UNITO DISAFA — Dipartimento di Scienze Agrarie Forestali e Alimentari</t>
        </is>
      </c>
      <c r="B9" t="inlineStr">
        <is>
          <t>CIENCIA</t>
        </is>
      </c>
      <c r="C9" t="inlineStr">
        <is>
          <t>https://www.disafa.unito.it/</t>
        </is>
      </c>
      <c r="E9" t="inlineStr">
        <is>
          <t>CONN_FAIL</t>
        </is>
      </c>
      <c r="F9" t="inlineStr">
        <is>
          <t>UNKNOWN</t>
        </is>
      </c>
      <c r="G9" t="inlineStr">
        <is>
          <t>bloqueio/inconclusivo no datacenter (status=None, flags=CONN_FAIL)</t>
        </is>
      </c>
      <c r="H9" t="inlineStr">
        <is>
          <t>seed_dominio</t>
        </is>
      </c>
    </row>
    <row r="10">
      <c r="A10" t="inlineStr">
        <is>
          <t>UNISS Dipartimento di Agraria</t>
        </is>
      </c>
      <c r="B10" t="inlineStr">
        <is>
          <t>CIENCIA</t>
        </is>
      </c>
      <c r="C10" t="inlineStr">
        <is>
          <t>https://www.agraria.uniss.it/</t>
        </is>
      </c>
      <c r="E10" t="inlineStr">
        <is>
          <t>DNS_FAIL</t>
        </is>
      </c>
      <c r="F10" t="inlineStr">
        <is>
          <t>REJECT</t>
        </is>
      </c>
      <c r="G10" t="inlineStr">
        <is>
          <t>DNS nao resolve: o endereco nao existe</t>
        </is>
      </c>
      <c r="H10" t="inlineStr">
        <is>
          <t>seed_dominio</t>
        </is>
      </c>
    </row>
    <row r="11">
      <c r="A11" t="inlineStr">
        <is>
          <t>UNIFG Dipartimento di Scienze Agrarie Alimenti Risorse Naturali e Ingegneria</t>
        </is>
      </c>
      <c r="B11" t="inlineStr">
        <is>
          <t>CIENCIA</t>
        </is>
      </c>
      <c r="C11" t="inlineStr">
        <is>
          <t>https://www.unifg.it/it/dipartimenti/dafne</t>
        </is>
      </c>
      <c r="D11" t="n">
        <v>404</v>
      </c>
      <c r="E11" t="inlineStr">
        <is>
          <t>HTTP_404,SOFT_404</t>
        </is>
      </c>
      <c r="F11" t="inlineStr">
        <is>
          <t>REJECT</t>
        </is>
      </c>
      <c r="G11" t="inlineStr">
        <is>
          <t>HTTP 200 com pagina de erro (soft-404)</t>
        </is>
      </c>
      <c r="H11" t="inlineStr">
        <is>
          <t>seed_dominio</t>
        </is>
      </c>
    </row>
    <row r="12">
      <c r="A12" t="inlineStr">
        <is>
          <t>UNIMOL Dipartimento Agricoltura Ambiente e Alimenti</t>
        </is>
      </c>
      <c r="B12" t="inlineStr">
        <is>
          <t>CIENCIA</t>
        </is>
      </c>
      <c r="C12" t="inlineStr">
        <is>
          <t>https://www.unimol.it/ateneo/dipartimenti/dipartimento-agricoltura-ambiente-e-alimenti/</t>
        </is>
      </c>
      <c r="D12" t="n">
        <v>404</v>
      </c>
      <c r="E12" t="inlineStr">
        <is>
          <t>HTTP_404,SOFT_404</t>
        </is>
      </c>
      <c r="F12" t="inlineStr">
        <is>
          <t>REJECT</t>
        </is>
      </c>
      <c r="G12" t="inlineStr">
        <is>
          <t>HTTP 200 com pagina de erro (soft-404)</t>
        </is>
      </c>
      <c r="H12" t="inlineStr">
        <is>
          <t>seed_dominio</t>
        </is>
      </c>
    </row>
    <row r="13">
      <c r="A13" t="inlineStr">
        <is>
          <t>UNIBAS SAFE — Scuola di Scienze Agrarie Forestali Alimentari e Ambientali</t>
        </is>
      </c>
      <c r="B13" t="inlineStr">
        <is>
          <t>CIENCIA</t>
        </is>
      </c>
      <c r="C13" t="inlineStr">
        <is>
          <t>https://safe.unibas.it/</t>
        </is>
      </c>
      <c r="E13" t="inlineStr">
        <is>
          <t>DNS_FAIL</t>
        </is>
      </c>
      <c r="F13" t="inlineStr">
        <is>
          <t>REJECT</t>
        </is>
      </c>
      <c r="G13" t="inlineStr">
        <is>
          <t>DNS nao resolve: o endereco nao existe</t>
        </is>
      </c>
      <c r="H13" t="inlineStr">
        <is>
          <t>seed_dominio</t>
        </is>
      </c>
    </row>
    <row r="14">
      <c r="A14" t="inlineStr">
        <is>
          <t>UNICATT DIPROVES — Dipartimento di Scienze delle Produzioni Vegetali Sostenibili</t>
        </is>
      </c>
      <c r="B14" t="inlineStr">
        <is>
          <t>CIENCIA</t>
        </is>
      </c>
      <c r="C14" t="inlineStr">
        <is>
          <t>https://dipartimenti.unicatt.it/diproves</t>
        </is>
      </c>
      <c r="D14" t="n">
        <v>404</v>
      </c>
      <c r="E14" t="inlineStr">
        <is>
          <t>HTTP_404,SOFT_404</t>
        </is>
      </c>
      <c r="F14" t="inlineStr">
        <is>
          <t>REJECT</t>
        </is>
      </c>
      <c r="G14" t="inlineStr">
        <is>
          <t>HTTP 200 com pagina de erro (soft-404)</t>
        </is>
      </c>
      <c r="H14" t="inlineStr">
        <is>
          <t>seed_dominio</t>
        </is>
      </c>
    </row>
    <row r="15">
      <c r="A15" t="inlineStr">
        <is>
          <t>Italian Journal of Agronomy</t>
        </is>
      </c>
      <c r="B15" t="inlineStr">
        <is>
          <t>CIENCIA</t>
        </is>
      </c>
      <c r="C15" t="inlineStr">
        <is>
          <t>https://www.agronomy.it/</t>
        </is>
      </c>
      <c r="D15" t="n">
        <v>200</v>
      </c>
      <c r="E15" t="inlineStr">
        <is>
          <t>DOMAIN_REPURPOSED</t>
        </is>
      </c>
      <c r="F15" t="inlineStr">
        <is>
          <t>REJECT</t>
        </is>
      </c>
      <c r="G15" t="inlineStr">
        <is>
          <t>dominio reaproveitado: o conteudo nao e' agricola</t>
        </is>
      </c>
      <c r="H15" t="inlineStr">
        <is>
          <t>seed_dominio</t>
        </is>
      </c>
    </row>
    <row r="16">
      <c r="A16" t="inlineStr">
        <is>
          <t>Italian Journal of Food Safety</t>
        </is>
      </c>
      <c r="B16" t="inlineStr">
        <is>
          <t>CIENCIA</t>
        </is>
      </c>
      <c r="C16" t="inlineStr">
        <is>
          <t>https://www.pagepress.org/journals/index.php/ijfs</t>
        </is>
      </c>
      <c r="D16" t="n">
        <v>404</v>
      </c>
      <c r="E16" t="inlineStr">
        <is>
          <t>HTTP_404,SOFT_404,THIN_BODY</t>
        </is>
      </c>
      <c r="F16" t="inlineStr">
        <is>
          <t>REJECT</t>
        </is>
      </c>
      <c r="G16" t="inlineStr">
        <is>
          <t>HTTP 200 com pagina de erro (soft-404)</t>
        </is>
      </c>
      <c r="H16" t="inlineStr">
        <is>
          <t>seed_dominio</t>
        </is>
      </c>
    </row>
    <row r="17">
      <c r="A17" t="inlineStr">
        <is>
          <t>L'Informatore Agrario</t>
        </is>
      </c>
      <c r="B17" t="inlineStr">
        <is>
          <t>IMPRENSA</t>
        </is>
      </c>
      <c r="C17" t="inlineStr">
        <is>
          <t>https://www.informatoreagrario.it/</t>
        </is>
      </c>
      <c r="D17" t="n">
        <v>202</v>
      </c>
      <c r="E17" t="inlineStr">
        <is>
          <t>ANTIBOT,THIN_BODY</t>
        </is>
      </c>
      <c r="F17" t="inlineStr">
        <is>
          <t>UNKNOWN</t>
        </is>
      </c>
      <c r="G17" t="inlineStr">
        <is>
          <t>bloqueio/inconclusivo no datacenter (status=202, flags=ANTIBOT,THIN_BODY)</t>
        </is>
      </c>
      <c r="H17" t="inlineStr">
        <is>
          <t>seed_dominio</t>
        </is>
      </c>
    </row>
    <row r="18">
      <c r="A18" t="inlineStr">
        <is>
          <t>Vigne Vini e Qualita — VVQ</t>
        </is>
      </c>
      <c r="B18" t="inlineStr">
        <is>
          <t>IMPRENSA</t>
        </is>
      </c>
      <c r="C18" t="inlineStr">
        <is>
          <t>https://vvq.edagricole.it/</t>
        </is>
      </c>
      <c r="E18" t="inlineStr">
        <is>
          <t>DNS_FAIL</t>
        </is>
      </c>
      <c r="F18" t="inlineStr">
        <is>
          <t>REJECT</t>
        </is>
      </c>
      <c r="G18" t="inlineStr">
        <is>
          <t>DNS nao resolve: o endereco nao existe</t>
        </is>
      </c>
      <c r="H18" t="inlineStr">
        <is>
          <t>seed_dominio</t>
        </is>
      </c>
    </row>
    <row r="19">
      <c r="A19" t="inlineStr">
        <is>
          <t>Colture Protette — Edagricole</t>
        </is>
      </c>
      <c r="B19" t="inlineStr">
        <is>
          <t>IMPRENSA</t>
        </is>
      </c>
      <c r="C19" t="inlineStr">
        <is>
          <t>https://coltureprotette.edagricole.it/</t>
        </is>
      </c>
      <c r="E19" t="inlineStr">
        <is>
          <t>DNS_FAIL</t>
        </is>
      </c>
      <c r="F19" t="inlineStr">
        <is>
          <t>REJECT</t>
        </is>
      </c>
      <c r="G19" t="inlineStr">
        <is>
          <t>DNS nao resolve: o endereco nao existe</t>
        </is>
      </c>
      <c r="H19" t="inlineStr">
        <is>
          <t>seed_dominio</t>
        </is>
      </c>
    </row>
    <row r="20">
      <c r="A20" t="inlineStr">
        <is>
          <t>Corriere Ortofrutticolo</t>
        </is>
      </c>
      <c r="B20" t="inlineStr">
        <is>
          <t>IMPRENSA</t>
        </is>
      </c>
      <c r="C20" t="inlineStr">
        <is>
          <t>https://www.corriereortofrutticolo.it/</t>
        </is>
      </c>
      <c r="D20" t="n">
        <v>200</v>
      </c>
      <c r="E20" t="inlineStr">
        <is>
          <t>PLACEHOLDER_PAGE,THIN_BODY</t>
        </is>
      </c>
      <c r="F20" t="inlineStr">
        <is>
          <t>REJECT</t>
        </is>
      </c>
      <c r="G20" t="inlineStr">
        <is>
          <t>pagina de placeholder do servidor, nao a fonte</t>
        </is>
      </c>
      <c r="H20" t="inlineStr">
        <is>
          <t>seed_dominio</t>
        </is>
      </c>
    </row>
    <row r="21">
      <c r="A21" t="inlineStr">
        <is>
          <t>Agricolae</t>
        </is>
      </c>
      <c r="B21" t="inlineStr">
        <is>
          <t>IMPRENSA</t>
        </is>
      </c>
      <c r="C21" t="inlineStr">
        <is>
          <t>https://www.agricolae.eu/</t>
        </is>
      </c>
      <c r="D21" t="n">
        <v>403</v>
      </c>
      <c r="E21" t="inlineStr">
        <is>
          <t>ANTIBOT,HTTP_403</t>
        </is>
      </c>
      <c r="F21" t="inlineStr">
        <is>
          <t>UNKNOWN</t>
        </is>
      </c>
      <c r="G21" t="inlineStr">
        <is>
          <t>bloqueio/inconclusivo no datacenter (status=403, flags=ANTIBOT,HTTP_403)</t>
        </is>
      </c>
      <c r="H21" t="inlineStr">
        <is>
          <t>seed_dominio</t>
        </is>
      </c>
    </row>
    <row r="22">
      <c r="A22" t="inlineStr">
        <is>
          <t>Millevigne</t>
        </is>
      </c>
      <c r="B22" t="inlineStr">
        <is>
          <t>IMPRENSA</t>
        </is>
      </c>
      <c r="C22" t="inlineStr">
        <is>
          <t>https://www.millevigne.it/</t>
        </is>
      </c>
      <c r="D22" t="n">
        <v>202</v>
      </c>
      <c r="E22" t="inlineStr">
        <is>
          <t>ANTIBOT,THIN_BODY</t>
        </is>
      </c>
      <c r="F22" t="inlineStr">
        <is>
          <t>UNKNOWN</t>
        </is>
      </c>
      <c r="G22" t="inlineStr">
        <is>
          <t>bloqueio/inconclusivo no datacenter (status=202, flags=ANTIBOT,THIN_BODY)</t>
        </is>
      </c>
      <c r="H22" t="inlineStr">
        <is>
          <t>seed_dominio</t>
        </is>
      </c>
    </row>
    <row r="23">
      <c r="A23" t="inlineStr">
        <is>
          <t>Agricultura.it</t>
        </is>
      </c>
      <c r="B23" t="inlineStr">
        <is>
          <t>IMPRENSA</t>
        </is>
      </c>
      <c r="C23" t="inlineStr">
        <is>
          <t>https://www.agricultura.it/</t>
        </is>
      </c>
      <c r="D23" t="n">
        <v>403</v>
      </c>
      <c r="E23" t="inlineStr">
        <is>
          <t>ANTIBOT,HTTP_403</t>
        </is>
      </c>
      <c r="F23" t="inlineStr">
        <is>
          <t>UNKNOWN</t>
        </is>
      </c>
      <c r="G23" t="inlineStr">
        <is>
          <t>bloqueio/inconclusivo no datacenter (status=403, flags=ANTIBOT,HTTP_403)</t>
        </is>
      </c>
      <c r="H23" t="inlineStr">
        <is>
          <t>seed_dominio</t>
        </is>
      </c>
    </row>
    <row r="24">
      <c r="A24" t="inlineStr">
        <is>
          <t>Il Divulgatore</t>
        </is>
      </c>
      <c r="B24" t="inlineStr">
        <is>
          <t>IMPRENSA</t>
        </is>
      </c>
      <c r="C24" t="inlineStr">
        <is>
          <t>https://ildivulgatore.it/</t>
        </is>
      </c>
      <c r="E24" t="inlineStr">
        <is>
          <t>TLS_ERROR</t>
        </is>
      </c>
      <c r="F24" t="inlineStr">
        <is>
          <t>REJECT</t>
        </is>
      </c>
      <c r="G24" t="inlineStr">
        <is>
          <t>handshake TLS falha mesmo com a cadeia completada por AIA</t>
        </is>
      </c>
      <c r="H24" t="inlineStr">
        <is>
          <t>seed_dominio</t>
        </is>
      </c>
    </row>
    <row r="25">
      <c r="A25" t="inlineStr">
        <is>
          <t>NovelFarm</t>
        </is>
      </c>
      <c r="B25" t="inlineStr">
        <is>
          <t>ORGANIZACAO</t>
        </is>
      </c>
      <c r="C25" t="inlineStr">
        <is>
          <t>https://www.novelfarm.it/</t>
        </is>
      </c>
      <c r="E25" t="inlineStr">
        <is>
          <t>DNS_FAIL</t>
        </is>
      </c>
      <c r="F25" t="inlineStr">
        <is>
          <t>REJECT</t>
        </is>
      </c>
      <c r="G25" t="inlineStr">
        <is>
          <t>DNS nao resolve: o endereco nao existe</t>
        </is>
      </c>
      <c r="H25" t="inlineStr">
        <is>
          <t>seed_dominio</t>
        </is>
      </c>
    </row>
    <row r="26">
      <c r="A26" t="inlineStr">
        <is>
          <t>Gowan Italia</t>
        </is>
      </c>
      <c r="B26" t="inlineStr">
        <is>
          <t>ORGANIZACAO</t>
        </is>
      </c>
      <c r="C26" t="inlineStr">
        <is>
          <t>https://www.gowanco.it/</t>
        </is>
      </c>
      <c r="E26" t="inlineStr">
        <is>
          <t>DNS_FAIL</t>
        </is>
      </c>
      <c r="F26" t="inlineStr">
        <is>
          <t>REJECT</t>
        </is>
      </c>
      <c r="G26" t="inlineStr">
        <is>
          <t>DNS nao resolve: o endereco nao existe</t>
        </is>
      </c>
      <c r="H26" t="inlineStr">
        <is>
          <t>seed_dominio</t>
        </is>
      </c>
    </row>
    <row r="27">
      <c r="A27" t="inlineStr">
        <is>
          <t>Sumitomo Chemical Italia</t>
        </is>
      </c>
      <c r="B27" t="inlineStr">
        <is>
          <t>ORGANIZACAO</t>
        </is>
      </c>
      <c r="C27" t="inlineStr">
        <is>
          <t>https://www.sumitomo-chem.it/</t>
        </is>
      </c>
      <c r="E27" t="inlineStr">
        <is>
          <t>CONN_FAIL</t>
        </is>
      </c>
      <c r="F27" t="inlineStr">
        <is>
          <t>UNKNOWN</t>
        </is>
      </c>
      <c r="G27" t="inlineStr">
        <is>
          <t>bloqueio/inconclusivo no datacenter (status=None, flags=CONN_FAIL)</t>
        </is>
      </c>
      <c r="H27" t="inlineStr">
        <is>
          <t>seed_dominio</t>
        </is>
      </c>
    </row>
    <row r="28">
      <c r="A28" t="inlineStr">
        <is>
          <t>Manica</t>
        </is>
      </c>
      <c r="B28" t="inlineStr">
        <is>
          <t>ORGANIZACAO</t>
        </is>
      </c>
      <c r="C28" t="inlineStr">
        <is>
          <t>https://www.manica.it/</t>
        </is>
      </c>
      <c r="E28" t="inlineStr">
        <is>
          <t>TLS_ERROR</t>
        </is>
      </c>
      <c r="F28" t="inlineStr">
        <is>
          <t>REJECT</t>
        </is>
      </c>
      <c r="G28" t="inlineStr">
        <is>
          <t>handshake TLS falha mesmo com a cadeia completada por AIA</t>
        </is>
      </c>
      <c r="H28" t="inlineStr">
        <is>
          <t>seed_dominio</t>
        </is>
      </c>
    </row>
    <row r="29">
      <c r="A29" t="inlineStr">
        <is>
          <t>Consorzio di Tutela Mela Val di Non DOP</t>
        </is>
      </c>
      <c r="B29" t="inlineStr">
        <is>
          <t>ORGANIZACAO</t>
        </is>
      </c>
      <c r="C29" t="inlineStr">
        <is>
          <t>https://www.melavaldinondop.it/</t>
        </is>
      </c>
      <c r="E29" t="inlineStr">
        <is>
          <t>DNS_FAIL</t>
        </is>
      </c>
      <c r="F29" t="inlineStr">
        <is>
          <t>REJECT</t>
        </is>
      </c>
      <c r="G29" t="inlineStr">
        <is>
          <t>DNS nao resolve: o endereco nao existe</t>
        </is>
      </c>
      <c r="H29" t="inlineStr">
        <is>
          <t>seed_dominio</t>
        </is>
      </c>
    </row>
    <row r="30">
      <c r="A30" t="inlineStr">
        <is>
          <t>Consorzio Tutela Pomodoro San Marzano DOP</t>
        </is>
      </c>
      <c r="B30" t="inlineStr">
        <is>
          <t>ORGANIZACAO</t>
        </is>
      </c>
      <c r="C30" t="inlineStr">
        <is>
          <t>https://www.consorziosanmarzano.it/</t>
        </is>
      </c>
      <c r="E30" t="inlineStr">
        <is>
          <t>DNS_FAIL</t>
        </is>
      </c>
      <c r="F30" t="inlineStr">
        <is>
          <t>REJECT</t>
        </is>
      </c>
      <c r="G30" t="inlineStr">
        <is>
          <t>DNS nao resolve: o endereco nao existe</t>
        </is>
      </c>
      <c r="H30" t="inlineStr">
        <is>
          <t>seed_dominio</t>
        </is>
      </c>
    </row>
    <row r="31">
      <c r="A31" t="inlineStr">
        <is>
          <t>Consorzio Agrario del Nordest</t>
        </is>
      </c>
      <c r="B31" t="inlineStr">
        <is>
          <t>ORGANIZACAO</t>
        </is>
      </c>
      <c r="C31" t="inlineStr">
        <is>
          <t>https://www.consorzioagrarionordest.it/</t>
        </is>
      </c>
      <c r="E31" t="inlineStr">
        <is>
          <t>DNS_FAIL</t>
        </is>
      </c>
      <c r="F31" t="inlineStr">
        <is>
          <t>REJECT</t>
        </is>
      </c>
      <c r="G31" t="inlineStr">
        <is>
          <t>DNS nao resolve: o endereco nao existe</t>
        </is>
      </c>
      <c r="H31" t="inlineStr">
        <is>
          <t>seed_dominio</t>
        </is>
      </c>
    </row>
    <row r="32">
      <c r="A32" t="inlineStr">
        <is>
          <t>Consorzio di Bonifica dell'Emilia Centrale</t>
        </is>
      </c>
      <c r="B32" t="inlineStr">
        <is>
          <t>ORGANIZACAO</t>
        </is>
      </c>
      <c r="C32" t="inlineStr">
        <is>
          <t>https://www.emiliacentrale.it/</t>
        </is>
      </c>
      <c r="D32" t="n">
        <v>202</v>
      </c>
      <c r="E32" t="inlineStr">
        <is>
          <t>ANTIBOT,THIN_BODY</t>
        </is>
      </c>
      <c r="F32" t="inlineStr">
        <is>
          <t>UNKNOWN</t>
        </is>
      </c>
      <c r="G32" t="inlineStr">
        <is>
          <t>bloqueio/inconclusivo no datacenter (status=202, flags=ANTIBOT,THIN_BODY)</t>
        </is>
      </c>
      <c r="H32" t="inlineStr">
        <is>
          <t>seed_dominio</t>
        </is>
      </c>
    </row>
    <row r="33">
      <c r="A33" t="inlineStr">
        <is>
          <t>Consorzio di Bonifica Veronese</t>
        </is>
      </c>
      <c r="B33" t="inlineStr">
        <is>
          <t>ORGANIZACAO</t>
        </is>
      </c>
      <c r="C33" t="inlineStr">
        <is>
          <t>https://www.bonificaveronese.it/</t>
        </is>
      </c>
      <c r="D33" t="n">
        <v>202</v>
      </c>
      <c r="E33" t="inlineStr">
        <is>
          <t>ANTIBOT,THIN_BODY</t>
        </is>
      </c>
      <c r="F33" t="inlineStr">
        <is>
          <t>UNKNOWN</t>
        </is>
      </c>
      <c r="G33" t="inlineStr">
        <is>
          <t>bloqueio/inconclusivo no datacenter (status=202, flags=ANTIBOT,THIN_BODY)</t>
        </is>
      </c>
      <c r="H33" t="inlineStr">
        <is>
          <t>seed_dominio</t>
        </is>
      </c>
    </row>
    <row r="34">
      <c r="A34" t="inlineStr">
        <is>
          <t>Consorzio di Bonifica Tevere Nera</t>
        </is>
      </c>
      <c r="B34" t="inlineStr">
        <is>
          <t>ORGANIZACAO</t>
        </is>
      </c>
      <c r="C34" t="inlineStr">
        <is>
          <t>https://www.tevere-nera.it/</t>
        </is>
      </c>
      <c r="E34" t="inlineStr">
        <is>
          <t>DNS_FAIL</t>
        </is>
      </c>
      <c r="F34" t="inlineStr">
        <is>
          <t>REJECT</t>
        </is>
      </c>
      <c r="G34" t="inlineStr">
        <is>
          <t>DNS nao resolve: o endereco nao existe</t>
        </is>
      </c>
      <c r="H34" t="inlineStr">
        <is>
          <t>seed_dominio</t>
        </is>
      </c>
    </row>
    <row r="35">
      <c r="A35" t="inlineStr">
        <is>
          <t>Consorzio di Bonifica Centro Sardegna</t>
        </is>
      </c>
      <c r="B35" t="inlineStr">
        <is>
          <t>ORGANIZACAO</t>
        </is>
      </c>
      <c r="C35" t="inlineStr">
        <is>
          <t>https://www.cbcs.it/</t>
        </is>
      </c>
      <c r="E35" t="inlineStr">
        <is>
          <t>CONN_FAIL</t>
        </is>
      </c>
      <c r="F35" t="inlineStr">
        <is>
          <t>UNKNOWN</t>
        </is>
      </c>
      <c r="G35" t="inlineStr">
        <is>
          <t>bloqueio/inconclusivo no datacenter (status=None, flags=CONN_FAIL)</t>
        </is>
      </c>
      <c r="H35" t="inlineStr">
        <is>
          <t>seed_dominio</t>
        </is>
      </c>
    </row>
    <row r="36">
      <c r="A36" t="inlineStr">
        <is>
          <t>Consorzio di Tutela dell'Olio Extravergine di Oliva Toscano IGP</t>
        </is>
      </c>
      <c r="B36" t="inlineStr">
        <is>
          <t>ORGANIZACAO</t>
        </is>
      </c>
      <c r="C36" t="inlineStr">
        <is>
          <t>https://www.oliotoscanoigp.it/</t>
        </is>
      </c>
      <c r="E36" t="inlineStr">
        <is>
          <t>CONN_FAIL</t>
        </is>
      </c>
      <c r="F36" t="inlineStr">
        <is>
          <t>UNKNOWN</t>
        </is>
      </c>
      <c r="G36" t="inlineStr">
        <is>
          <t>bloqueio/inconclusivo no datacenter (status=None, flags=CONN_FAIL)</t>
        </is>
      </c>
      <c r="H36" t="inlineStr">
        <is>
          <t>seed_dominio</t>
        </is>
      </c>
    </row>
    <row r="37">
      <c r="A37" t="inlineStr">
        <is>
          <t>Associazione Nazionale Bieticoltori</t>
        </is>
      </c>
      <c r="B37" t="inlineStr">
        <is>
          <t>ORGANIZACAO</t>
        </is>
      </c>
      <c r="C37" t="inlineStr">
        <is>
          <t>https://www.anb.it/</t>
        </is>
      </c>
      <c r="D37" t="n">
        <v>202</v>
      </c>
      <c r="E37" t="inlineStr">
        <is>
          <t>ANTIBOT,THIN_BODY</t>
        </is>
      </c>
      <c r="F37" t="inlineStr">
        <is>
          <t>UNKNOWN</t>
        </is>
      </c>
      <c r="G37" t="inlineStr">
        <is>
          <t>bloqueio/inconclusivo no datacenter (status=202, flags=ANTIBOT,THIN_BODY)</t>
        </is>
      </c>
      <c r="H37" t="inlineStr">
        <is>
          <t>seed_dominio</t>
        </is>
      </c>
    </row>
    <row r="38">
      <c r="A38" t="inlineStr">
        <is>
          <t>ISPRA — Istituto Superiore per la Protezione e la Ricerca Ambientale — Instagram ufficiale</t>
        </is>
      </c>
      <c r="B38" t="inlineStr">
        <is>
          <t>INSTAGRAM</t>
        </is>
      </c>
      <c r="C38" t="inlineStr">
        <is>
          <t>https://www.instagram.com/ispra_ambiente</t>
        </is>
      </c>
      <c r="D38" t="n">
        <v>429</v>
      </c>
      <c r="E38" t="inlineStr">
        <is>
          <t>HTTP_429,THIN_BODY</t>
        </is>
      </c>
      <c r="F38" t="inlineStr">
        <is>
          <t>NAO_SELECIONADA</t>
        </is>
      </c>
      <c r="G38" t="inlineStr">
        <is>
          <t>validada, mas fora do teto de 25 para INSTAGRAM (secao 20): a plataforma nao permite prova direta de identidade a partir do datacenter</t>
        </is>
      </c>
      <c r="H38" t="inlineStr">
        <is>
          <t>social_declarado_pelo_dono</t>
        </is>
      </c>
    </row>
    <row r="39">
      <c r="A39" t="inlineStr">
        <is>
          <t>Rete Rurale Nazionale — Facebook ufficiale</t>
        </is>
      </c>
      <c r="B39" t="inlineStr">
        <is>
          <t>FACEBOOK</t>
        </is>
      </c>
      <c r="C39" t="inlineStr">
        <is>
          <t>https://www.facebook.com/retenazionalepac</t>
        </is>
      </c>
      <c r="D39" t="n">
        <v>200</v>
      </c>
      <c r="E39" t="inlineStr">
        <is>
          <t>PLATFORM_GENERIC_TITLE</t>
        </is>
      </c>
      <c r="F39" t="inlineStr">
        <is>
          <t>NAO_SELECIONADA</t>
        </is>
      </c>
      <c r="G39" t="inlineStr">
        <is>
          <t>validada, mas fora do teto de 20 para FACEBOOK (secao 20): a plataforma nao permite prova direta de identidade a partir do datacenter</t>
        </is>
      </c>
      <c r="H39" t="inlineStr">
        <is>
          <t>social_declarado_pelo_dono</t>
        </is>
      </c>
    </row>
    <row r="40">
      <c r="A40" t="inlineStr">
        <is>
          <t>Rete Rurale Nazionale — Instagram ufficiale</t>
        </is>
      </c>
      <c r="B40" t="inlineStr">
        <is>
          <t>INSTAGRAM</t>
        </is>
      </c>
      <c r="C40" t="inlineStr">
        <is>
          <t>https://www.instagram.com/retenazionalepac</t>
        </is>
      </c>
      <c r="D40" t="n">
        <v>429</v>
      </c>
      <c r="E40" t="inlineStr">
        <is>
          <t>HTTP_429,THIN_BODY</t>
        </is>
      </c>
      <c r="F40" t="inlineStr">
        <is>
          <t>NAO_SELECIONADA</t>
        </is>
      </c>
      <c r="G40" t="inlineStr">
        <is>
          <t>validada, mas fora do teto de 25 para INSTAGRAM (secao 20): a plataforma nao permite prova direta de identidade a partir do datacenter</t>
        </is>
      </c>
      <c r="H40" t="inlineStr">
        <is>
          <t>social_declarado_pelo_dono</t>
        </is>
      </c>
    </row>
    <row r="41">
      <c r="A41" t="inlineStr">
        <is>
          <t>CNR — Consiglio Nazionale delle Ricerche — Facebook ufficiale</t>
        </is>
      </c>
      <c r="B41" t="inlineStr">
        <is>
          <t>FACEBOOK</t>
        </is>
      </c>
      <c r="C41" t="inlineStr">
        <is>
          <t>https://www.facebook.com/CNRsocialFB</t>
        </is>
      </c>
      <c r="D41" t="n">
        <v>200</v>
      </c>
      <c r="E41" t="inlineStr">
        <is>
          <t>PLATFORM_GENERIC_TITLE</t>
        </is>
      </c>
      <c r="F41" t="inlineStr">
        <is>
          <t>NAO_SELECIONADA</t>
        </is>
      </c>
      <c r="G41" t="inlineStr">
        <is>
          <t>validada, mas fora do teto de 20 para FACEBOOK (secao 20): a plataforma nao permite prova direta de identidade a partir do datacenter</t>
        </is>
      </c>
      <c r="H41" t="inlineStr">
        <is>
          <t>social_declarado_pelo_dono</t>
        </is>
      </c>
    </row>
    <row r="42">
      <c r="A42" t="inlineStr">
        <is>
          <t>CNR — Consiglio Nazionale delle Ricerche — Instagram ufficiale</t>
        </is>
      </c>
      <c r="B42" t="inlineStr">
        <is>
          <t>INSTAGRAM</t>
        </is>
      </c>
      <c r="C42" t="inlineStr">
        <is>
          <t>https://www.instagram.com/cnrsocial</t>
        </is>
      </c>
      <c r="D42" t="n">
        <v>429</v>
      </c>
      <c r="E42" t="inlineStr">
        <is>
          <t>HTTP_429,THIN_BODY</t>
        </is>
      </c>
      <c r="F42" t="inlineStr">
        <is>
          <t>NAO_SELECIONADA</t>
        </is>
      </c>
      <c r="G42" t="inlineStr">
        <is>
          <t>validada, mas fora do teto de 25 para INSTAGRAM (secao 20): a plataforma nao permite prova direta de identidade a partir do datacenter</t>
        </is>
      </c>
      <c r="H42" t="inlineStr">
        <is>
          <t>social_declarado_pelo_dono</t>
        </is>
      </c>
    </row>
    <row r="43">
      <c r="A43" t="inlineStr">
        <is>
          <t>Georgofili INFO — notiziario — Facebook ufficiale</t>
        </is>
      </c>
      <c r="B43" t="inlineStr">
        <is>
          <t>FACEBOOK</t>
        </is>
      </c>
      <c r="C43" t="inlineStr">
        <is>
          <t>https://www.facebook.com/georgofili</t>
        </is>
      </c>
      <c r="D43" t="n">
        <v>400</v>
      </c>
      <c r="E43" t="inlineStr">
        <is>
          <t>HTTP_400,SOFT_404</t>
        </is>
      </c>
      <c r="F43" t="inlineStr">
        <is>
          <t>REJECT</t>
        </is>
      </c>
      <c r="G43" t="inlineStr">
        <is>
          <t>HTTP 200 com pagina de erro (soft-404)</t>
        </is>
      </c>
      <c r="H43" t="inlineStr">
        <is>
          <t>social_declarado_pelo_dono</t>
        </is>
      </c>
    </row>
    <row r="44">
      <c r="A44" t="inlineStr">
        <is>
          <t>Georgofili INFO — notiziario — Instagram ufficiale</t>
        </is>
      </c>
      <c r="B44" t="inlineStr">
        <is>
          <t>INSTAGRAM</t>
        </is>
      </c>
      <c r="C44" t="inlineStr">
        <is>
          <t>https://www.instagram.com/georgofili</t>
        </is>
      </c>
      <c r="D44" t="n">
        <v>429</v>
      </c>
      <c r="E44" t="inlineStr">
        <is>
          <t>HTTP_429,THIN_BODY</t>
        </is>
      </c>
      <c r="F44" t="inlineStr">
        <is>
          <t>NAO_SELECIONADA</t>
        </is>
      </c>
      <c r="G44" t="inlineStr">
        <is>
          <t>validada, mas fora do teto de 25 para INSTAGRAM (secao 20): a plataforma nao permite prova direta de identidade a partir do datacenter</t>
        </is>
      </c>
      <c r="H44" t="inlineStr">
        <is>
          <t>social_declarado_pelo_dono</t>
        </is>
      </c>
    </row>
    <row r="45">
      <c r="A45" t="inlineStr">
        <is>
          <t>CONAF — Consiglio Ordine Nazionale Dottori Agronomi e Forestali — Facebook ufficiale</t>
        </is>
      </c>
      <c r="B45" t="inlineStr">
        <is>
          <t>FACEBOOK</t>
        </is>
      </c>
      <c r="C45" t="inlineStr">
        <is>
          <t>https://www.facebook.com/2008/fbml</t>
        </is>
      </c>
      <c r="D45" t="n">
        <v>404</v>
      </c>
      <c r="E45" t="inlineStr">
        <is>
          <t>HTTP_404,THIN_BODY</t>
        </is>
      </c>
      <c r="F45" t="inlineStr">
        <is>
          <t>REJECT</t>
        </is>
      </c>
      <c r="G45" t="inlineStr">
        <is>
          <t>HTTP 404</t>
        </is>
      </c>
      <c r="H45" t="inlineStr">
        <is>
          <t>social_declarado_pelo_dono</t>
        </is>
      </c>
    </row>
    <row r="46">
      <c r="A46" t="inlineStr">
        <is>
          <t>CONAF — Consiglio Ordine Nazionale Dottori Agronomi e Forestali — Instagram ufficiale</t>
        </is>
      </c>
      <c r="B46" t="inlineStr">
        <is>
          <t>INSTAGRAM</t>
        </is>
      </c>
      <c r="C46" t="inlineStr">
        <is>
          <t>https://www.instagram.com/ordine_agronomi_e_forestali</t>
        </is>
      </c>
      <c r="D46" t="n">
        <v>429</v>
      </c>
      <c r="E46" t="inlineStr">
        <is>
          <t>HTTP_429,THIN_BODY</t>
        </is>
      </c>
      <c r="F46" t="inlineStr">
        <is>
          <t>NAO_SELECIONADA</t>
        </is>
      </c>
      <c r="G46" t="inlineStr">
        <is>
          <t>validada, mas fora do teto de 25 para INSTAGRAM (secao 20): a plataforma nao permite prova direta de identidade a partir do datacenter</t>
        </is>
      </c>
      <c r="H46" t="inlineStr">
        <is>
          <t>social_declarado_pelo_dono</t>
        </is>
      </c>
    </row>
    <row r="47">
      <c r="A47" t="inlineStr">
        <is>
          <t>SIPaV — Societa Italiana di Patologia Vegetale — Facebook ufficiale</t>
        </is>
      </c>
      <c r="B47" t="inlineStr">
        <is>
          <t>FACEBOOK</t>
        </is>
      </c>
      <c r="C47" t="inlineStr">
        <is>
          <t>https://www.facebook.com/SIPaV92</t>
        </is>
      </c>
      <c r="D47" t="n">
        <v>200</v>
      </c>
      <c r="E47" t="inlineStr">
        <is>
          <t>PLATFORM_GENERIC_TITLE</t>
        </is>
      </c>
      <c r="F47" t="inlineStr">
        <is>
          <t>NAO_SELECIONADA</t>
        </is>
      </c>
      <c r="G47" t="inlineStr">
        <is>
          <t>validada, mas fora do teto de 20 para FACEBOOK (secao 20): a plataforma nao permite prova direta de identidade a partir do datacenter</t>
        </is>
      </c>
      <c r="H47" t="inlineStr">
        <is>
          <t>social_declarado_pelo_dono</t>
        </is>
      </c>
    </row>
    <row r="48">
      <c r="A48" t="inlineStr">
        <is>
          <t>SIA — Societa Italiana di Agronomia — Facebook ufficiale</t>
        </is>
      </c>
      <c r="B48" t="inlineStr">
        <is>
          <t>FACEBOOK</t>
        </is>
      </c>
      <c r="C48" t="inlineStr">
        <is>
          <t>https://www.facebook.com/siagr.org</t>
        </is>
      </c>
      <c r="D48" t="n">
        <v>200</v>
      </c>
      <c r="E48" t="inlineStr">
        <is>
          <t>PLATFORM_GENERIC_TITLE</t>
        </is>
      </c>
      <c r="F48" t="inlineStr">
        <is>
          <t>NAO_SELECIONADA</t>
        </is>
      </c>
      <c r="G48" t="inlineStr">
        <is>
          <t>validada, mas fora do teto de 20 para FACEBOOK (secao 20): a plataforma nao permite prova direta de identidade a partir do datacenter</t>
        </is>
      </c>
      <c r="H48" t="inlineStr">
        <is>
          <t>social_declarado_pelo_dono</t>
        </is>
      </c>
    </row>
    <row r="49">
      <c r="A49" t="inlineStr">
        <is>
          <t>SIA — Societa Italiana di Agronomia — Instagram ufficiale</t>
        </is>
      </c>
      <c r="B49" t="inlineStr">
        <is>
          <t>INSTAGRAM</t>
        </is>
      </c>
      <c r="C49" t="inlineStr">
        <is>
          <t>https://www.instagram.com/siagr.it</t>
        </is>
      </c>
      <c r="D49" t="n">
        <v>429</v>
      </c>
      <c r="E49" t="inlineStr">
        <is>
          <t>HTTP_429,THIN_BODY</t>
        </is>
      </c>
      <c r="F49" t="inlineStr">
        <is>
          <t>NAO_SELECIONADA</t>
        </is>
      </c>
      <c r="G49" t="inlineStr">
        <is>
          <t>validada, mas fora do teto de 25 para INSTAGRAM (secao 20): a plataforma nao permite prova direta de identidade a partir do datacenter</t>
        </is>
      </c>
      <c r="H49" t="inlineStr">
        <is>
          <t>social_declarado_pelo_dono</t>
        </is>
      </c>
    </row>
    <row r="50">
      <c r="A50" t="inlineStr">
        <is>
          <t>SOI — Societa di Ortoflorofrutticoltura Italiana — Facebook ufficiale</t>
        </is>
      </c>
      <c r="B50" t="inlineStr">
        <is>
          <t>FACEBOOK</t>
        </is>
      </c>
      <c r="C50" t="inlineStr">
        <is>
          <t>https://www.facebook.com/soihs</t>
        </is>
      </c>
      <c r="D50" t="n">
        <v>200</v>
      </c>
      <c r="E50" t="inlineStr">
        <is>
          <t>PLATFORM_GENERIC_TITLE</t>
        </is>
      </c>
      <c r="F50" t="inlineStr">
        <is>
          <t>NAO_SELECIONADA</t>
        </is>
      </c>
      <c r="G50" t="inlineStr">
        <is>
          <t>validada, mas fora do teto de 20 para FACEBOOK (secao 20): a plataforma nao permite prova direta de identidade a partir do datacenter</t>
        </is>
      </c>
      <c r="H50" t="inlineStr">
        <is>
          <t>social_declarado_pelo_dono</t>
        </is>
      </c>
    </row>
    <row r="51">
      <c r="A51" t="inlineStr">
        <is>
          <t>Societa Entomologica Italiana — Facebook ufficiale</t>
        </is>
      </c>
      <c r="B51" t="inlineStr">
        <is>
          <t>FACEBOOK</t>
        </is>
      </c>
      <c r="C51" t="inlineStr">
        <is>
          <t>https://www.facebook.com/SocEntoIta</t>
        </is>
      </c>
      <c r="D51" t="n">
        <v>200</v>
      </c>
      <c r="E51" t="inlineStr">
        <is>
          <t>PLATFORM_GENERIC_TITLE</t>
        </is>
      </c>
      <c r="F51" t="inlineStr">
        <is>
          <t>NAO_SELECIONADA</t>
        </is>
      </c>
      <c r="G51" t="inlineStr">
        <is>
          <t>validada, mas fora do teto de 20 para FACEBOOK (secao 20): a plataforma nao permite prova direta de identidade a partir do datacenter</t>
        </is>
      </c>
      <c r="H51" t="inlineStr">
        <is>
          <t>social_declarado_pelo_dono</t>
        </is>
      </c>
    </row>
    <row r="52">
      <c r="A52" t="inlineStr">
        <is>
          <t>Coldiretti — Facebook ufficiale</t>
        </is>
      </c>
      <c r="B52" t="inlineStr">
        <is>
          <t>FACEBOOK</t>
        </is>
      </c>
      <c r="C52" t="inlineStr">
        <is>
          <t>https://www.facebook.com/ColdirettiOfficial</t>
        </is>
      </c>
      <c r="D52" t="n">
        <v>200</v>
      </c>
      <c r="E52" t="inlineStr">
        <is>
          <t>PLATFORM_GENERIC_TITLE</t>
        </is>
      </c>
      <c r="F52" t="inlineStr">
        <is>
          <t>NAO_SELECIONADA</t>
        </is>
      </c>
      <c r="G52" t="inlineStr">
        <is>
          <t>validada, mas fora do teto de 20 para FACEBOOK (secao 20): a plataforma nao permite prova direta de identidade a partir do datacenter</t>
        </is>
      </c>
      <c r="H52" t="inlineStr">
        <is>
          <t>social_declarado_pelo_dono</t>
        </is>
      </c>
    </row>
    <row r="53">
      <c r="A53" t="inlineStr">
        <is>
          <t>Coldiretti — Instagram ufficiale</t>
        </is>
      </c>
      <c r="B53" t="inlineStr">
        <is>
          <t>INSTAGRAM</t>
        </is>
      </c>
      <c r="C53" t="inlineStr">
        <is>
          <t>https://www.instagram.com/coldiretti</t>
        </is>
      </c>
      <c r="D53" t="n">
        <v>429</v>
      </c>
      <c r="E53" t="inlineStr">
        <is>
          <t>HTTP_429,THIN_BODY</t>
        </is>
      </c>
      <c r="F53" t="inlineStr">
        <is>
          <t>NAO_SELECIONADA</t>
        </is>
      </c>
      <c r="G53" t="inlineStr">
        <is>
          <t>validada, mas fora do teto de 25 para INSTAGRAM (secao 20): a plataforma nao permite prova direta de identidade a partir do datacenter</t>
        </is>
      </c>
      <c r="H53" t="inlineStr">
        <is>
          <t>social_declarado_pelo_dono</t>
        </is>
      </c>
    </row>
    <row r="54">
      <c r="A54" t="inlineStr">
        <is>
          <t>CIA — Agricoltori Italiani — Facebook ufficiale</t>
        </is>
      </c>
      <c r="B54" t="inlineStr">
        <is>
          <t>FACEBOOK</t>
        </is>
      </c>
      <c r="C54" t="inlineStr">
        <is>
          <t>https://www.facebook.com/CiaLaspesaincampagna</t>
        </is>
      </c>
      <c r="D54" t="n">
        <v>200</v>
      </c>
      <c r="E54" t="inlineStr">
        <is>
          <t>PLATFORM_GENERIC_TITLE</t>
        </is>
      </c>
      <c r="F54" t="inlineStr">
        <is>
          <t>NAO_SELECIONADA</t>
        </is>
      </c>
      <c r="G54" t="inlineStr">
        <is>
          <t>validada, mas fora do teto de 20 para FACEBOOK (secao 20): a plataforma nao permite prova direta de identidade a partir do datacenter</t>
        </is>
      </c>
      <c r="H54" t="inlineStr">
        <is>
          <t>social_declarado_pelo_dono</t>
        </is>
      </c>
    </row>
    <row r="55">
      <c r="A55" t="inlineStr">
        <is>
          <t>CIA — Agricoltori Italiani — Instagram ufficiale</t>
        </is>
      </c>
      <c r="B55" t="inlineStr">
        <is>
          <t>INSTAGRAM</t>
        </is>
      </c>
      <c r="C55" t="inlineStr">
        <is>
          <t>https://www.instagram.com/cia_agricoltori</t>
        </is>
      </c>
      <c r="D55" t="n">
        <v>429</v>
      </c>
      <c r="E55" t="inlineStr">
        <is>
          <t>HTTP_429,THIN_BODY</t>
        </is>
      </c>
      <c r="F55" t="inlineStr">
        <is>
          <t>NAO_SELECIONADA</t>
        </is>
      </c>
      <c r="G55" t="inlineStr">
        <is>
          <t>validada, mas fora do teto de 25 para INSTAGRAM (secao 20): a plataforma nao permite prova direta de identidade a partir do datacenter</t>
        </is>
      </c>
      <c r="H55" t="inlineStr">
        <is>
          <t>social_declarado_pelo_dono</t>
        </is>
      </c>
    </row>
    <row r="56">
      <c r="A56" t="inlineStr">
        <is>
          <t>Confcooperative Fedagripesca — Facebook ufficiale</t>
        </is>
      </c>
      <c r="B56" t="inlineStr">
        <is>
          <t>FACEBOOK</t>
        </is>
      </c>
      <c r="C56" t="inlineStr">
        <is>
          <t>https://www.facebook.com/fedagri</t>
        </is>
      </c>
      <c r="D56" t="n">
        <v>200</v>
      </c>
      <c r="E56" t="inlineStr">
        <is>
          <t>PLATFORM_GENERIC_TITLE</t>
        </is>
      </c>
      <c r="F56" t="inlineStr">
        <is>
          <t>NAO_SELECIONADA</t>
        </is>
      </c>
      <c r="G56" t="inlineStr">
        <is>
          <t>validada, mas fora do teto de 20 para FACEBOOK (secao 20): a plataforma nao permite prova direta de identidade a partir do datacenter</t>
        </is>
      </c>
      <c r="H56" t="inlineStr">
        <is>
          <t>social_declarado_pelo_dono</t>
        </is>
      </c>
    </row>
    <row r="57">
      <c r="A57" t="inlineStr">
        <is>
          <t>Alleanza delle Cooperative Italiane Agroalimentare — Facebook ufficiale</t>
        </is>
      </c>
      <c r="B57" t="inlineStr">
        <is>
          <t>FACEBOOK</t>
        </is>
      </c>
      <c r="C57" t="inlineStr">
        <is>
          <t>https://www.facebook.com/alleanzacooperativeitaliane</t>
        </is>
      </c>
      <c r="D57" t="n">
        <v>200</v>
      </c>
      <c r="E57" t="inlineStr">
        <is>
          <t>PLATFORM_GENERIC_TITLE</t>
        </is>
      </c>
      <c r="F57" t="inlineStr">
        <is>
          <t>NAO_SELECIONADA</t>
        </is>
      </c>
      <c r="G57" t="inlineStr">
        <is>
          <t>validada, mas fora do teto de 20 para FACEBOOK (secao 20): a plataforma nao permite prova direta de identidade a partir do datacenter</t>
        </is>
      </c>
      <c r="H57" t="inlineStr">
        <is>
          <t>social_declarado_pelo_dono</t>
        </is>
      </c>
    </row>
    <row r="58">
      <c r="A58" t="inlineStr">
        <is>
          <t>Agrofarma — Federchimica — Facebook ufficiale</t>
        </is>
      </c>
      <c r="B58" t="inlineStr">
        <is>
          <t>FACEBOOK</t>
        </is>
      </c>
      <c r="C58" t="inlineStr">
        <is>
          <t>https://www.facebook.com/Agrofarma.agricolturamodomio</t>
        </is>
      </c>
      <c r="D58" t="n">
        <v>200</v>
      </c>
      <c r="E58" t="inlineStr">
        <is>
          <t>PLATFORM_GENERIC_TITLE</t>
        </is>
      </c>
      <c r="F58" t="inlineStr">
        <is>
          <t>NAO_SELECIONADA</t>
        </is>
      </c>
      <c r="G58" t="inlineStr">
        <is>
          <t>validada, mas fora do teto de 20 para FACEBOOK (secao 20): a plataforma nao permite prova direta de identidade a partir do datacenter</t>
        </is>
      </c>
      <c r="H58" t="inlineStr">
        <is>
          <t>social_declarado_pelo_dono</t>
        </is>
      </c>
    </row>
    <row r="59">
      <c r="A59" t="inlineStr">
        <is>
          <t>ANBI — Associazione Nazionale Consorzi di gestione e tutela del territorio e acque irrigue — Facebook ufficiale</t>
        </is>
      </c>
      <c r="B59" t="inlineStr">
        <is>
          <t>FACEBOOK</t>
        </is>
      </c>
      <c r="C59" t="inlineStr">
        <is>
          <t>https://www.facebook.com/anbipage</t>
        </is>
      </c>
      <c r="D59" t="n">
        <v>200</v>
      </c>
      <c r="E59" t="inlineStr">
        <is>
          <t>PLATFORM_GENERIC_TITLE</t>
        </is>
      </c>
      <c r="F59" t="inlineStr">
        <is>
          <t>NAO_SELECIONADA</t>
        </is>
      </c>
      <c r="G59" t="inlineStr">
        <is>
          <t>validada, mas fora do teto de 20 para FACEBOOK (secao 20): a plataforma nao permite prova direta de identidade a partir do datacenter</t>
        </is>
      </c>
      <c r="H59" t="inlineStr">
        <is>
          <t>social_declarado_pelo_dono</t>
        </is>
      </c>
    </row>
    <row r="60">
      <c r="A60" t="inlineStr">
        <is>
          <t>ANBI — Associazione Nazionale Consorzi di gestione e tutela del territorio e acque irrigue — Instagram ufficiale</t>
        </is>
      </c>
      <c r="B60" t="inlineStr">
        <is>
          <t>INSTAGRAM</t>
        </is>
      </c>
      <c r="C60" t="inlineStr">
        <is>
          <t>https://www.instagram.com/anbinazionale</t>
        </is>
      </c>
      <c r="D60" t="n">
        <v>429</v>
      </c>
      <c r="E60" t="inlineStr">
        <is>
          <t>HTTP_429,THIN_BODY</t>
        </is>
      </c>
      <c r="F60" t="inlineStr">
        <is>
          <t>NAO_SELECIONADA</t>
        </is>
      </c>
      <c r="G60" t="inlineStr">
        <is>
          <t>validada, mas fora do teto de 25 para INSTAGRAM (secao 20): a plataforma nao permite prova direta de identidade a partir do datacenter</t>
        </is>
      </c>
      <c r="H60" t="inlineStr">
        <is>
          <t>social_declarado_pelo_dono</t>
        </is>
      </c>
    </row>
    <row r="61">
      <c r="A61" t="inlineStr">
        <is>
          <t>Pianeta PSR — Facebook ufficiale</t>
        </is>
      </c>
      <c r="B61" t="inlineStr">
        <is>
          <t>FACEBOOK</t>
        </is>
      </c>
      <c r="C61" t="inlineStr">
        <is>
          <t>https://www.facebook.com/reterurale</t>
        </is>
      </c>
      <c r="D61" t="n">
        <v>200</v>
      </c>
      <c r="E61" t="inlineStr">
        <is>
          <t>PLATFORM_GENERIC_TITLE</t>
        </is>
      </c>
      <c r="F61" t="inlineStr">
        <is>
          <t>NAO_SELECIONADA</t>
        </is>
      </c>
      <c r="G61" t="inlineStr">
        <is>
          <t>validada, mas fora do teto de 20 para FACEBOOK (secao 20): a plataforma nao permite prova direta de identidade a partir do datacenter</t>
        </is>
      </c>
      <c r="H61" t="inlineStr">
        <is>
          <t>social_declarado_pelo_dono</t>
        </is>
      </c>
    </row>
    <row r="62">
      <c r="A62" t="inlineStr">
        <is>
          <t>Pianeta PSR — Linkedin ufficiale</t>
        </is>
      </c>
      <c r="B62" t="inlineStr">
        <is>
          <t>LINKEDIN</t>
        </is>
      </c>
      <c r="C62" t="inlineStr">
        <is>
          <t>https://www.linkedin.com/showcase/reterurale</t>
        </is>
      </c>
      <c r="D62" t="n">
        <v>404</v>
      </c>
      <c r="E62" t="inlineStr">
        <is>
          <t>HTTP_404,PLATFORM_GENERIC_TITLE</t>
        </is>
      </c>
      <c r="F62" t="inlineStr">
        <is>
          <t>REJECT</t>
        </is>
      </c>
      <c r="G62" t="inlineStr">
        <is>
          <t>HTTP 404</t>
        </is>
      </c>
      <c r="H62" t="inlineStr">
        <is>
          <t>social_declarado_pelo_dono</t>
        </is>
      </c>
    </row>
    <row r="63">
      <c r="A63" t="inlineStr">
        <is>
          <t>ERSA FVG — Agenzia regionale per lo sviluppo rurale — Facebook ufficiale</t>
        </is>
      </c>
      <c r="B63" t="inlineStr">
        <is>
          <t>FACEBOOK</t>
        </is>
      </c>
      <c r="C63" t="inlineStr">
        <is>
          <t>https://www.facebook.com/ERSAFVGINFORMA</t>
        </is>
      </c>
      <c r="D63" t="n">
        <v>400</v>
      </c>
      <c r="E63" t="inlineStr">
        <is>
          <t>HTTP_400,SOFT_404</t>
        </is>
      </c>
      <c r="F63" t="inlineStr">
        <is>
          <t>REJECT</t>
        </is>
      </c>
      <c r="G63" t="inlineStr">
        <is>
          <t>HTTP 200 com pagina de erro (soft-404)</t>
        </is>
      </c>
      <c r="H63" t="inlineStr">
        <is>
          <t>social_declarado_pelo_dono</t>
        </is>
      </c>
    </row>
    <row r="64">
      <c r="A64" t="inlineStr">
        <is>
          <t>ASSAM Marche — Agenzia Servizi Settore Agroalimentare delle Marche — Facebook ufficiale</t>
        </is>
      </c>
      <c r="B64" t="inlineStr">
        <is>
          <t>FACEBOOK</t>
        </is>
      </c>
      <c r="C64" t="inlineStr">
        <is>
          <t>https://www.facebook.com/amap.marche</t>
        </is>
      </c>
      <c r="D64" t="n">
        <v>400</v>
      </c>
      <c r="E64" t="inlineStr">
        <is>
          <t>HTTP_400,SOFT_404</t>
        </is>
      </c>
      <c r="F64" t="inlineStr">
        <is>
          <t>REJECT</t>
        </is>
      </c>
      <c r="G64" t="inlineStr">
        <is>
          <t>HTTP 200 com pagina de erro (soft-404)</t>
        </is>
      </c>
      <c r="H64" t="inlineStr">
        <is>
          <t>social_declarado_pelo_dono</t>
        </is>
      </c>
    </row>
    <row r="65">
      <c r="A65" t="inlineStr">
        <is>
          <t>ARSIAL — Agenzia Regionale Sviluppo Innovazione Agricoltura Lazio — Linkedin ufficiale</t>
        </is>
      </c>
      <c r="B65" t="inlineStr">
        <is>
          <t>LINKEDIN</t>
        </is>
      </c>
      <c r="C65" t="inlineStr">
        <is>
          <t>https://www.linkedin.com/company/arsial-agenzia-regionale-per-lo-sviluppo-e-l-innovazione-dell-agricoltur</t>
        </is>
      </c>
      <c r="D65" t="n">
        <v>404</v>
      </c>
      <c r="E65" t="inlineStr">
        <is>
          <t>HTTP_404,PLATFORM_GENERIC_TITLE</t>
        </is>
      </c>
      <c r="F65" t="inlineStr">
        <is>
          <t>REJECT</t>
        </is>
      </c>
      <c r="G65" t="inlineStr">
        <is>
          <t>HTTP 404</t>
        </is>
      </c>
      <c r="H65" t="inlineStr">
        <is>
          <t>social_declarado_pelo_dono</t>
        </is>
      </c>
    </row>
    <row r="66">
      <c r="A66" t="inlineStr">
        <is>
          <t>Regione Piemonte — Agricoltura e cibo — Instagram ufficiale</t>
        </is>
      </c>
      <c r="B66" t="inlineStr">
        <is>
          <t>INSTAGRAM</t>
        </is>
      </c>
      <c r="C66" t="inlineStr">
        <is>
          <t>https://www.instagram.com/regionepiemonte.official</t>
        </is>
      </c>
      <c r="D66" t="n">
        <v>429</v>
      </c>
      <c r="E66" t="inlineStr">
        <is>
          <t>HTTP_429,THIN_BODY</t>
        </is>
      </c>
      <c r="F66" t="inlineStr">
        <is>
          <t>NAO_SELECIONADA</t>
        </is>
      </c>
      <c r="G66" t="inlineStr">
        <is>
          <t>validada, mas fora do teto de 25 para INSTAGRAM (secao 20): a plataforma nao permite prova direta de identidade a partir do datacenter</t>
        </is>
      </c>
      <c r="H66" t="inlineStr">
        <is>
          <t>social_declarado_pelo_dono</t>
        </is>
      </c>
    </row>
    <row r="67">
      <c r="A67" t="inlineStr">
        <is>
          <t>Regione Toscana — Agricoltura — Facebook ufficiale</t>
        </is>
      </c>
      <c r="B67" t="inlineStr">
        <is>
          <t>FACEBOOK</t>
        </is>
      </c>
      <c r="C67" t="inlineStr">
        <is>
          <t>https://www.facebook.com/regionetoscana.paginaufficiale</t>
        </is>
      </c>
      <c r="D67" t="n">
        <v>200</v>
      </c>
      <c r="E67" t="inlineStr">
        <is>
          <t>PLATFORM_GENERIC_TITLE</t>
        </is>
      </c>
      <c r="F67" t="inlineStr">
        <is>
          <t>NAO_SELECIONADA</t>
        </is>
      </c>
      <c r="G67" t="inlineStr">
        <is>
          <t>validada, mas fora do teto de 20 para FACEBOOK (secao 20): a plataforma nao permite prova direta de identidade a partir do datacenter</t>
        </is>
      </c>
      <c r="H67" t="inlineStr">
        <is>
          <t>social_declarado_pelo_dono</t>
        </is>
      </c>
    </row>
    <row r="68">
      <c r="A68" t="inlineStr">
        <is>
          <t>Regione Toscana — Agricoltura — Instagram ufficiale</t>
        </is>
      </c>
      <c r="B68" t="inlineStr">
        <is>
          <t>INSTAGRAM</t>
        </is>
      </c>
      <c r="C68" t="inlineStr">
        <is>
          <t>https://www.instagram.com/regionetoscana</t>
        </is>
      </c>
      <c r="D68" t="n">
        <v>429</v>
      </c>
      <c r="E68" t="inlineStr">
        <is>
          <t>HTTP_429,THIN_BODY</t>
        </is>
      </c>
      <c r="F68" t="inlineStr">
        <is>
          <t>NAO_SELECIONADA</t>
        </is>
      </c>
      <c r="G68" t="inlineStr">
        <is>
          <t>validada, mas fora do teto de 25 para INSTAGRAM (secao 20): a plataforma nao permite prova direta de identidade a partir do datacenter</t>
        </is>
      </c>
      <c r="H68" t="inlineStr">
        <is>
          <t>social_declarado_pelo_dono</t>
        </is>
      </c>
    </row>
    <row r="69">
      <c r="A69" t="inlineStr">
        <is>
          <t>Regione Molise — Agricoltura — Facebook ufficiale</t>
        </is>
      </c>
      <c r="B69" t="inlineStr">
        <is>
          <t>FACEBOOK</t>
        </is>
      </c>
      <c r="C69" t="inlineStr">
        <is>
          <t>https://www.facebook.com/regionemolisepaginaufficiale</t>
        </is>
      </c>
      <c r="D69" t="n">
        <v>400</v>
      </c>
      <c r="E69" t="inlineStr">
        <is>
          <t>HTTP_400,SOFT_404</t>
        </is>
      </c>
      <c r="F69" t="inlineStr">
        <is>
          <t>REJECT</t>
        </is>
      </c>
      <c r="G69" t="inlineStr">
        <is>
          <t>HTTP 200 com pagina de erro (soft-404)</t>
        </is>
      </c>
      <c r="H69" t="inlineStr">
        <is>
          <t>social_declarado_pelo_dono</t>
        </is>
      </c>
    </row>
    <row r="70">
      <c r="A70" t="inlineStr">
        <is>
          <t>Regione Molise — Agricoltura — Instagram ufficiale</t>
        </is>
      </c>
      <c r="B70" t="inlineStr">
        <is>
          <t>INSTAGRAM</t>
        </is>
      </c>
      <c r="C70" t="inlineStr">
        <is>
          <t>https://www.instagram.com/regionemolise</t>
        </is>
      </c>
      <c r="D70" t="n">
        <v>429</v>
      </c>
      <c r="E70" t="inlineStr">
        <is>
          <t>HTTP_429,THIN_BODY</t>
        </is>
      </c>
      <c r="F70" t="inlineStr">
        <is>
          <t>NAO_SELECIONADA</t>
        </is>
      </c>
      <c r="G70" t="inlineStr">
        <is>
          <t>validada, mas fora do teto de 25 para INSTAGRAM (secao 20): a plataforma nao permite prova direta de identidade a partir do datacenter</t>
        </is>
      </c>
      <c r="H70" t="inlineStr">
        <is>
          <t>social_declarado_pelo_dono</t>
        </is>
      </c>
    </row>
    <row r="71">
      <c r="A71" t="inlineStr">
        <is>
          <t>Institut Agricole Regional — Aosta — Instagram ufficiale</t>
        </is>
      </c>
      <c r="B71" t="inlineStr">
        <is>
          <t>INSTAGRAM</t>
        </is>
      </c>
      <c r="C71" t="inlineStr">
        <is>
          <t>https://www.instagram.com/institutagricoleregional</t>
        </is>
      </c>
      <c r="D71" t="n">
        <v>429</v>
      </c>
      <c r="E71" t="inlineStr">
        <is>
          <t>HTTP_429,THIN_BODY</t>
        </is>
      </c>
      <c r="F71" t="inlineStr">
        <is>
          <t>NAO_SELECIONADA</t>
        </is>
      </c>
      <c r="G71" t="inlineStr">
        <is>
          <t>validada, mas fora do teto de 25 para INSTAGRAM (secao 20): a plataforma nao permite prova direta de identidade a partir do datacenter</t>
        </is>
      </c>
      <c r="H71" t="inlineStr">
        <is>
          <t>social_declarado_pelo_dono</t>
        </is>
      </c>
    </row>
    <row r="72">
      <c r="A72" t="inlineStr">
        <is>
          <t>Institut Agricole Regional — Aosta — Facebook ufficiale</t>
        </is>
      </c>
      <c r="B72" t="inlineStr">
        <is>
          <t>FACEBOOK</t>
        </is>
      </c>
      <c r="C72" t="inlineStr">
        <is>
          <t>https://www.facebook.com/iaraosta</t>
        </is>
      </c>
      <c r="D72" t="n">
        <v>200</v>
      </c>
      <c r="E72" t="inlineStr">
        <is>
          <t>PLATFORM_GENERIC_TITLE</t>
        </is>
      </c>
      <c r="F72" t="inlineStr">
        <is>
          <t>NAO_SELECIONADA</t>
        </is>
      </c>
      <c r="G72" t="inlineStr">
        <is>
          <t>validada, mas fora do teto de 20 para FACEBOOK (secao 20): a plataforma nao permite prova direta de identidade a partir do datacenter</t>
        </is>
      </c>
      <c r="H72" t="inlineStr">
        <is>
          <t>social_declarado_pelo_dono</t>
        </is>
      </c>
    </row>
    <row r="73">
      <c r="A73" t="inlineStr">
        <is>
          <t>Institut Agricole Regional — Aosta — Linkedin ufficiale</t>
        </is>
      </c>
      <c r="B73" t="inlineStr">
        <is>
          <t>LINKEDIN</t>
        </is>
      </c>
      <c r="C73" t="inlineStr">
        <is>
          <t>https://www.linkedin.com/company/institut-agricole-r</t>
        </is>
      </c>
      <c r="D73" t="n">
        <v>404</v>
      </c>
      <c r="E73" t="inlineStr">
        <is>
          <t>HTTP_404,PLATFORM_GENERIC_TITLE</t>
        </is>
      </c>
      <c r="F73" t="inlineStr">
        <is>
          <t>REJECT</t>
        </is>
      </c>
      <c r="G73" t="inlineStr">
        <is>
          <t>HTTP 404</t>
        </is>
      </c>
      <c r="H73" t="inlineStr">
        <is>
          <t>social_declarado_pelo_dono</t>
        </is>
      </c>
    </row>
    <row r="74">
      <c r="A74" t="inlineStr">
        <is>
          <t>Institut Agricole Regional — Aosta — Youtube ufficiale</t>
        </is>
      </c>
      <c r="B74" t="inlineStr">
        <is>
          <t>YOUTUBE</t>
        </is>
      </c>
      <c r="C74" t="inlineStr">
        <is>
          <t>https://www.youtube.com/c/InstitutAgricoleR</t>
        </is>
      </c>
      <c r="D74" t="n">
        <v>404</v>
      </c>
      <c r="E74" t="inlineStr">
        <is>
          <t>HTTP_404,SOFT_404,THIN_BODY</t>
        </is>
      </c>
      <c r="F74" t="inlineStr">
        <is>
          <t>REJECT</t>
        </is>
      </c>
      <c r="G74" t="inlineStr">
        <is>
          <t>HTTP 200 com pagina de erro (soft-404)</t>
        </is>
      </c>
      <c r="H74" t="inlineStr">
        <is>
          <t>social_declarado_pelo_dono</t>
        </is>
      </c>
    </row>
    <row r="75">
      <c r="A75" t="inlineStr">
        <is>
          <t>ARPAT Toscana — Facebook ufficiale</t>
        </is>
      </c>
      <c r="B75" t="inlineStr">
        <is>
          <t>FACEBOOK</t>
        </is>
      </c>
      <c r="C75" t="inlineStr">
        <is>
          <t>https://www.facebook.com/Arpatnews</t>
        </is>
      </c>
      <c r="D75" t="n">
        <v>400</v>
      </c>
      <c r="E75" t="inlineStr">
        <is>
          <t>HTTP_400,SOFT_404</t>
        </is>
      </c>
      <c r="F75" t="inlineStr">
        <is>
          <t>REJECT</t>
        </is>
      </c>
      <c r="G75" t="inlineStr">
        <is>
          <t>HTTP 200 com pagina de erro (soft-404)</t>
        </is>
      </c>
      <c r="H75" t="inlineStr">
        <is>
          <t>social_declarado_pelo_dono</t>
        </is>
      </c>
    </row>
    <row r="76">
      <c r="A76" t="inlineStr">
        <is>
          <t>ARPA Liguria — Linkedin ufficiale</t>
        </is>
      </c>
      <c r="B76" t="inlineStr">
        <is>
          <t>LINKEDIN</t>
        </is>
      </c>
      <c r="C76" t="inlineStr">
        <is>
          <t>https://www.linkedin.com/company/arpal-agenziaregionaleperl</t>
        </is>
      </c>
      <c r="D76" t="n">
        <v>404</v>
      </c>
      <c r="E76" t="inlineStr">
        <is>
          <t>HTTP_404,PLATFORM_GENERIC_TITLE</t>
        </is>
      </c>
      <c r="F76" t="inlineStr">
        <is>
          <t>REJECT</t>
        </is>
      </c>
      <c r="G76" t="inlineStr">
        <is>
          <t>HTTP 404</t>
        </is>
      </c>
      <c r="H76" t="inlineStr">
        <is>
          <t>social_declarado_pelo_dono</t>
        </is>
      </c>
    </row>
    <row r="77">
      <c r="A77" t="inlineStr">
        <is>
          <t>UNIBO DISTAL — Dipartimento di Scienze e Tecnologie Agro-Alimentari — Facebook ufficiale</t>
        </is>
      </c>
      <c r="B77" t="inlineStr">
        <is>
          <t>FACEBOOK</t>
        </is>
      </c>
      <c r="C77" t="inlineStr">
        <is>
          <t>https://www.facebook.com/distal.unibo</t>
        </is>
      </c>
      <c r="D77" t="n">
        <v>200</v>
      </c>
      <c r="E77" t="inlineStr">
        <is>
          <t>PLATFORM_GENERIC_TITLE</t>
        </is>
      </c>
      <c r="F77" t="inlineStr">
        <is>
          <t>NAO_SELECIONADA</t>
        </is>
      </c>
      <c r="G77" t="inlineStr">
        <is>
          <t>validada, mas fora do teto de 20 para FACEBOOK (secao 20): a plataforma nao permite prova direta de identidade a partir do datacenter</t>
        </is>
      </c>
      <c r="H77" t="inlineStr">
        <is>
          <t>social_declarado_pelo_dono</t>
        </is>
      </c>
    </row>
    <row r="78">
      <c r="A78" t="inlineStr">
        <is>
          <t>UNIBO DISTAL — Dipartimento di Scienze e Tecnologie Agro-Alimentari — Instagram ufficiale</t>
        </is>
      </c>
      <c r="B78" t="inlineStr">
        <is>
          <t>INSTAGRAM</t>
        </is>
      </c>
      <c r="C78" t="inlineStr">
        <is>
          <t>https://www.instagram.com/distal.unibo</t>
        </is>
      </c>
      <c r="D78" t="n">
        <v>429</v>
      </c>
      <c r="E78" t="inlineStr">
        <is>
          <t>HTTP_429,THIN_BODY</t>
        </is>
      </c>
      <c r="F78" t="inlineStr">
        <is>
          <t>NAO_SELECIONADA</t>
        </is>
      </c>
      <c r="G78" t="inlineStr">
        <is>
          <t>validada, mas fora do teto de 25 para INSTAGRAM (secao 20): a plataforma nao permite prova direta de identidade a partir do datacenter</t>
        </is>
      </c>
      <c r="H78" t="inlineStr">
        <is>
          <t>social_declarado_pelo_dono</t>
        </is>
      </c>
    </row>
    <row r="79">
      <c r="A79" t="inlineStr">
        <is>
          <t>UNIMI DiSAA — Dipartimento di Scienze Agrarie e Ambientali — Youtube ufficiale</t>
        </is>
      </c>
      <c r="B79" t="inlineStr">
        <is>
          <t>YOUTUBE</t>
        </is>
      </c>
      <c r="C79" t="inlineStr">
        <is>
          <t>https://www.youtube.com/@sitodisaapress4093/videos</t>
        </is>
      </c>
      <c r="D79" t="n">
        <v>404</v>
      </c>
      <c r="E79" t="inlineStr">
        <is>
          <t>HTTP_404,SOFT_404,THIN_BODY</t>
        </is>
      </c>
      <c r="F79" t="inlineStr">
        <is>
          <t>REJECT</t>
        </is>
      </c>
      <c r="G79" t="inlineStr">
        <is>
          <t>HTTP 200 com pagina de erro (soft-404)</t>
        </is>
      </c>
      <c r="H79" t="inlineStr">
        <is>
          <t>social_declarado_pelo_dono</t>
        </is>
      </c>
    </row>
    <row r="80">
      <c r="A80" t="inlineStr">
        <is>
          <t>UNIMI DiSAA — Dipartimento di Scienze Agrarie e Ambientali — Instagram ufficiale</t>
        </is>
      </c>
      <c r="B80" t="inlineStr">
        <is>
          <t>INSTAGRAM</t>
        </is>
      </c>
      <c r="C80" t="inlineStr">
        <is>
          <t>https://www.instagram.com/disaa_unimi</t>
        </is>
      </c>
      <c r="D80" t="n">
        <v>429</v>
      </c>
      <c r="E80" t="inlineStr">
        <is>
          <t>HTTP_429,THIN_BODY</t>
        </is>
      </c>
      <c r="F80" t="inlineStr">
        <is>
          <t>NAO_SELECIONADA</t>
        </is>
      </c>
      <c r="G80" t="inlineStr">
        <is>
          <t>validada, mas fora do teto de 25 para INSTAGRAM (secao 20): a plataforma nao permite prova direta de identidade a partir do datacenter</t>
        </is>
      </c>
      <c r="H80" t="inlineStr">
        <is>
          <t>social_declarado_pelo_dono</t>
        </is>
      </c>
    </row>
    <row r="81">
      <c r="A81" t="inlineStr">
        <is>
          <t>UNIMI DiSAA — Dipartimento di Scienze Agrarie e Ambientali — Facebook ufficiale</t>
        </is>
      </c>
      <c r="B81" t="inlineStr">
        <is>
          <t>FACEBOOK</t>
        </is>
      </c>
      <c r="C81" t="inlineStr">
        <is>
          <t>https://www.facebook.com/laStatale</t>
        </is>
      </c>
      <c r="D81" t="n">
        <v>200</v>
      </c>
      <c r="E81" t="inlineStr">
        <is>
          <t>PLATFORM_GENERIC_TITLE</t>
        </is>
      </c>
      <c r="F81" t="inlineStr">
        <is>
          <t>NAO_SELECIONADA</t>
        </is>
      </c>
      <c r="G81" t="inlineStr">
        <is>
          <t>validada, mas fora do teto de 20 para FACEBOOK (secao 20): a plataforma nao permite prova direta de identidade a partir do datacenter</t>
        </is>
      </c>
      <c r="H81" t="inlineStr">
        <is>
          <t>social_declarado_pelo_dono</t>
        </is>
      </c>
    </row>
    <row r="82">
      <c r="A82" t="inlineStr">
        <is>
          <t>UNIPD DAFNAE — Dipartimento di Agronomia Animali Alimenti Risorse Naturali e Ambiente — Facebook ufficiale</t>
        </is>
      </c>
      <c r="B82" t="inlineStr">
        <is>
          <t>FACEBOOK</t>
        </is>
      </c>
      <c r="C82" t="inlineStr">
        <is>
          <t>https://www.facebook.com/dafnae.unipd</t>
        </is>
      </c>
      <c r="D82" t="n">
        <v>200</v>
      </c>
      <c r="E82" t="inlineStr">
        <is>
          <t>PLATFORM_GENERIC_TITLE</t>
        </is>
      </c>
      <c r="F82" t="inlineStr">
        <is>
          <t>NAO_SELECIONADA</t>
        </is>
      </c>
      <c r="G82" t="inlineStr">
        <is>
          <t>validada, mas fora do teto de 20 para FACEBOOK (secao 20): a plataforma nao permite prova direta de identidade a partir do datacenter</t>
        </is>
      </c>
      <c r="H82" t="inlineStr">
        <is>
          <t>social_declarado_pelo_dono</t>
        </is>
      </c>
    </row>
    <row r="83">
      <c r="A83" t="inlineStr">
        <is>
          <t>UNIPD DAFNAE — Dipartimento di Agronomia Animali Alimenti Risorse Naturali e Ambiente — Instagram ufficiale</t>
        </is>
      </c>
      <c r="B83" t="inlineStr">
        <is>
          <t>INSTAGRAM</t>
        </is>
      </c>
      <c r="C83" t="inlineStr">
        <is>
          <t>https://www.instagram.com/dafnaeunipd</t>
        </is>
      </c>
      <c r="D83" t="n">
        <v>429</v>
      </c>
      <c r="E83" t="inlineStr">
        <is>
          <t>HTTP_429,THIN_BODY</t>
        </is>
      </c>
      <c r="F83" t="inlineStr">
        <is>
          <t>NAO_SELECIONADA</t>
        </is>
      </c>
      <c r="G83" t="inlineStr">
        <is>
          <t>validada, mas fora do teto de 25 para INSTAGRAM (secao 20): a plataforma nao permite prova direta de identidade a partir do datacenter</t>
        </is>
      </c>
      <c r="H83" t="inlineStr">
        <is>
          <t>social_declarado_pelo_dono</t>
        </is>
      </c>
    </row>
    <row r="84">
      <c r="A84" t="inlineStr">
        <is>
          <t>UNINA Dipartimento di Agraria — Portici — Facebook ufficiale</t>
        </is>
      </c>
      <c r="B84" t="inlineStr">
        <is>
          <t>FACEBOOK</t>
        </is>
      </c>
      <c r="C84" t="inlineStr">
        <is>
          <t>https://www.facebook.com/DipartimentoAgrariaUnina</t>
        </is>
      </c>
      <c r="D84" t="n">
        <v>200</v>
      </c>
      <c r="E84" t="inlineStr">
        <is>
          <t>PLATFORM_GENERIC_TITLE</t>
        </is>
      </c>
      <c r="F84" t="inlineStr">
        <is>
          <t>NAO_SELECIONADA</t>
        </is>
      </c>
      <c r="G84" t="inlineStr">
        <is>
          <t>validada, mas fora do teto de 20 para FACEBOOK (secao 20): a plataforma nao permite prova direta de identidade a partir do datacenter</t>
        </is>
      </c>
      <c r="H84" t="inlineStr">
        <is>
          <t>social_declarado_pelo_dono</t>
        </is>
      </c>
    </row>
    <row r="85">
      <c r="A85" t="inlineStr">
        <is>
          <t>UNINA Dipartimento di Agraria — Portici — Instagram ufficiale</t>
        </is>
      </c>
      <c r="B85" t="inlineStr">
        <is>
          <t>INSTAGRAM</t>
        </is>
      </c>
      <c r="C85" t="inlineStr">
        <is>
          <t>https://www.instagram.com/agrariaunina</t>
        </is>
      </c>
      <c r="D85" t="n">
        <v>429</v>
      </c>
      <c r="E85" t="inlineStr">
        <is>
          <t>HTTP_429,THIN_BODY</t>
        </is>
      </c>
      <c r="F85" t="inlineStr">
        <is>
          <t>NAO_SELECIONADA</t>
        </is>
      </c>
      <c r="G85" t="inlineStr">
        <is>
          <t>validada, mas fora do teto de 25 para INSTAGRAM (secao 20): a plataforma nao permite prova direta de identidade a partir do datacenter</t>
        </is>
      </c>
      <c r="H85" t="inlineStr">
        <is>
          <t>social_declarado_pelo_dono</t>
        </is>
      </c>
    </row>
    <row r="86">
      <c r="A86" t="inlineStr">
        <is>
          <t>UNIBA DiSSPA — Dipartimento di Scienze del Suolo della Pianta e degli Alimenti — Facebook ufficiale</t>
        </is>
      </c>
      <c r="B86" t="inlineStr">
        <is>
          <t>FACEBOOK</t>
        </is>
      </c>
      <c r="C86" t="inlineStr">
        <is>
          <t>https://www.facebook.com/unibait</t>
        </is>
      </c>
      <c r="D86" t="n">
        <v>200</v>
      </c>
      <c r="E86" t="inlineStr">
        <is>
          <t>PLATFORM_GENERIC_TITLE</t>
        </is>
      </c>
      <c r="F86" t="inlineStr">
        <is>
          <t>NAO_SELECIONADA</t>
        </is>
      </c>
      <c r="G86" t="inlineStr">
        <is>
          <t>validada, mas fora do teto de 20 para FACEBOOK (secao 20): a plataforma nao permite prova direta de identidade a partir do datacenter</t>
        </is>
      </c>
      <c r="H86" t="inlineStr">
        <is>
          <t>social_declarado_pelo_dono</t>
        </is>
      </c>
    </row>
    <row r="87">
      <c r="A87" t="inlineStr">
        <is>
          <t>UNIBA DiSSPA — Dipartimento di Scienze del Suolo della Pianta e degli Alimenti — Instagram ufficiale</t>
        </is>
      </c>
      <c r="B87" t="inlineStr">
        <is>
          <t>INSTAGRAM</t>
        </is>
      </c>
      <c r="C87" t="inlineStr">
        <is>
          <t>https://www.instagram.com/unibaofficial</t>
        </is>
      </c>
      <c r="D87" t="n">
        <v>429</v>
      </c>
      <c r="E87" t="inlineStr">
        <is>
          <t>HTTP_429,THIN_BODY</t>
        </is>
      </c>
      <c r="F87" t="inlineStr">
        <is>
          <t>NAO_SELECIONADA</t>
        </is>
      </c>
      <c r="G87" t="inlineStr">
        <is>
          <t>validada, mas fora do teto de 25 para INSTAGRAM (secao 20): a plataforma nao permite prova direta de identidade a partir do datacenter</t>
        </is>
      </c>
      <c r="H87" t="inlineStr">
        <is>
          <t>social_declarado_pelo_dono</t>
        </is>
      </c>
    </row>
    <row r="88">
      <c r="A88" t="inlineStr">
        <is>
          <t>UNIBA DiSSPA — Dipartimento di Scienze del Suolo della Pianta e degli Alimenti — Linkedin ufficiale</t>
        </is>
      </c>
      <c r="B88" t="inlineStr">
        <is>
          <t>LINKEDIN</t>
        </is>
      </c>
      <c r="C88" t="inlineStr">
        <is>
          <t>https://www.linkedin.com/school/universit-degli-studi-di-bari</t>
        </is>
      </c>
      <c r="D88" t="n">
        <v>999</v>
      </c>
      <c r="E88" t="inlineStr">
        <is>
          <t>HTTP_999</t>
        </is>
      </c>
      <c r="F88" t="inlineStr">
        <is>
          <t>UNKNOWN</t>
        </is>
      </c>
      <c r="G88" t="inlineStr">
        <is>
          <t>bloqueio/inconclusivo no datacenter (status=999, flags=HTTP_999)</t>
        </is>
      </c>
      <c r="H88" t="inlineStr">
        <is>
          <t>social_declarado_pelo_dono</t>
        </is>
      </c>
    </row>
    <row r="89">
      <c r="A89" t="inlineStr">
        <is>
          <t>UNICT Di3A — Dipartimento di Agricoltura Alimentazione e Ambiente — Facebook ufficiale</t>
        </is>
      </c>
      <c r="B89" t="inlineStr">
        <is>
          <t>FACEBOOK</t>
        </is>
      </c>
      <c r="C89" t="inlineStr">
        <is>
          <t>https://www.facebook.com/Di3A.Unict</t>
        </is>
      </c>
      <c r="D89" t="n">
        <v>200</v>
      </c>
      <c r="E89" t="inlineStr">
        <is>
          <t>PLATFORM_GENERIC_TITLE</t>
        </is>
      </c>
      <c r="F89" t="inlineStr">
        <is>
          <t>NAO_SELECIONADA</t>
        </is>
      </c>
      <c r="G89" t="inlineStr">
        <is>
          <t>validada, mas fora do teto de 20 para FACEBOOK (secao 20): a plataforma nao permite prova direta de identidade a partir do datacenter</t>
        </is>
      </c>
      <c r="H89" t="inlineStr">
        <is>
          <t>social_declarado_pelo_dono</t>
        </is>
      </c>
    </row>
    <row r="90">
      <c r="A90" t="inlineStr">
        <is>
          <t>UNICT Di3A — Dipartimento di Agricoltura Alimentazione e Ambiente — Instagram ufficiale</t>
        </is>
      </c>
      <c r="B90" t="inlineStr">
        <is>
          <t>INSTAGRAM</t>
        </is>
      </c>
      <c r="C90" t="inlineStr">
        <is>
          <t>https://www.instagram.com/di3aunict</t>
        </is>
      </c>
      <c r="D90" t="n">
        <v>429</v>
      </c>
      <c r="E90" t="inlineStr">
        <is>
          <t>HTTP_429,THIN_BODY</t>
        </is>
      </c>
      <c r="F90" t="inlineStr">
        <is>
          <t>NAO_SELECIONADA</t>
        </is>
      </c>
      <c r="G90" t="inlineStr">
        <is>
          <t>validada, mas fora do teto de 25 para INSTAGRAM (secao 20): a plataforma nao permite prova direta de identidade a partir do datacenter</t>
        </is>
      </c>
      <c r="H90" t="inlineStr">
        <is>
          <t>social_declarado_pelo_dono</t>
        </is>
      </c>
    </row>
    <row r="91">
      <c r="A91" t="inlineStr">
        <is>
          <t>UNITUS DAFNE — Dipartimento di Scienze Agrarie e Forestali — Facebook ufficiale</t>
        </is>
      </c>
      <c r="B91" t="inlineStr">
        <is>
          <t>FACEBOOK</t>
        </is>
      </c>
      <c r="C91" t="inlineStr">
        <is>
          <t>https://www.facebook.com/universitadeglistudidellatuscia</t>
        </is>
      </c>
      <c r="D91" t="n">
        <v>200</v>
      </c>
      <c r="E91" t="inlineStr">
        <is>
          <t>PLATFORM_GENERIC_TITLE</t>
        </is>
      </c>
      <c r="F91" t="inlineStr">
        <is>
          <t>NAO_SELECIONADA</t>
        </is>
      </c>
      <c r="G91" t="inlineStr">
        <is>
          <t>validada, mas fora do teto de 20 para FACEBOOK (secao 20): a plataforma nao permite prova direta de identidade a partir do datacenter</t>
        </is>
      </c>
      <c r="H91" t="inlineStr">
        <is>
          <t>social_declarado_pelo_dono</t>
        </is>
      </c>
    </row>
    <row r="92">
      <c r="A92" t="inlineStr">
        <is>
          <t>UNIRC Dipartimento di Agraria — Instagram ufficiale</t>
        </is>
      </c>
      <c r="B92" t="inlineStr">
        <is>
          <t>INSTAGRAM</t>
        </is>
      </c>
      <c r="C92" t="inlineStr">
        <is>
          <t>https://www.instagram.com/unircmedi</t>
        </is>
      </c>
      <c r="D92" t="n">
        <v>429</v>
      </c>
      <c r="E92" t="inlineStr">
        <is>
          <t>HTTP_429,THIN_BODY</t>
        </is>
      </c>
      <c r="F92" t="inlineStr">
        <is>
          <t>NAO_SELECIONADA</t>
        </is>
      </c>
      <c r="G92" t="inlineStr">
        <is>
          <t>validada, mas fora do teto de 25 para INSTAGRAM (secao 20): a plataforma nao permite prova direta de identidade a partir do datacenter</t>
        </is>
      </c>
      <c r="H92" t="inlineStr">
        <is>
          <t>social_declarado_pelo_dono</t>
        </is>
      </c>
    </row>
    <row r="93">
      <c r="A93" t="inlineStr">
        <is>
          <t>UNIRC Dipartimento di Agraria — Facebook ufficiale</t>
        </is>
      </c>
      <c r="B93" t="inlineStr">
        <is>
          <t>FACEBOOK</t>
        </is>
      </c>
      <c r="C93" t="inlineStr">
        <is>
          <t>https://www.facebook.com/unircmedi</t>
        </is>
      </c>
      <c r="D93" t="n">
        <v>200</v>
      </c>
      <c r="E93" t="inlineStr">
        <is>
          <t>PLATFORM_GENERIC_TITLE</t>
        </is>
      </c>
      <c r="F93" t="inlineStr">
        <is>
          <t>NAO_SELECIONADA</t>
        </is>
      </c>
      <c r="G93" t="inlineStr">
        <is>
          <t>validada, mas fora do teto de 20 para FACEBOOK (secao 20): a plataforma nao permite prova direta de identidade a partir do datacenter</t>
        </is>
      </c>
      <c r="H93" t="inlineStr">
        <is>
          <t>social_declarado_pelo_dono</t>
        </is>
      </c>
    </row>
    <row r="94">
      <c r="A94" t="inlineStr">
        <is>
          <t>Libera Universita di Bolzano — Facolta di Scienze agrarie ambientali e alimentari — Facebook ufficiale</t>
        </is>
      </c>
      <c r="B94" t="inlineStr">
        <is>
          <t>FACEBOOK</t>
        </is>
      </c>
      <c r="C94" t="inlineStr">
        <is>
          <t>https://www.facebook.com/unibz</t>
        </is>
      </c>
      <c r="D94" t="n">
        <v>200</v>
      </c>
      <c r="E94" t="inlineStr">
        <is>
          <t>PLATFORM_GENERIC_TITLE</t>
        </is>
      </c>
      <c r="F94" t="inlineStr">
        <is>
          <t>NAO_SELECIONADA</t>
        </is>
      </c>
      <c r="G94" t="inlineStr">
        <is>
          <t>validada, mas fora do teto de 20 para FACEBOOK (secao 20): a plataforma nao permite prova direta de identidade a partir do datacenter</t>
        </is>
      </c>
      <c r="H94" t="inlineStr">
        <is>
          <t>social_declarado_pelo_dono</t>
        </is>
      </c>
    </row>
    <row r="95">
      <c r="A95" t="inlineStr">
        <is>
          <t>Libera Universita di Bolzano — Facolta di Scienze agrarie ambientali e alimentari — Instagram ufficiale</t>
        </is>
      </c>
      <c r="B95" t="inlineStr">
        <is>
          <t>INSTAGRAM</t>
        </is>
      </c>
      <c r="C95" t="inlineStr">
        <is>
          <t>https://www.instagram.com/unibz</t>
        </is>
      </c>
      <c r="D95" t="n">
        <v>429</v>
      </c>
      <c r="E95" t="inlineStr">
        <is>
          <t>HTTP_429,THIN_BODY</t>
        </is>
      </c>
      <c r="F95" t="inlineStr">
        <is>
          <t>NAO_SELECIONADA</t>
        </is>
      </c>
      <c r="G95" t="inlineStr">
        <is>
          <t>validada, mas fora do teto de 25 para INSTAGRAM (secao 20): a plataforma nao permite prova direta de identidade a partir do datacenter</t>
        </is>
      </c>
      <c r="H95" t="inlineStr">
        <is>
          <t>social_declarado_pelo_dono</t>
        </is>
      </c>
    </row>
    <row r="96">
      <c r="A96" t="inlineStr">
        <is>
          <t>UNIVR Dipartimento di Biotecnologie — Facebook ufficiale</t>
        </is>
      </c>
      <c r="B96" t="inlineStr">
        <is>
          <t>FACEBOOK</t>
        </is>
      </c>
      <c r="C96" t="inlineStr">
        <is>
          <t>https://www.facebook.com/dbt.univr</t>
        </is>
      </c>
      <c r="D96" t="n">
        <v>200</v>
      </c>
      <c r="E96" t="inlineStr">
        <is>
          <t>PLATFORM_GENERIC_TITLE</t>
        </is>
      </c>
      <c r="F96" t="inlineStr">
        <is>
          <t>NAO_SELECIONADA</t>
        </is>
      </c>
      <c r="G96" t="inlineStr">
        <is>
          <t>validada, mas fora do teto de 20 para FACEBOOK (secao 20): a plataforma nao permite prova direta de identidade a partir do datacenter</t>
        </is>
      </c>
      <c r="H96" t="inlineStr">
        <is>
          <t>social_declarado_pelo_dono</t>
        </is>
      </c>
    </row>
    <row r="97">
      <c r="A97" t="inlineStr">
        <is>
          <t>UNIVR Dipartimento di Biotecnologie — Instagram ufficiale</t>
        </is>
      </c>
      <c r="B97" t="inlineStr">
        <is>
          <t>INSTAGRAM</t>
        </is>
      </c>
      <c r="C97" t="inlineStr">
        <is>
          <t>https://www.instagram.com/dbtunivr</t>
        </is>
      </c>
      <c r="D97" t="n">
        <v>429</v>
      </c>
      <c r="E97" t="inlineStr">
        <is>
          <t>HTTP_429,THIN_BODY</t>
        </is>
      </c>
      <c r="F97" t="inlineStr">
        <is>
          <t>NAO_SELECIONADA</t>
        </is>
      </c>
      <c r="G97" t="inlineStr">
        <is>
          <t>validada, mas fora do teto de 25 para INSTAGRAM (secao 20): a plataforma nao permite prova direta de identidade a partir do datacenter</t>
        </is>
      </c>
      <c r="H97" t="inlineStr">
        <is>
          <t>social_declarado_pelo_dono</t>
        </is>
      </c>
    </row>
    <row r="98">
      <c r="A98" t="inlineStr">
        <is>
          <t>UNIVR Dipartimento di Biotecnologie — Linkedin ufficiale</t>
        </is>
      </c>
      <c r="B98" t="inlineStr">
        <is>
          <t>LINKEDIN</t>
        </is>
      </c>
      <c r="C98" t="inlineStr">
        <is>
          <t>https://www.linkedin.com/company/dipartimento-di-biotecnologie-universit</t>
        </is>
      </c>
      <c r="D98" t="n">
        <v>404</v>
      </c>
      <c r="E98" t="inlineStr">
        <is>
          <t>HTTP_404,PLATFORM_GENERIC_TITLE</t>
        </is>
      </c>
      <c r="F98" t="inlineStr">
        <is>
          <t>REJECT</t>
        </is>
      </c>
      <c r="G98" t="inlineStr">
        <is>
          <t>HTTP 404</t>
        </is>
      </c>
      <c r="H98" t="inlineStr">
        <is>
          <t>social_declarado_pelo_dono</t>
        </is>
      </c>
    </row>
    <row r="99">
      <c r="A99" t="inlineStr">
        <is>
          <t>Fondazione Minoprio — Facebook ufficiale</t>
        </is>
      </c>
      <c r="B99" t="inlineStr">
        <is>
          <t>FACEBOOK</t>
        </is>
      </c>
      <c r="C99" t="inlineStr">
        <is>
          <t>https://www.facebook.com/fondazione.minoprio</t>
        </is>
      </c>
      <c r="D99" t="n">
        <v>200</v>
      </c>
      <c r="E99" t="inlineStr">
        <is>
          <t>PLATFORM_GENERIC_TITLE</t>
        </is>
      </c>
      <c r="F99" t="inlineStr">
        <is>
          <t>NAO_SELECIONADA</t>
        </is>
      </c>
      <c r="G99" t="inlineStr">
        <is>
          <t>validada, mas fora do teto de 20 para FACEBOOK (secao 20): a plataforma nao permite prova direta de identidade a partir do datacenter</t>
        </is>
      </c>
      <c r="H99" t="inlineStr">
        <is>
          <t>social_declarado_pelo_dono</t>
        </is>
      </c>
    </row>
    <row r="100">
      <c r="A100" t="inlineStr">
        <is>
          <t>Fondazione per l'Agricoltura F.lli Navarra — Facebook ufficiale</t>
        </is>
      </c>
      <c r="B100" t="inlineStr">
        <is>
          <t>FACEBOOK</t>
        </is>
      </c>
      <c r="C100" t="inlineStr">
        <is>
          <t>https://www.facebook.com/fondazionenavarra</t>
        </is>
      </c>
      <c r="D100" t="n">
        <v>200</v>
      </c>
      <c r="E100" t="inlineStr">
        <is>
          <t>PLATFORM_GENERIC_TITLE</t>
        </is>
      </c>
      <c r="F100" t="inlineStr">
        <is>
          <t>NAO_SELECIONADA</t>
        </is>
      </c>
      <c r="G100" t="inlineStr">
        <is>
          <t>validada, mas fora do teto de 20 para FACEBOOK (secao 20): a plataforma nao permite prova direta de identidade a partir do datacenter</t>
        </is>
      </c>
      <c r="H100" t="inlineStr">
        <is>
          <t>social_declarado_pelo_dono</t>
        </is>
      </c>
    </row>
    <row r="101">
      <c r="A101" t="inlineStr">
        <is>
          <t>Terra e Vita — Edagricole — Facebook ufficiale</t>
        </is>
      </c>
      <c r="B101" t="inlineStr">
        <is>
          <t>FACEBOOK</t>
        </is>
      </c>
      <c r="C101" t="inlineStr">
        <is>
          <t>https://www.facebook.com/terraevita.magazine</t>
        </is>
      </c>
      <c r="D101" t="n">
        <v>200</v>
      </c>
      <c r="E101" t="inlineStr">
        <is>
          <t>PLATFORM_GENERIC_TITLE</t>
        </is>
      </c>
      <c r="F101" t="inlineStr">
        <is>
          <t>NAO_SELECIONADA</t>
        </is>
      </c>
      <c r="G101" t="inlineStr">
        <is>
          <t>validada, mas fora do teto de 20 para FACEBOOK (secao 20): a plataforma nao permite prova direta de identidade a partir do datacenter</t>
        </is>
      </c>
      <c r="H101" t="inlineStr">
        <is>
          <t>social_declarado_pelo_dono</t>
        </is>
      </c>
    </row>
    <row r="102">
      <c r="A102" t="inlineStr">
        <is>
          <t>Terra e Vita — Edagricole — Instagram ufficiale</t>
        </is>
      </c>
      <c r="B102" t="inlineStr">
        <is>
          <t>INSTAGRAM</t>
        </is>
      </c>
      <c r="C102" t="inlineStr">
        <is>
          <t>https://www.instagram.com/edagricole_official</t>
        </is>
      </c>
      <c r="D102" t="n">
        <v>429</v>
      </c>
      <c r="E102" t="inlineStr">
        <is>
          <t>HTTP_429,THIN_BODY</t>
        </is>
      </c>
      <c r="F102" t="inlineStr">
        <is>
          <t>NAO_SELECIONADA</t>
        </is>
      </c>
      <c r="G102" t="inlineStr">
        <is>
          <t>validada, mas fora do teto de 25 para INSTAGRAM (secao 20): a plataforma nao permite prova direta de identidade a partir do datacenter</t>
        </is>
      </c>
      <c r="H102" t="inlineStr">
        <is>
          <t>social_declarado_pelo_dono</t>
        </is>
      </c>
    </row>
    <row r="103">
      <c r="A103" t="inlineStr">
        <is>
          <t>Rivista di Frutticoltura e di Ortofloricoltura — Facebook ufficiale</t>
        </is>
      </c>
      <c r="B103" t="inlineStr">
        <is>
          <t>FACEBOOK</t>
        </is>
      </c>
      <c r="C103" t="inlineStr">
        <is>
          <t>https://www.facebook.com/Frutticoltura</t>
        </is>
      </c>
      <c r="D103" t="n">
        <v>200</v>
      </c>
      <c r="E103" t="inlineStr">
        <is>
          <t>PLATFORM_GENERIC_TITLE</t>
        </is>
      </c>
      <c r="F103" t="inlineStr">
        <is>
          <t>NAO_SELECIONADA</t>
        </is>
      </c>
      <c r="G103" t="inlineStr">
        <is>
          <t>validada, mas fora do teto de 20 para FACEBOOK (secao 20): a plataforma nao permite prova direta de identidade a partir do datacenter</t>
        </is>
      </c>
      <c r="H103" t="inlineStr">
        <is>
          <t>social_declarado_pelo_dono</t>
        </is>
      </c>
    </row>
    <row r="104">
      <c r="A104" t="inlineStr">
        <is>
          <t>Myfruit.it — Facebook ufficiale</t>
        </is>
      </c>
      <c r="B104" t="inlineStr">
        <is>
          <t>FACEBOOK</t>
        </is>
      </c>
      <c r="C104" t="inlineStr">
        <is>
          <t>https://www.facebook.com/myfruit.webmagazine</t>
        </is>
      </c>
      <c r="D104" t="n">
        <v>200</v>
      </c>
      <c r="E104" t="inlineStr">
        <is>
          <t>PLATFORM_GENERIC_TITLE</t>
        </is>
      </c>
      <c r="F104" t="inlineStr">
        <is>
          <t>NAO_SELECIONADA</t>
        </is>
      </c>
      <c r="G104" t="inlineStr">
        <is>
          <t>validada, mas fora do teto de 20 para FACEBOOK (secao 20): a plataforma nao permite prova direta de identidade a partir do datacenter</t>
        </is>
      </c>
      <c r="H104" t="inlineStr">
        <is>
          <t>social_declarado_pelo_dono</t>
        </is>
      </c>
    </row>
    <row r="105">
      <c r="A105" t="inlineStr">
        <is>
          <t>FreshPlaza Italia — Facebook ufficiale</t>
        </is>
      </c>
      <c r="B105" t="inlineStr">
        <is>
          <t>FACEBOOK</t>
        </is>
      </c>
      <c r="C105" t="inlineStr">
        <is>
          <t>https://www.facebook.com/freshplaza.it</t>
        </is>
      </c>
      <c r="D105" t="n">
        <v>200</v>
      </c>
      <c r="E105" t="inlineStr">
        <is>
          <t>PLATFORM_GENERIC_TITLE</t>
        </is>
      </c>
      <c r="F105" t="inlineStr">
        <is>
          <t>NAO_SELECIONADA</t>
        </is>
      </c>
      <c r="G105" t="inlineStr">
        <is>
          <t>validada, mas fora do teto de 20 para FACEBOOK (secao 20): a plataforma nao permite prova direta de identidade a partir do datacenter</t>
        </is>
      </c>
      <c r="H105" t="inlineStr">
        <is>
          <t>social_declarado_pelo_dono</t>
        </is>
      </c>
    </row>
    <row r="106">
      <c r="A106" t="inlineStr">
        <is>
          <t>FreshPlaza Italia — Instagram ufficiale</t>
        </is>
      </c>
      <c r="B106" t="inlineStr">
        <is>
          <t>INSTAGRAM</t>
        </is>
      </c>
      <c r="C106" t="inlineStr">
        <is>
          <t>https://www.instagram.com/freshplaza</t>
        </is>
      </c>
      <c r="D106" t="n">
        <v>429</v>
      </c>
      <c r="E106" t="inlineStr">
        <is>
          <t>HTTP_429,THIN_BODY</t>
        </is>
      </c>
      <c r="F106" t="inlineStr">
        <is>
          <t>NAO_SELECIONADA</t>
        </is>
      </c>
      <c r="G106" t="inlineStr">
        <is>
          <t>validada, mas fora do teto de 25 para INSTAGRAM (secao 20): a plataforma nao permite prova direta de identidade a partir do datacenter</t>
        </is>
      </c>
      <c r="H106" t="inlineStr">
        <is>
          <t>social_declarado_pelo_dono</t>
        </is>
      </c>
    </row>
    <row r="107">
      <c r="A107" t="inlineStr">
        <is>
          <t>Teatro Naturale — Facebook ufficiale</t>
        </is>
      </c>
      <c r="B107" t="inlineStr">
        <is>
          <t>FACEBOOK</t>
        </is>
      </c>
      <c r="C107" t="inlineStr">
        <is>
          <t>https://www.facebook.com/p/Teatro-Naturale-100032894186616</t>
        </is>
      </c>
      <c r="D107" t="n">
        <v>200</v>
      </c>
      <c r="E107" t="inlineStr">
        <is>
          <t>PLATFORM_GENERIC_TITLE</t>
        </is>
      </c>
      <c r="F107" t="inlineStr">
        <is>
          <t>NAO_SELECIONADA</t>
        </is>
      </c>
      <c r="G107" t="inlineStr">
        <is>
          <t>validada, mas fora do teto de 20 para FACEBOOK (secao 20): a plataforma nao permite prova direta de identidade a partir do datacenter</t>
        </is>
      </c>
      <c r="H107" t="inlineStr">
        <is>
          <t>social_declarado_pelo_dono</t>
        </is>
      </c>
    </row>
    <row r="108">
      <c r="A108" t="inlineStr">
        <is>
          <t>Olio Officina — Instagram ufficiale</t>
        </is>
      </c>
      <c r="B108" t="inlineStr">
        <is>
          <t>INSTAGRAM</t>
        </is>
      </c>
      <c r="C108" t="inlineStr">
        <is>
          <t>https://www.instagram.com/olioofficina</t>
        </is>
      </c>
      <c r="D108" t="n">
        <v>429</v>
      </c>
      <c r="E108" t="inlineStr">
        <is>
          <t>HTTP_429,THIN_BODY</t>
        </is>
      </c>
      <c r="F108" t="inlineStr">
        <is>
          <t>NAO_SELECIONADA</t>
        </is>
      </c>
      <c r="G108" t="inlineStr">
        <is>
          <t>validada, mas fora do teto de 25 para INSTAGRAM (secao 20): a plataforma nao permite prova direta de identidade a partir do datacenter</t>
        </is>
      </c>
      <c r="H108" t="inlineStr">
        <is>
          <t>social_declarado_pelo_dono</t>
        </is>
      </c>
    </row>
    <row r="109">
      <c r="A109" t="inlineStr">
        <is>
          <t>Olio Officina — Facebook ufficiale</t>
        </is>
      </c>
      <c r="B109" t="inlineStr">
        <is>
          <t>FACEBOOK</t>
        </is>
      </c>
      <c r="C109" t="inlineStr">
        <is>
          <t>https://www.facebook.com/OlioOfficina</t>
        </is>
      </c>
      <c r="D109" t="n">
        <v>200</v>
      </c>
      <c r="E109" t="inlineStr">
        <is>
          <t>PLATFORM_GENERIC_TITLE</t>
        </is>
      </c>
      <c r="F109" t="inlineStr">
        <is>
          <t>NAO_SELECIONADA</t>
        </is>
      </c>
      <c r="G109" t="inlineStr">
        <is>
          <t>validada, mas fora do teto de 20 para FACEBOOK (secao 20): a plataforma nao permite prova direta de identidade a partir do datacenter</t>
        </is>
      </c>
      <c r="H109" t="inlineStr">
        <is>
          <t>social_declarado_pelo_dono</t>
        </is>
      </c>
    </row>
    <row r="110">
      <c r="A110" t="inlineStr">
        <is>
          <t>WineNews — Facebook ufficiale</t>
        </is>
      </c>
      <c r="B110" t="inlineStr">
        <is>
          <t>FACEBOOK</t>
        </is>
      </c>
      <c r="C110" t="inlineStr">
        <is>
          <t>https://www.facebook.com/winenewsit</t>
        </is>
      </c>
      <c r="D110" t="n">
        <v>200</v>
      </c>
      <c r="E110" t="inlineStr">
        <is>
          <t>PLATFORM_GENERIC_TITLE</t>
        </is>
      </c>
      <c r="F110" t="inlineStr">
        <is>
          <t>NAO_SELECIONADA</t>
        </is>
      </c>
      <c r="G110" t="inlineStr">
        <is>
          <t>validada, mas fora do teto de 20 para FACEBOOK (secao 20): a plataforma nao permite prova direta de identidade a partir do datacenter</t>
        </is>
      </c>
      <c r="H110" t="inlineStr">
        <is>
          <t>social_declarado_pelo_dono</t>
        </is>
      </c>
    </row>
    <row r="111">
      <c r="A111" t="inlineStr">
        <is>
          <t>WineNews — Instagram ufficiale</t>
        </is>
      </c>
      <c r="B111" t="inlineStr">
        <is>
          <t>INSTAGRAM</t>
        </is>
      </c>
      <c r="C111" t="inlineStr">
        <is>
          <t>https://www.instagram.com/winenewsit</t>
        </is>
      </c>
      <c r="D111" t="n">
        <v>429</v>
      </c>
      <c r="E111" t="inlineStr">
        <is>
          <t>HTTP_429,THIN_BODY</t>
        </is>
      </c>
      <c r="F111" t="inlineStr">
        <is>
          <t>NAO_SELECIONADA</t>
        </is>
      </c>
      <c r="G111" t="inlineStr">
        <is>
          <t>validada, mas fora do teto de 25 para INSTAGRAM (secao 20): a plataforma nao permite prova direta de identidade a partir do datacenter</t>
        </is>
      </c>
      <c r="H111" t="inlineStr">
        <is>
          <t>social_declarado_pelo_dono</t>
        </is>
      </c>
    </row>
    <row r="112">
      <c r="A112" t="inlineStr">
        <is>
          <t>Macfrut — Facebook ufficiale</t>
        </is>
      </c>
      <c r="B112" t="inlineStr">
        <is>
          <t>FACEBOOK</t>
        </is>
      </c>
      <c r="C112" t="inlineStr">
        <is>
          <t>https://www.facebook.com/Macfrut-1658864481056079</t>
        </is>
      </c>
      <c r="D112" t="n">
        <v>200</v>
      </c>
      <c r="E112" t="inlineStr">
        <is>
          <t>PLATFORM_GENERIC_TITLE</t>
        </is>
      </c>
      <c r="F112" t="inlineStr">
        <is>
          <t>NAO_SELECIONADA</t>
        </is>
      </c>
      <c r="G112" t="inlineStr">
        <is>
          <t>validada, mas fora do teto de 20 para FACEBOOK (secao 20): a plataforma nao permite prova direta de identidade a partir do datacenter</t>
        </is>
      </c>
      <c r="H112" t="inlineStr">
        <is>
          <t>social_declarado_pelo_dono</t>
        </is>
      </c>
    </row>
    <row r="113">
      <c r="A113" t="inlineStr">
        <is>
          <t>Macfrut — Instagram ufficiale</t>
        </is>
      </c>
      <c r="B113" t="inlineStr">
        <is>
          <t>INSTAGRAM</t>
        </is>
      </c>
      <c r="C113" t="inlineStr">
        <is>
          <t>https://www.instagram.com/macfrut_official</t>
        </is>
      </c>
      <c r="D113" t="n">
        <v>429</v>
      </c>
      <c r="E113" t="inlineStr">
        <is>
          <t>HTTP_429,THIN_BODY</t>
        </is>
      </c>
      <c r="F113" t="inlineStr">
        <is>
          <t>NAO_SELECIONADA</t>
        </is>
      </c>
      <c r="G113" t="inlineStr">
        <is>
          <t>validada, mas fora do teto de 25 para INSTAGRAM (secao 20): a plataforma nao permite prova direta de identidade a partir do datacenter</t>
        </is>
      </c>
      <c r="H113" t="inlineStr">
        <is>
          <t>social_declarado_pelo_dono</t>
        </is>
      </c>
    </row>
    <row r="114">
      <c r="A114" t="inlineStr">
        <is>
          <t>SIMEI — Salone Internazionale Macchine per Enologia e Imbottigliamento — Facebook ufficiale</t>
        </is>
      </c>
      <c r="B114" t="inlineStr">
        <is>
          <t>FACEBOOK</t>
        </is>
      </c>
      <c r="C114" t="inlineStr">
        <is>
          <t>https://www.facebook.com/SimeiExhibition</t>
        </is>
      </c>
      <c r="D114" t="n">
        <v>200</v>
      </c>
      <c r="E114" t="inlineStr">
        <is>
          <t>PLATFORM_GENERIC_TITLE</t>
        </is>
      </c>
      <c r="F114" t="inlineStr">
        <is>
          <t>NAO_SELECIONADA</t>
        </is>
      </c>
      <c r="G114" t="inlineStr">
        <is>
          <t>validada, mas fora do teto de 20 para FACEBOOK (secao 20): a plataforma nao permite prova direta de identidade a partir do datacenter</t>
        </is>
      </c>
      <c r="H114" t="inlineStr">
        <is>
          <t>social_declarado_pelo_dono</t>
        </is>
      </c>
    </row>
    <row r="115">
      <c r="A115" t="inlineStr">
        <is>
          <t>SIMEI — Salone Internazionale Macchine per Enologia e Imbottigliamento — Instagram ufficiale</t>
        </is>
      </c>
      <c r="B115" t="inlineStr">
        <is>
          <t>INSTAGRAM</t>
        </is>
      </c>
      <c r="C115" t="inlineStr">
        <is>
          <t>https://www.instagram.com/simeiofficial</t>
        </is>
      </c>
      <c r="D115" t="n">
        <v>429</v>
      </c>
      <c r="E115" t="inlineStr">
        <is>
          <t>HTTP_429,THIN_BODY</t>
        </is>
      </c>
      <c r="F115" t="inlineStr">
        <is>
          <t>NAO_SELECIONADA</t>
        </is>
      </c>
      <c r="G115" t="inlineStr">
        <is>
          <t>validada, mas fora do teto de 25 para INSTAGRAM (secao 20): a plataforma nao permite prova direta de identidade a partir do datacenter</t>
        </is>
      </c>
      <c r="H115" t="inlineStr">
        <is>
          <t>social_declarado_pelo_dono</t>
        </is>
      </c>
    </row>
    <row r="116">
      <c r="A116" t="inlineStr">
        <is>
          <t>Interpoma — Facebook ufficiale</t>
        </is>
      </c>
      <c r="B116" t="inlineStr">
        <is>
          <t>FACEBOOK</t>
        </is>
      </c>
      <c r="C116" t="inlineStr">
        <is>
          <t>https://www.facebook.com/Interpoma</t>
        </is>
      </c>
      <c r="D116" t="n">
        <v>200</v>
      </c>
      <c r="E116" t="inlineStr">
        <is>
          <t>PLATFORM_GENERIC_TITLE</t>
        </is>
      </c>
      <c r="F116" t="inlineStr">
        <is>
          <t>NAO_SELECIONADA</t>
        </is>
      </c>
      <c r="G116" t="inlineStr">
        <is>
          <t>validada, mas fora do teto de 20 para FACEBOOK (secao 20): a plataforma nao permite prova direta de identidade a partir do datacenter</t>
        </is>
      </c>
      <c r="H116" t="inlineStr">
        <is>
          <t>social_declarado_pelo_dono</t>
        </is>
      </c>
    </row>
    <row r="117">
      <c r="A117" t="inlineStr">
        <is>
          <t>Interpoma — Instagram ufficiale</t>
        </is>
      </c>
      <c r="B117" t="inlineStr">
        <is>
          <t>INSTAGRAM</t>
        </is>
      </c>
      <c r="C117" t="inlineStr">
        <is>
          <t>https://www.instagram.com/interpoma_official</t>
        </is>
      </c>
      <c r="D117" t="n">
        <v>429</v>
      </c>
      <c r="E117" t="inlineStr">
        <is>
          <t>HTTP_429,THIN_BODY</t>
        </is>
      </c>
      <c r="F117" t="inlineStr">
        <is>
          <t>NAO_SELECIONADA</t>
        </is>
      </c>
      <c r="G117" t="inlineStr">
        <is>
          <t>validada, mas fora do teto de 25 para INSTAGRAM (secao 20): a plataforma nao permite prova direta de identidade a partir do datacenter</t>
        </is>
      </c>
      <c r="H117" t="inlineStr">
        <is>
          <t>social_declarado_pelo_dono</t>
        </is>
      </c>
    </row>
    <row r="118">
      <c r="A118" t="inlineStr">
        <is>
          <t>SANA — Salone del biologico e naturale — Facebook ufficiale</t>
        </is>
      </c>
      <c r="B118" t="inlineStr">
        <is>
          <t>FACEBOOK</t>
        </is>
      </c>
      <c r="C118" t="inlineStr">
        <is>
          <t>https://www.facebook.com/sanabologna</t>
        </is>
      </c>
      <c r="D118" t="n">
        <v>200</v>
      </c>
      <c r="E118" t="inlineStr">
        <is>
          <t>PLATFORM_GENERIC_TITLE</t>
        </is>
      </c>
      <c r="F118" t="inlineStr">
        <is>
          <t>NAO_SELECIONADA</t>
        </is>
      </c>
      <c r="G118" t="inlineStr">
        <is>
          <t>validada, mas fora do teto de 20 para FACEBOOK (secao 20): a plataforma nao permite prova direta de identidade a partir do datacenter</t>
        </is>
      </c>
      <c r="H118" t="inlineStr">
        <is>
          <t>social_declarado_pelo_dono</t>
        </is>
      </c>
    </row>
    <row r="119">
      <c r="A119" t="inlineStr">
        <is>
          <t>SANA — Salone del biologico e naturale — Instagram ufficiale</t>
        </is>
      </c>
      <c r="B119" t="inlineStr">
        <is>
          <t>INSTAGRAM</t>
        </is>
      </c>
      <c r="C119" t="inlineStr">
        <is>
          <t>https://www.instagram.com/sanafiera</t>
        </is>
      </c>
      <c r="D119" t="n">
        <v>429</v>
      </c>
      <c r="E119" t="inlineStr">
        <is>
          <t>HTTP_429,THIN_BODY</t>
        </is>
      </c>
      <c r="F119" t="inlineStr">
        <is>
          <t>NAO_SELECIONADA</t>
        </is>
      </c>
      <c r="G119" t="inlineStr">
        <is>
          <t>validada, mas fora do teto de 25 para INSTAGRAM (secao 20): a plataforma nao permite prova direta de identidade a partir do datacenter</t>
        </is>
      </c>
      <c r="H119" t="inlineStr">
        <is>
          <t>social_declarado_pelo_dono</t>
        </is>
      </c>
    </row>
    <row r="120">
      <c r="A120" t="inlineStr">
        <is>
          <t>Fieravicola — Facebook ufficiale</t>
        </is>
      </c>
      <c r="B120" t="inlineStr">
        <is>
          <t>FACEBOOK</t>
        </is>
      </c>
      <c r="C120" t="inlineStr">
        <is>
          <t>https://www.facebook.com/fieravicola</t>
        </is>
      </c>
      <c r="D120" t="n">
        <v>200</v>
      </c>
      <c r="E120" t="inlineStr">
        <is>
          <t>PLATFORM_GENERIC_TITLE</t>
        </is>
      </c>
      <c r="F120" t="inlineStr">
        <is>
          <t>NAO_SELECIONADA</t>
        </is>
      </c>
      <c r="G120" t="inlineStr">
        <is>
          <t>validada, mas fora do teto de 20 para FACEBOOK (secao 20): a plataforma nao permite prova direta de identidade a partir do datacenter</t>
        </is>
      </c>
      <c r="H120" t="inlineStr">
        <is>
          <t>social_declarado_pelo_dono</t>
        </is>
      </c>
    </row>
    <row r="121">
      <c r="A121" t="inlineStr">
        <is>
          <t>Koppert Italia — Facebook ufficiale</t>
        </is>
      </c>
      <c r="B121" t="inlineStr">
        <is>
          <t>FACEBOOK</t>
        </is>
      </c>
      <c r="C121" t="inlineStr">
        <is>
          <t>https://www.facebook.com/KoppertItalia</t>
        </is>
      </c>
      <c r="D121" t="n">
        <v>200</v>
      </c>
      <c r="E121" t="inlineStr">
        <is>
          <t>PLATFORM_GENERIC_TITLE</t>
        </is>
      </c>
      <c r="F121" t="inlineStr">
        <is>
          <t>NAO_SELECIONADA</t>
        </is>
      </c>
      <c r="G121" t="inlineStr">
        <is>
          <t>validada, mas fora do teto de 20 para FACEBOOK (secao 20): a plataforma nao permite prova direta de identidade a partir do datacenter</t>
        </is>
      </c>
      <c r="H121" t="inlineStr">
        <is>
          <t>social_declarado_pelo_dono</t>
        </is>
      </c>
    </row>
    <row r="122">
      <c r="A122" t="inlineStr">
        <is>
          <t>Koppert Italia — Instagram ufficiale</t>
        </is>
      </c>
      <c r="B122" t="inlineStr">
        <is>
          <t>INSTAGRAM</t>
        </is>
      </c>
      <c r="C122" t="inlineStr">
        <is>
          <t>https://www.instagram.com/koppertitalia</t>
        </is>
      </c>
      <c r="D122" t="n">
        <v>429</v>
      </c>
      <c r="E122" t="inlineStr">
        <is>
          <t>HTTP_429,THIN_BODY</t>
        </is>
      </c>
      <c r="F122" t="inlineStr">
        <is>
          <t>NAO_SELECIONADA</t>
        </is>
      </c>
      <c r="G122" t="inlineStr">
        <is>
          <t>validada, mas fora do teto de 25 para INSTAGRAM (secao 20): a plataforma nao permite prova direta de identidade a partir do datacenter</t>
        </is>
      </c>
      <c r="H122" t="inlineStr">
        <is>
          <t>social_declarado_pelo_dono</t>
        </is>
      </c>
    </row>
    <row r="123">
      <c r="A123" t="inlineStr">
        <is>
          <t>Valagro — Facebook ufficiale</t>
        </is>
      </c>
      <c r="B123" t="inlineStr">
        <is>
          <t>FACEBOOK</t>
        </is>
      </c>
      <c r="C123" t="inlineStr">
        <is>
          <t>https://www.facebook.com/Syngenta</t>
        </is>
      </c>
      <c r="D123" t="n">
        <v>200</v>
      </c>
      <c r="E123" t="inlineStr">
        <is>
          <t>PLATFORM_GENERIC_TITLE</t>
        </is>
      </c>
      <c r="F123" t="inlineStr">
        <is>
          <t>NAO_SELECIONADA</t>
        </is>
      </c>
      <c r="G123" t="inlineStr">
        <is>
          <t>validada, mas fora do teto de 20 para FACEBOOK (secao 20): a plataforma nao permite prova direta de identidade a partir do datacenter</t>
        </is>
      </c>
      <c r="H123" t="inlineStr">
        <is>
          <t>social_declarado_pelo_dono</t>
        </is>
      </c>
    </row>
    <row r="124">
      <c r="A124" t="inlineStr">
        <is>
          <t>Valagro — Instagram ufficiale</t>
        </is>
      </c>
      <c r="B124" t="inlineStr">
        <is>
          <t>INSTAGRAM</t>
        </is>
      </c>
      <c r="C124" t="inlineStr">
        <is>
          <t>https://www.instagram.com/syngenta</t>
        </is>
      </c>
      <c r="D124" t="n">
        <v>429</v>
      </c>
      <c r="E124" t="inlineStr">
        <is>
          <t>HTTP_429,THIN_BODY</t>
        </is>
      </c>
      <c r="F124" t="inlineStr">
        <is>
          <t>NAO_SELECIONADA</t>
        </is>
      </c>
      <c r="G124" t="inlineStr">
        <is>
          <t>validada, mas fora do teto de 25 para INSTAGRAM (secao 20): a plataforma nao permite prova direta de identidade a partir do datacenter</t>
        </is>
      </c>
      <c r="H124" t="inlineStr">
        <is>
          <t>social_declarado_pelo_dono</t>
        </is>
      </c>
    </row>
    <row r="125">
      <c r="A125" t="inlineStr">
        <is>
          <t>Serbios — Facebook ufficiale</t>
        </is>
      </c>
      <c r="B125" t="inlineStr">
        <is>
          <t>FACEBOOK</t>
        </is>
      </c>
      <c r="C125" t="inlineStr">
        <is>
          <t>https://www.facebook.com/p/SERBIOS_srl-Agricoltura-100067093668960</t>
        </is>
      </c>
      <c r="D125" t="n">
        <v>200</v>
      </c>
      <c r="E125" t="inlineStr">
        <is>
          <t>PLATFORM_GENERIC_TITLE</t>
        </is>
      </c>
      <c r="F125" t="inlineStr">
        <is>
          <t>NAO_SELECIONADA</t>
        </is>
      </c>
      <c r="G125" t="inlineStr">
        <is>
          <t>validada, mas fora do teto de 20 para FACEBOOK (secao 20): a plataforma nao permite prova direta de identidade a partir do datacenter</t>
        </is>
      </c>
      <c r="H125" t="inlineStr">
        <is>
          <t>social_declarado_pelo_dono</t>
        </is>
      </c>
    </row>
    <row r="126">
      <c r="A126" t="inlineStr">
        <is>
          <t>Serbios — Instagram ufficiale</t>
        </is>
      </c>
      <c r="B126" t="inlineStr">
        <is>
          <t>INSTAGRAM</t>
        </is>
      </c>
      <c r="C126" t="inlineStr">
        <is>
          <t>https://www.instagram.com/serbios_srl</t>
        </is>
      </c>
      <c r="D126" t="n">
        <v>429</v>
      </c>
      <c r="E126" t="inlineStr">
        <is>
          <t>HTTP_429,THIN_BODY</t>
        </is>
      </c>
      <c r="F126" t="inlineStr">
        <is>
          <t>NAO_SELECIONADA</t>
        </is>
      </c>
      <c r="G126" t="inlineStr">
        <is>
          <t>validada, mas fora do teto de 25 para INSTAGRAM (secao 20): a plataforma nao permite prova direta de identidade a partir do datacenter</t>
        </is>
      </c>
      <c r="H126" t="inlineStr">
        <is>
          <t>social_declarado_pelo_dono</t>
        </is>
      </c>
    </row>
    <row r="127">
      <c r="A127" t="inlineStr">
        <is>
          <t>Consorzio di Tutela del Grana Padano — Facebook ufficiale</t>
        </is>
      </c>
      <c r="B127" t="inlineStr">
        <is>
          <t>FACEBOOK</t>
        </is>
      </c>
      <c r="C127" t="inlineStr">
        <is>
          <t>https://www.facebook.com/GranaPadano</t>
        </is>
      </c>
      <c r="D127" t="n">
        <v>200</v>
      </c>
      <c r="E127" t="inlineStr">
        <is>
          <t>PLATFORM_GENERIC_TITLE</t>
        </is>
      </c>
      <c r="F127" t="inlineStr">
        <is>
          <t>NAO_SELECIONADA</t>
        </is>
      </c>
      <c r="G127" t="inlineStr">
        <is>
          <t>validada, mas fora do teto de 20 para FACEBOOK (secao 20): a plataforma nao permite prova direta de identidade a partir do datacenter</t>
        </is>
      </c>
      <c r="H127" t="inlineStr">
        <is>
          <t>social_declarado_pelo_dono</t>
        </is>
      </c>
    </row>
    <row r="128">
      <c r="A128" t="inlineStr">
        <is>
          <t>Consorzio del Vino Brunello di Montalcino — Facebook ufficiale</t>
        </is>
      </c>
      <c r="B128" t="inlineStr">
        <is>
          <t>FACEBOOK</t>
        </is>
      </c>
      <c r="C128" t="inlineStr">
        <is>
          <t>https://www.facebook.com/brunellodimontalcino</t>
        </is>
      </c>
      <c r="D128" t="n">
        <v>200</v>
      </c>
      <c r="E128" t="inlineStr">
        <is>
          <t>PLATFORM_GENERIC_TITLE</t>
        </is>
      </c>
      <c r="F128" t="inlineStr">
        <is>
          <t>NAO_SELECIONADA</t>
        </is>
      </c>
      <c r="G128" t="inlineStr">
        <is>
          <t>validada, mas fora do teto de 20 para FACEBOOK (secao 20): a plataforma nao permite prova direta de identidade a partir do datacenter</t>
        </is>
      </c>
      <c r="H128" t="inlineStr">
        <is>
          <t>social_declarado_pelo_dono</t>
        </is>
      </c>
    </row>
    <row r="129">
      <c r="A129" t="inlineStr">
        <is>
          <t>Consorzio di Tutela dell'Aceto Balsamico di Modena — Facebook ufficiale</t>
        </is>
      </c>
      <c r="B129" t="inlineStr">
        <is>
          <t>FACEBOOK</t>
        </is>
      </c>
      <c r="C129" t="inlineStr">
        <is>
          <t>https://www.facebook.com/tutelabalsamico</t>
        </is>
      </c>
      <c r="D129" t="n">
        <v>200</v>
      </c>
      <c r="E129" t="inlineStr">
        <is>
          <t>PLATFORM_GENERIC_TITLE</t>
        </is>
      </c>
      <c r="F129" t="inlineStr">
        <is>
          <t>NAO_SELECIONADA</t>
        </is>
      </c>
      <c r="G129" t="inlineStr">
        <is>
          <t>validada, mas fora do teto de 20 para FACEBOOK (secao 20): a plataforma nao permite prova direta de identidade a partir do datacenter</t>
        </is>
      </c>
      <c r="H129" t="inlineStr">
        <is>
          <t>social_declarado_pelo_dono</t>
        </is>
      </c>
    </row>
    <row r="130">
      <c r="A130" t="inlineStr">
        <is>
          <t>Consorzio di Tutela Arancia Rossa di Sicilia IGP — Facebook ufficiale</t>
        </is>
      </c>
      <c r="B130" t="inlineStr">
        <is>
          <t>FACEBOOK</t>
        </is>
      </c>
      <c r="C130" t="inlineStr">
        <is>
          <t>https://www.facebook.com/aranciarossadisiciliaigp</t>
        </is>
      </c>
      <c r="D130" t="n">
        <v>200</v>
      </c>
      <c r="E130" t="inlineStr">
        <is>
          <t>PLATFORM_GENERIC_TITLE</t>
        </is>
      </c>
      <c r="F130" t="inlineStr">
        <is>
          <t>NAO_SELECIONADA</t>
        </is>
      </c>
      <c r="G130" t="inlineStr">
        <is>
          <t>validada, mas fora do teto de 20 para FACEBOOK (secao 20): a plataforma nao permite prova direta de identidade a partir do datacenter</t>
        </is>
      </c>
      <c r="H130" t="inlineStr">
        <is>
          <t>social_declarado_pelo_dono</t>
        </is>
      </c>
    </row>
    <row r="131">
      <c r="A131" t="inlineStr">
        <is>
          <t>Granarolo — Instagram ufficiale</t>
        </is>
      </c>
      <c r="B131" t="inlineStr">
        <is>
          <t>INSTAGRAM</t>
        </is>
      </c>
      <c r="C131" t="inlineStr">
        <is>
          <t>https://www.instagram.com/granarolo</t>
        </is>
      </c>
      <c r="D131" t="n">
        <v>429</v>
      </c>
      <c r="E131" t="inlineStr">
        <is>
          <t>HTTP_429,THIN_BODY</t>
        </is>
      </c>
      <c r="F131" t="inlineStr">
        <is>
          <t>NAO_SELECIONADA</t>
        </is>
      </c>
      <c r="G131" t="inlineStr">
        <is>
          <t>validada, mas fora do teto de 25 para INSTAGRAM (secao 20): a plataforma nao permite prova direta de identidade a partir do datacenter</t>
        </is>
      </c>
      <c r="H131" t="inlineStr">
        <is>
          <t>social_declarado_pelo_dono</t>
        </is>
      </c>
    </row>
    <row r="132">
      <c r="A132" t="inlineStr">
        <is>
          <t>Consorzi Agrari d'Italia — CAI — Facebook ufficiale</t>
        </is>
      </c>
      <c r="B132" t="inlineStr">
        <is>
          <t>FACEBOOK</t>
        </is>
      </c>
      <c r="C132" t="inlineStr">
        <is>
          <t>https://www.facebook.com/Consorziagrariditalia</t>
        </is>
      </c>
      <c r="D132" t="n">
        <v>200</v>
      </c>
      <c r="E132" t="inlineStr">
        <is>
          <t>PLATFORM_GENERIC_TITLE</t>
        </is>
      </c>
      <c r="F132" t="inlineStr">
        <is>
          <t>NAO_SELECIONADA</t>
        </is>
      </c>
      <c r="G132" t="inlineStr">
        <is>
          <t>validada, mas fora do teto de 20 para FACEBOOK (secao 20): a plataforma nao permite prova direta de identidade a partir do datacenter</t>
        </is>
      </c>
      <c r="H132" t="inlineStr">
        <is>
          <t>social_declarado_pelo_dono</t>
        </is>
      </c>
    </row>
    <row r="133">
      <c r="A133" t="inlineStr">
        <is>
          <t>Consorzi Agrari d'Italia — CAI — Instagram ufficiale</t>
        </is>
      </c>
      <c r="B133" t="inlineStr">
        <is>
          <t>INSTAGRAM</t>
        </is>
      </c>
      <c r="C133" t="inlineStr">
        <is>
          <t>https://www.instagram.com/cai_consorziagrariditalia</t>
        </is>
      </c>
      <c r="D133" t="n">
        <v>429</v>
      </c>
      <c r="E133" t="inlineStr">
        <is>
          <t>HTTP_429,THIN_BODY</t>
        </is>
      </c>
      <c r="F133" t="inlineStr">
        <is>
          <t>NAO_SELECIONADA</t>
        </is>
      </c>
      <c r="G133" t="inlineStr">
        <is>
          <t>validada, mas fora do teto de 25 para INSTAGRAM (secao 20): a plataforma nao permite prova direta de identidade a partir do datacenter</t>
        </is>
      </c>
      <c r="H133" t="inlineStr">
        <is>
          <t>social_declarado_pelo_dono</t>
        </is>
      </c>
    </row>
    <row r="134">
      <c r="A134" t="inlineStr">
        <is>
          <t>Consorzio di Bonifica Piave — Facebook ufficiale</t>
        </is>
      </c>
      <c r="B134" t="inlineStr">
        <is>
          <t>FACEBOOK</t>
        </is>
      </c>
      <c r="C134" t="inlineStr">
        <is>
          <t>https://www.facebook.com/consorzioPiave</t>
        </is>
      </c>
      <c r="D134" t="n">
        <v>200</v>
      </c>
      <c r="E134" t="inlineStr">
        <is>
          <t>PLATFORM_GENERIC_TITLE</t>
        </is>
      </c>
      <c r="F134" t="inlineStr">
        <is>
          <t>NAO_SELECIONADA</t>
        </is>
      </c>
      <c r="G134" t="inlineStr">
        <is>
          <t>validada, mas fora do teto de 20 para FACEBOOK (secao 20): a plataforma nao permite prova direta de identidade a partir do datacenter</t>
        </is>
      </c>
      <c r="H134" t="inlineStr">
        <is>
          <t>social_declarado_pelo_dono</t>
        </is>
      </c>
    </row>
    <row r="135">
      <c r="A135" t="inlineStr">
        <is>
          <t>Consorzio di Bonifica Est Ticino Villoresi — Linkedin ufficiale</t>
        </is>
      </c>
      <c r="B135" t="inlineStr">
        <is>
          <t>LINKEDIN</t>
        </is>
      </c>
      <c r="C135" t="inlineStr">
        <is>
          <t>https://www.linkedin.com/company/est-ticino-villoresi</t>
        </is>
      </c>
      <c r="D135" t="n">
        <v>404</v>
      </c>
      <c r="E135" t="inlineStr">
        <is>
          <t>HTTP_404,PLATFORM_GENERIC_TITLE</t>
        </is>
      </c>
      <c r="F135" t="inlineStr">
        <is>
          <t>REJECT</t>
        </is>
      </c>
      <c r="G135" t="inlineStr">
        <is>
          <t>HTTP 404</t>
        </is>
      </c>
      <c r="H135" t="inlineStr">
        <is>
          <t>social_declarado_pelo_dono</t>
        </is>
      </c>
    </row>
    <row r="136">
      <c r="A136" t="inlineStr">
        <is>
          <t>FederBio — Facebook ufficiale</t>
        </is>
      </c>
      <c r="B136" t="inlineStr">
        <is>
          <t>FACEBOOK</t>
        </is>
      </c>
      <c r="C136" t="inlineStr">
        <is>
          <t>https://www.facebook.com/FederBio-212088832159395</t>
        </is>
      </c>
      <c r="D136" t="n">
        <v>200</v>
      </c>
      <c r="E136" t="inlineStr">
        <is>
          <t>PLATFORM_GENERIC_TITLE</t>
        </is>
      </c>
      <c r="F136" t="inlineStr">
        <is>
          <t>NAO_SELECIONADA</t>
        </is>
      </c>
      <c r="G136" t="inlineStr">
        <is>
          <t>validada, mas fora do teto de 20 para FACEBOOK (secao 20): a plataforma nao permite prova direta de identidade a partir do datacenter</t>
        </is>
      </c>
      <c r="H136" t="inlineStr">
        <is>
          <t>social_declarado_pelo_dono</t>
        </is>
      </c>
    </row>
    <row r="137">
      <c r="A137" t="inlineStr">
        <is>
          <t>FederBio — Instagram ufficiale</t>
        </is>
      </c>
      <c r="B137" t="inlineStr">
        <is>
          <t>INSTAGRAM</t>
        </is>
      </c>
      <c r="C137" t="inlineStr">
        <is>
          <t>https://www.instagram.com/federbioitalia</t>
        </is>
      </c>
      <c r="D137" t="n">
        <v>429</v>
      </c>
      <c r="E137" t="inlineStr">
        <is>
          <t>HTTP_429,THIN_BODY</t>
        </is>
      </c>
      <c r="F137" t="inlineStr">
        <is>
          <t>NAO_SELECIONADA</t>
        </is>
      </c>
      <c r="G137" t="inlineStr">
        <is>
          <t>validada, mas fora do teto de 25 para INSTAGRAM (secao 20): a plataforma nao permite prova direta de identidade a partir do datacenter</t>
        </is>
      </c>
      <c r="H137" t="inlineStr">
        <is>
          <t>social_declarado_pelo_dono</t>
        </is>
      </c>
    </row>
    <row r="138">
      <c r="A138" t="inlineStr">
        <is>
          <t>AIAB — Associazione Italiana Agricoltura Biologica — Facebook ufficiale</t>
        </is>
      </c>
      <c r="B138" t="inlineStr">
        <is>
          <t>FACEBOOK</t>
        </is>
      </c>
      <c r="C138" t="inlineStr">
        <is>
          <t>https://www.facebook.com/AIABFederale</t>
        </is>
      </c>
      <c r="D138" t="n">
        <v>200</v>
      </c>
      <c r="E138" t="inlineStr">
        <is>
          <t>PLATFORM_GENERIC_TITLE</t>
        </is>
      </c>
      <c r="F138" t="inlineStr">
        <is>
          <t>NAO_SELECIONADA</t>
        </is>
      </c>
      <c r="G138" t="inlineStr">
        <is>
          <t>validada, mas fora do teto de 20 para FACEBOOK (secao 20): a plataforma nao permite prova direta de identidade a partir do datacenter</t>
        </is>
      </c>
      <c r="H138" t="inlineStr">
        <is>
          <t>social_declarado_pelo_dono</t>
        </is>
      </c>
    </row>
    <row r="139">
      <c r="A139" t="inlineStr">
        <is>
          <t>Unione Nazionale Associazioni Produttori Olivicoli — UNAPROL — Facebook ufficiale</t>
        </is>
      </c>
      <c r="B139" t="inlineStr">
        <is>
          <t>FACEBOOK</t>
        </is>
      </c>
      <c r="C139" t="inlineStr">
        <is>
          <t>https://www.facebook.com/unaprol.it</t>
        </is>
      </c>
      <c r="D139" t="n">
        <v>200</v>
      </c>
      <c r="E139" t="inlineStr">
        <is>
          <t>PLATFORM_GENERIC_TITLE</t>
        </is>
      </c>
      <c r="F139" t="inlineStr">
        <is>
          <t>NAO_SELECIONADA</t>
        </is>
      </c>
      <c r="G139" t="inlineStr">
        <is>
          <t>validada, mas fora do teto de 20 para FACEBOOK (secao 20): a plataforma nao permite prova direta de identidade a partir do datacenter</t>
        </is>
      </c>
      <c r="H139" t="inlineStr">
        <is>
          <t>social_declarado_pelo_dono</t>
        </is>
      </c>
    </row>
    <row r="140">
      <c r="A140" t="inlineStr">
        <is>
          <t>Unione Nazionale Associazioni Produttori Olivicoli — UNAPROL — Instagram ufficiale</t>
        </is>
      </c>
      <c r="B140" t="inlineStr">
        <is>
          <t>INSTAGRAM</t>
        </is>
      </c>
      <c r="C140" t="inlineStr">
        <is>
          <t>https://www.instagram.com/evooschool</t>
        </is>
      </c>
      <c r="D140" t="n">
        <v>429</v>
      </c>
      <c r="E140" t="inlineStr">
        <is>
          <t>HTTP_429,THIN_BODY</t>
        </is>
      </c>
      <c r="F140" t="inlineStr">
        <is>
          <t>NAO_SELECIONADA</t>
        </is>
      </c>
      <c r="G140" t="inlineStr">
        <is>
          <t>validada, mas fora do teto de 25 para INSTAGRAM (secao 20): a plataforma nao permite prova direta de identidade a partir do datacenter</t>
        </is>
      </c>
      <c r="H140" t="inlineStr">
        <is>
          <t>social_declarado_pelo_dono</t>
        </is>
      </c>
    </row>
    <row r="141">
      <c r="A141" t="inlineStr">
        <is>
          <t>Italia Olivicola — Facebook ufficiale</t>
        </is>
      </c>
      <c r="B141" t="inlineStr">
        <is>
          <t>FACEBOOK</t>
        </is>
      </c>
      <c r="C141" t="inlineStr">
        <is>
          <t>https://www.facebook.com/italiaolivicolacn</t>
        </is>
      </c>
      <c r="D141" t="n">
        <v>200</v>
      </c>
      <c r="E141" t="inlineStr">
        <is>
          <t>PLATFORM_GENERIC_TITLE</t>
        </is>
      </c>
      <c r="F141" t="inlineStr">
        <is>
          <t>NAO_SELECIONADA</t>
        </is>
      </c>
      <c r="G141" t="inlineStr">
        <is>
          <t>validada, mas fora do teto de 20 para FACEBOOK (secao 20): a plataforma nao permite prova direta de identidade a partir do datacenter</t>
        </is>
      </c>
      <c r="H141" t="inlineStr">
        <is>
          <t>social_declarado_pelo_dono</t>
        </is>
      </c>
    </row>
    <row r="142">
      <c r="A142" t="inlineStr">
        <is>
          <t>Aurora Maio — registo cientifico ORCID (University of Messina)</t>
        </is>
      </c>
      <c r="B142" t="inlineStr">
        <is>
          <t>CIENCIA</t>
        </is>
      </c>
      <c r="C142" t="inlineStr">
        <is>
          <t>https://orcid.org/0009-0001-2458-1247</t>
        </is>
      </c>
      <c r="D142" t="n">
        <v>200</v>
      </c>
      <c r="E142" t="inlineStr"/>
      <c r="F142" t="inlineStr">
        <is>
          <t>REJECT</t>
        </is>
      </c>
      <c r="G142" t="inlineStr">
        <is>
          <t>revisao manual (secao 32): departamento de ciencias veterinarias; a irrigacao de culturas nao e' o seu tema</t>
        </is>
      </c>
      <c r="H142" t="inlineStr">
        <is>
          <t>orcid_verificado</t>
        </is>
      </c>
    </row>
    <row r="143">
      <c r="A143" t="inlineStr">
        <is>
          <t>Lucia Morbidelli — registo cientifico ORCID (University of Siena)</t>
        </is>
      </c>
      <c r="B143" t="inlineStr">
        <is>
          <t>CIENCIA</t>
        </is>
      </c>
      <c r="C143" t="inlineStr">
        <is>
          <t>https://orcid.org/0000-0001-8148-7049</t>
        </is>
      </c>
      <c r="D143" t="n">
        <v>200</v>
      </c>
      <c r="E143" t="inlineStr"/>
      <c r="F143" t="inlineStr">
        <is>
          <t>REJECT</t>
        </is>
      </c>
      <c r="G143" t="inlineStr">
        <is>
          <t>revisao manual (secao 32): departamento de ciencias da vida sem ligacao agricola provada — casou por palavra, nao por tema</t>
        </is>
      </c>
      <c r="H143" t="inlineStr">
        <is>
          <t>orcid_verificado</t>
        </is>
      </c>
    </row>
    <row r="144">
      <c r="A144" t="inlineStr">
        <is>
          <t>Andrea Maiorano — registo cientifico ORCID (European Food Safety Authority)</t>
        </is>
      </c>
      <c r="B144" t="inlineStr">
        <is>
          <t>CIENCIA</t>
        </is>
      </c>
      <c r="C144" t="inlineStr">
        <is>
          <t>https://orcid.org/0000-0002-0497-9303</t>
        </is>
      </c>
      <c r="D144" t="n">
        <v>200</v>
      </c>
      <c r="E144" t="inlineStr"/>
      <c r="F144" t="inlineStr">
        <is>
          <t>REJECT</t>
        </is>
      </c>
      <c r="G144" t="inlineStr">
        <is>
          <t>revisao manual (secao 32): EFSA e' orgao da UE sediado em Italia, nao fonte de escopo italiano</t>
        </is>
      </c>
      <c r="H144" t="inlineStr">
        <is>
          <t>orcid_verificado</t>
        </is>
      </c>
    </row>
    <row r="145">
      <c r="A145" t="inlineStr">
        <is>
          <t>Cristiana Correia — registo cientifico ORCID (European Food Safety Authority)</t>
        </is>
      </c>
      <c r="B145" t="inlineStr">
        <is>
          <t>CIENCIA</t>
        </is>
      </c>
      <c r="C145" t="inlineStr">
        <is>
          <t>https://orcid.org/0000-0001-5159-6412</t>
        </is>
      </c>
      <c r="D145" t="n">
        <v>200</v>
      </c>
      <c r="E145" t="inlineStr"/>
      <c r="F145" t="inlineStr">
        <is>
          <t>REJECT</t>
        </is>
      </c>
      <c r="G145" t="inlineStr">
        <is>
          <t>revisao manual (secao 32): EFSA e' orgao da UE sediado em Italia, nao fonte de escopo italiano</t>
        </is>
      </c>
      <c r="H145" t="inlineStr">
        <is>
          <t>orcid_verificado</t>
        </is>
      </c>
    </row>
    <row r="146">
      <c r="A146" t="inlineStr">
        <is>
          <t>Jonathan Brooks — registo cientifico ORCID (Johns Hopkins University)</t>
        </is>
      </c>
      <c r="B146" t="inlineStr">
        <is>
          <t>CIENCIA</t>
        </is>
      </c>
      <c r="C146" t="inlineStr">
        <is>
          <t>https://orcid.org/0009-0005-2567-4487</t>
        </is>
      </c>
      <c r="D146" t="n">
        <v>200</v>
      </c>
      <c r="E146" t="inlineStr"/>
      <c r="F146" t="inlineStr">
        <is>
          <t>REJECT</t>
        </is>
      </c>
      <c r="G146" t="inlineStr">
        <is>
          <t>revisao manual (secao 32): dono e' universidade dos EUA (campus de Bolonha); sem relevancia agricola provada</t>
        </is>
      </c>
      <c r="H146" t="inlineStr">
        <is>
          <t>orcid_verificado</t>
        </is>
      </c>
    </row>
    <row r="147">
      <c r="A147" t="inlineStr">
        <is>
          <t>Agricoltura24</t>
        </is>
      </c>
      <c r="B147" t="inlineStr">
        <is>
          <t>IMPRENSA</t>
        </is>
      </c>
      <c r="C147" t="inlineStr">
        <is>
          <t>https://www.agricoltura24.com/</t>
        </is>
      </c>
      <c r="E147" t="inlineStr">
        <is>
          <t>TLS_ERROR</t>
        </is>
      </c>
      <c r="F147" t="inlineStr">
        <is>
          <t>REJECT</t>
        </is>
      </c>
      <c r="G147" t="inlineStr">
        <is>
          <t>handshake TLS falha mesmo com a cadeia completada por AIA</t>
        </is>
      </c>
      <c r="H147" t="inlineStr">
        <is>
          <t>seed_dominio</t>
        </is>
      </c>
    </row>
    <row r="148">
      <c r="A148" t="inlineStr">
        <is>
          <t>Coltura &amp; Cultura</t>
        </is>
      </c>
      <c r="B148" t="inlineStr">
        <is>
          <t>IMPRENSA</t>
        </is>
      </c>
      <c r="C148" t="inlineStr">
        <is>
          <t>https://www.colturaecultura.it/</t>
        </is>
      </c>
      <c r="E148" t="inlineStr">
        <is>
          <t>CONN_FAIL</t>
        </is>
      </c>
      <c r="F148" t="inlineStr">
        <is>
          <t>UNKNOWN</t>
        </is>
      </c>
      <c r="G148" t="inlineStr">
        <is>
          <t>bloqueio/inconclusivo no datacenter (status=None, flags=CONN_FAIL)</t>
        </is>
      </c>
      <c r="H148" t="inlineStr">
        <is>
          <t>seed_dominio</t>
        </is>
      </c>
    </row>
    <row r="149">
      <c r="A149" t="inlineStr">
        <is>
          <t>Rivista Frutticoltura Edagricole</t>
        </is>
      </c>
      <c r="B149" t="inlineStr">
        <is>
          <t>IMPRENSA</t>
        </is>
      </c>
      <c r="C149" t="inlineStr">
        <is>
          <t>https://frutticoltura.edagricole.it/</t>
        </is>
      </c>
      <c r="E149" t="inlineStr">
        <is>
          <t>DNS_FAIL</t>
        </is>
      </c>
      <c r="F149" t="inlineStr">
        <is>
          <t>REJECT</t>
        </is>
      </c>
      <c r="G149" t="inlineStr">
        <is>
          <t>DNS nao resolve: o endereco nao existe</t>
        </is>
      </c>
      <c r="H149" t="inlineStr">
        <is>
          <t>seed_dominio</t>
        </is>
      </c>
    </row>
    <row r="150">
      <c r="A150" t="inlineStr">
        <is>
          <t>Terra e Vita Edagricole — vite</t>
        </is>
      </c>
      <c r="B150" t="inlineStr">
        <is>
          <t>IMPRENSA</t>
        </is>
      </c>
      <c r="C150" t="inlineStr">
        <is>
          <t>https://vitevinoqualita.edagricole.it/</t>
        </is>
      </c>
      <c r="E150" t="inlineStr">
        <is>
          <t>DNS_FAIL</t>
        </is>
      </c>
      <c r="F150" t="inlineStr">
        <is>
          <t>REJECT</t>
        </is>
      </c>
      <c r="G150" t="inlineStr">
        <is>
          <t>DNS nao resolve: o endereco nao existe</t>
        </is>
      </c>
      <c r="H150" t="inlineStr">
        <is>
          <t>seed_dominio</t>
        </is>
      </c>
    </row>
    <row r="151">
      <c r="A151" t="inlineStr">
        <is>
          <t>Marche — Regione Marche agricoltura</t>
        </is>
      </c>
      <c r="B151" t="inlineStr">
        <is>
          <t>BASE_OFICIAL</t>
        </is>
      </c>
      <c r="C151" t="inlineStr">
        <is>
          <t>https://validate.perfdrive.com/?ssa=01da160d-a3e9-4d68-a7d6-a2f934d46d9a&amp;ssb=02265280098&amp;ssc=https%3A%2F%2Fwww.regione.marche.it%2FEntra-in-Regione%2FAgricoltura&amp;ssi=ba86f0bc-d3ou-45ed-84b7-6e3fa4ccf93c&amp;ssk=botmanager_support@radware.com&amp;ssm=17889367107680489109442105186135&amp;ssn=e9a571b246fab389f89238c75e0722f6adf3ab5cc284-f891-4e62-8d2d40&amp;sso=9e9576a2-6bf1feb66ed262ea466489d2dd4973aa5989f4d06b5d2c93&amp;ssp=72234226601789355137178931915060713&amp;ssq=90015988495266508324984952854195347577953&amp;ssr=MTYwLjc5LjEwNi4xMzE=&amp;sst=Mozilla/5.0%20(X11;%20Linux%20x86_64)%20AppleWebKit/537.36%20(KHTML,%20like%20Gecko)%20Chrome/127.0.0.0%20Safari/537.36&amp;ssu=&amp;ssv=&amp;ssw=&amp;ssx=eyJ1em14IjoiN2ZjMDAwMjQ5MWUwMjUtYmFjNi00NzI1LTk3YzUtN2QyOWYxNzM4YTRlMS0xNzg5Mzg0OTUyODczMC0wMDUyZmFhYzhhYmM5YzQ3YjhlMTAiLCJfX3V6bWYiOiI3ZjkwMDBhYjVjYzI4NC1mODkxLTRlNjItODZhMi02YmYxZmViNjZlZDIxLTE3ODkzODQ5NTI4NzMwLTAwNGE4YzgxOGJhYTE1ZTQzMTcxMCIsInJkIjoicmVnaW9uZS5tYXJjaGUuaXQifQ==</t>
        </is>
      </c>
      <c r="D151" t="n">
        <v>200</v>
      </c>
      <c r="E151" t="inlineStr">
        <is>
          <t>ANTIBOT</t>
        </is>
      </c>
      <c r="F151" t="inlineStr">
        <is>
          <t>UNKNOWN</t>
        </is>
      </c>
      <c r="G151" t="inlineStr">
        <is>
          <t>bloqueio/inconclusivo no datacenter (status=200, flags=ANTIBOT,REDIRECT_TO_HOME)</t>
        </is>
      </c>
      <c r="H151" t="inlineStr">
        <is>
          <t>seed_dominio</t>
        </is>
      </c>
    </row>
    <row r="152">
      <c r="A152" t="inlineStr">
        <is>
          <t>Xylella Regione Puglia — emergenza fitosanitaria</t>
        </is>
      </c>
      <c r="B152" t="inlineStr">
        <is>
          <t>BASE_OFICIAL</t>
        </is>
      </c>
      <c r="C152" t="inlineStr">
        <is>
          <t>https://www.emergenzaxylella.it/</t>
        </is>
      </c>
      <c r="E152" t="inlineStr">
        <is>
          <t>TLS_ERROR</t>
        </is>
      </c>
      <c r="F152" t="inlineStr">
        <is>
          <t>REJECT</t>
        </is>
      </c>
      <c r="G152" t="inlineStr">
        <is>
          <t>handshake TLS falha mesmo com a cadeia completada por AIA</t>
        </is>
      </c>
      <c r="H152" t="inlineStr">
        <is>
          <t>seed_dominio</t>
        </is>
      </c>
    </row>
    <row r="153">
      <c r="A153" t="inlineStr">
        <is>
          <t>Mondo Agricolo — Confagricoltura</t>
        </is>
      </c>
      <c r="B153" t="inlineStr">
        <is>
          <t>IMPRENSA</t>
        </is>
      </c>
      <c r="C153" t="inlineStr">
        <is>
          <t>https://www.confagricoltura.it/ita/</t>
        </is>
      </c>
      <c r="D153" t="n">
        <v>200</v>
      </c>
      <c r="E153" t="inlineStr">
        <is>
          <t>VIA_CURL_TLS_FALLBACK</t>
        </is>
      </c>
      <c r="F153" t="inlineStr">
        <is>
          <t>REJECT (duplicata)</t>
        </is>
      </c>
      <c r="G153" t="inlineStr">
        <is>
          <t>mesmo destino final de: Confagricoltura (alias por redirecionamento)</t>
        </is>
      </c>
      <c r="H153" t="inlineStr">
        <is>
          <t>seed_dominio</t>
        </is>
      </c>
    </row>
    <row r="154">
      <c r="A154" t="inlineStr">
        <is>
          <t>Agroalimentare News — Ansa Terra e Gusto</t>
        </is>
      </c>
      <c r="B154" t="inlineStr">
        <is>
          <t>IMPRENSA</t>
        </is>
      </c>
      <c r="C154" t="inlineStr">
        <is>
          <t>https://www.ansa.it/canale_terraegusto/</t>
        </is>
      </c>
      <c r="D154" t="n">
        <v>200</v>
      </c>
      <c r="E154" t="inlineStr"/>
      <c r="F154" t="inlineStr">
        <is>
          <t>REJECT (duplicata)</t>
        </is>
      </c>
      <c r="G154" t="inlineStr">
        <is>
          <t>duplicata de endereco de: AgroNews / Terra e Gusto ANSA</t>
        </is>
      </c>
      <c r="H154" t="inlineStr">
        <is>
          <t>seed_dominio</t>
        </is>
      </c>
    </row>
    <row r="155">
      <c r="A155" t="inlineStr">
        <is>
          <t>Molise Agricoltura — Regione Molise</t>
        </is>
      </c>
      <c r="B155" t="inlineStr">
        <is>
          <t>BASE_OFICIAL</t>
        </is>
      </c>
      <c r="C155" t="inlineStr">
        <is>
          <t>https://www.regione.molise.it/</t>
        </is>
      </c>
      <c r="D155" t="n">
        <v>200</v>
      </c>
      <c r="E155" t="inlineStr"/>
      <c r="F155" t="inlineStr">
        <is>
          <t>REJECT (duplicata)</t>
        </is>
      </c>
      <c r="G155" t="inlineStr">
        <is>
          <t>duplicata de endereco de: Regione Molise — Agricoltura</t>
        </is>
      </c>
      <c r="H155" t="inlineStr">
        <is>
          <t>seed_dominio</t>
        </is>
      </c>
    </row>
    <row r="156">
      <c r="A156" t="inlineStr">
        <is>
          <t>Basilicata — Dipartimento Politiche Agricole e Forestali</t>
        </is>
      </c>
      <c r="B156" t="inlineStr">
        <is>
          <t>BASE_OFICIAL</t>
        </is>
      </c>
      <c r="C156" t="inlineStr">
        <is>
          <t>https://www.regione.basilicata.it/giunta/site/giunta/home.jsp</t>
        </is>
      </c>
      <c r="E156" t="inlineStr">
        <is>
          <t>CONN_FAIL</t>
        </is>
      </c>
      <c r="F156" t="inlineStr">
        <is>
          <t>REJECT (duplicata)</t>
        </is>
      </c>
      <c r="G156" t="inlineStr">
        <is>
          <t>duplicata de endereco de: Regione Basilicata — Politiche agricole</t>
        </is>
      </c>
      <c r="H156" t="inlineStr">
        <is>
          <t>seed_dominio</t>
        </is>
      </c>
    </row>
    <row r="157">
      <c r="A157" t="inlineStr">
        <is>
          <t>Abruzzo Agricoltura — Regione Abruzzo</t>
        </is>
      </c>
      <c r="B157" t="inlineStr">
        <is>
          <t>BASE_OFICIAL</t>
        </is>
      </c>
      <c r="C157" t="inlineStr">
        <is>
          <t>https://www.regione.abruzzo.it/</t>
        </is>
      </c>
      <c r="D157" t="n">
        <v>200</v>
      </c>
      <c r="E157" t="inlineStr">
        <is>
          <t>VIA_CURL_TLS_FALLBACK</t>
        </is>
      </c>
      <c r="F157" t="inlineStr">
        <is>
          <t>REJECT (duplicata)</t>
        </is>
      </c>
      <c r="G157" t="inlineStr">
        <is>
          <t>duplicata de endereco de: Regione Abruzzo — Agricoltura</t>
        </is>
      </c>
      <c r="H157" t="inlineStr">
        <is>
          <t>seed_dominio</t>
        </is>
      </c>
    </row>
    <row r="158">
      <c r="A158" t="inlineStr">
        <is>
          <t>Piemonte — Settore Fitosanitario e servizi tecnico-scientifici</t>
        </is>
      </c>
      <c r="B158" t="inlineStr">
        <is>
          <t>BASE_OFICIAL</t>
        </is>
      </c>
      <c r="C158" t="inlineStr">
        <is>
          <t>https://www.regione.piemonte.it/web/temi/agricoltura</t>
        </is>
      </c>
      <c r="D158" t="n">
        <v>200</v>
      </c>
      <c r="E158" t="inlineStr"/>
      <c r="F158" t="inlineStr">
        <is>
          <t>REJECT (duplicata)</t>
        </is>
      </c>
      <c r="G158" t="inlineStr">
        <is>
          <t>duplicata de endereco de: Regione Piemonte — Agricoltura e cibo</t>
        </is>
      </c>
      <c r="H158" t="inlineStr">
        <is>
          <t>seed_dominio</t>
        </is>
      </c>
    </row>
    <row r="159">
      <c r="A159" t="inlineStr">
        <is>
          <t>Lombardia — Servizio Fitosanitario Regionale</t>
        </is>
      </c>
      <c r="B159" t="inlineStr">
        <is>
          <t>BASE_OFICIAL</t>
        </is>
      </c>
      <c r="C159" t="inlineStr">
        <is>
          <t>https://www.ersaf.lombardia.it/it</t>
        </is>
      </c>
      <c r="D159" t="n">
        <v>200</v>
      </c>
      <c r="E159" t="inlineStr"/>
      <c r="F159" t="inlineStr">
        <is>
          <t>REJECT (duplicata)</t>
        </is>
      </c>
      <c r="G159" t="inlineStr">
        <is>
          <t>duplicata de endereco de: Agricoltura Regione Lombardia</t>
        </is>
      </c>
      <c r="H159" t="inlineStr">
        <is>
          <t>seed_dominio</t>
        </is>
      </c>
    </row>
    <row r="160">
      <c r="A160" t="inlineStr">
        <is>
          <t>Regione Veneto — Agricoltura e foreste</t>
        </is>
      </c>
      <c r="B160" t="inlineStr">
        <is>
          <t>BASE_OFICIAL</t>
        </is>
      </c>
      <c r="C160" t="inlineStr">
        <is>
          <t>https://www.regione.veneto.it/web/agricoltura-e-foreste</t>
        </is>
      </c>
      <c r="D160" t="n">
        <v>200</v>
      </c>
      <c r="E160" t="inlineStr"/>
      <c r="F160" t="inlineStr">
        <is>
          <t>REJECT (duplicata)</t>
        </is>
      </c>
      <c r="G160" t="inlineStr">
        <is>
          <t>duplicata de endereco de: Veneto — Servizio Fitosanitario Regionale</t>
        </is>
      </c>
      <c r="H160" t="inlineStr">
        <is>
          <t>seed_dominio</t>
        </is>
      </c>
    </row>
    <row r="161">
      <c r="A161" t="inlineStr">
        <is>
          <t>ISPRA — Istituto Superiore per la Protezione e la Ricerca Ambientale — Youtube ufficiale</t>
        </is>
      </c>
      <c r="B161" t="inlineStr">
        <is>
          <t>YOUTUBE</t>
        </is>
      </c>
      <c r="C161" t="inlineStr">
        <is>
          <t>https://www.youtube.com/c/IspraVideoStreaming</t>
        </is>
      </c>
      <c r="D161" t="n">
        <v>200</v>
      </c>
      <c r="E161" t="inlineStr"/>
      <c r="F161" t="inlineStr">
        <is>
          <t>REJECT (duplicata)</t>
        </is>
      </c>
      <c r="G161" t="inlineStr">
        <is>
          <t>mesmo dono e mesmo canal ja' representado por: ISPRA — Istituto Superiore per la Protezione e la Ricerca Ambientale — Youtube ufficiale</t>
        </is>
      </c>
      <c r="H161" t="inlineStr">
        <is>
          <t>social_declarado_pelo_dono</t>
        </is>
      </c>
    </row>
    <row r="162">
      <c r="A162" t="inlineStr">
        <is>
          <t>CNR ISPA — Istituto di Scienze delle Produzioni Alimentari — Facebook ufficiale</t>
        </is>
      </c>
      <c r="B162" t="inlineStr">
        <is>
          <t>FACEBOOK</t>
        </is>
      </c>
      <c r="C162" t="inlineStr">
        <is>
          <t>https://www.facebook.com/Ispacnr</t>
        </is>
      </c>
      <c r="D162" t="n">
        <v>200</v>
      </c>
      <c r="E162" t="inlineStr">
        <is>
          <t>PLATFORM_GENERIC_TITLE</t>
        </is>
      </c>
      <c r="F162" t="inlineStr">
        <is>
          <t>REJECT (duplicata)</t>
        </is>
      </c>
      <c r="G162" t="inlineStr">
        <is>
          <t>mesmo dono e mesmo canal ja' representado por: CNR — Consiglio Nazionale delle Ricerche — Facebook ufficiale</t>
        </is>
      </c>
      <c r="H162" t="inlineStr">
        <is>
          <t>social_declarado_pelo_dono</t>
        </is>
      </c>
    </row>
    <row r="163">
      <c r="A163" t="inlineStr">
        <is>
          <t>CNR ISAFOM — Istituto per i Sistemi Agricoli e Forestali del Mediterraneo — Facebook ufficiale</t>
        </is>
      </c>
      <c r="B163" t="inlineStr">
        <is>
          <t>FACEBOOK</t>
        </is>
      </c>
      <c r="C163" t="inlineStr">
        <is>
          <t>https://www.facebook.com/CNR.ISAFOM</t>
        </is>
      </c>
      <c r="D163" t="n">
        <v>200</v>
      </c>
      <c r="E163" t="inlineStr">
        <is>
          <t>PLATFORM_GENERIC_TITLE</t>
        </is>
      </c>
      <c r="F163" t="inlineStr">
        <is>
          <t>REJECT (duplicata)</t>
        </is>
      </c>
      <c r="G163" t="inlineStr">
        <is>
          <t>mesmo dono e mesmo canal ja' representado por: CNR — Consiglio Nazionale delle Ricerche — Facebook ufficiale</t>
        </is>
      </c>
      <c r="H163" t="inlineStr">
        <is>
          <t>social_declarado_pelo_dono</t>
        </is>
      </c>
    </row>
    <row r="164">
      <c r="A164" t="inlineStr">
        <is>
          <t>CNR ISAFOM — Istituto per i Sistemi Agricoli e Forestali del Mediterraneo — Facebook ufficiale</t>
        </is>
      </c>
      <c r="B164" t="inlineStr">
        <is>
          <t>FACEBOOK</t>
        </is>
      </c>
      <c r="C164" t="inlineStr">
        <is>
          <t>https://www.facebook.com/730424527117660</t>
        </is>
      </c>
      <c r="D164" t="n">
        <v>200</v>
      </c>
      <c r="E164" t="inlineStr">
        <is>
          <t>PLATFORM_GENERIC_TITLE</t>
        </is>
      </c>
      <c r="F164" t="inlineStr">
        <is>
          <t>REJECT (duplicata)</t>
        </is>
      </c>
      <c r="G164" t="inlineStr">
        <is>
          <t>mesmo dono e mesmo canal ja' representado por: CNR — Consiglio Nazionale delle Ricerche — Facebook ufficiale</t>
        </is>
      </c>
      <c r="H164" t="inlineStr">
        <is>
          <t>social_declarado_pelo_dono</t>
        </is>
      </c>
    </row>
    <row r="165">
      <c r="A165" t="inlineStr">
        <is>
          <t>CNR ISAFOM — Istituto per i Sistemi Agricoli e Forestali del Mediterraneo — Instagram ufficiale</t>
        </is>
      </c>
      <c r="B165" t="inlineStr">
        <is>
          <t>INSTAGRAM</t>
        </is>
      </c>
      <c r="C165" t="inlineStr">
        <is>
          <t>https://www.instagram.com/cnr_isafom</t>
        </is>
      </c>
      <c r="D165" t="n">
        <v>429</v>
      </c>
      <c r="E165" t="inlineStr">
        <is>
          <t>HTTP_429,THIN_BODY</t>
        </is>
      </c>
      <c r="F165" t="inlineStr">
        <is>
          <t>REJECT (duplicata)</t>
        </is>
      </c>
      <c r="G165" t="inlineStr">
        <is>
          <t>mesmo dono e mesmo canal ja' representado por: CNR — Consiglio Nazionale delle Ricerche — Instagram ufficiale</t>
        </is>
      </c>
      <c r="H165" t="inlineStr">
        <is>
          <t>social_declarado_pelo_dono</t>
        </is>
      </c>
    </row>
    <row r="166">
      <c r="A166" t="inlineStr">
        <is>
          <t>CNR ISAFOM — Istituto per i Sistemi Agricoli e Forestali del Mediterraneo — Linkedin ufficiale</t>
        </is>
      </c>
      <c r="B166" t="inlineStr">
        <is>
          <t>LINKEDIN</t>
        </is>
      </c>
      <c r="C166" t="inlineStr">
        <is>
          <t>https://www.linkedin.com/company/istituto-per-i-sistemi-agricoli-e-forestali-del-mediterraneo</t>
        </is>
      </c>
      <c r="D166" t="n">
        <v>200</v>
      </c>
      <c r="E166" t="inlineStr"/>
      <c r="F166" t="inlineStr">
        <is>
          <t>REJECT (duplicata)</t>
        </is>
      </c>
      <c r="G166" t="inlineStr">
        <is>
          <t>mesmo dono e mesmo canal ja' representado por: CNR — Consiglio Nazionale delle Ricerche — Linkedin ufficiale</t>
        </is>
      </c>
      <c r="H166" t="inlineStr">
        <is>
          <t>social_declarado_pelo_dono</t>
        </is>
      </c>
    </row>
    <row r="167">
      <c r="A167" t="inlineStr">
        <is>
          <t>CNR IRET — Istituto di Ricerca sugli Ecosistemi Terrestri — Youtube ufficiale</t>
        </is>
      </c>
      <c r="B167" t="inlineStr">
        <is>
          <t>YOUTUBE</t>
        </is>
      </c>
      <c r="C167" t="inlineStr">
        <is>
          <t>https://www.youtube.com/@cnriret7301</t>
        </is>
      </c>
      <c r="D167" t="n">
        <v>200</v>
      </c>
      <c r="E167" t="inlineStr"/>
      <c r="F167" t="inlineStr">
        <is>
          <t>REJECT (duplicata)</t>
        </is>
      </c>
      <c r="G167" t="inlineStr">
        <is>
          <t>mesmo dono e mesmo canal ja' representado por: CNR ISAFOM — Istituto per i Sistemi Agricoli e Forestali del Mediterraneo — Youtube ufficiale</t>
        </is>
      </c>
      <c r="H167" t="inlineStr">
        <is>
          <t>social_declarado_pelo_dono</t>
        </is>
      </c>
    </row>
    <row r="168">
      <c r="A168" t="inlineStr">
        <is>
          <t>CNR IRET — Istituto di Ricerca sugli Ecosistemi Terrestri — Instagram ufficiale</t>
        </is>
      </c>
      <c r="B168" t="inlineStr">
        <is>
          <t>INSTAGRAM</t>
        </is>
      </c>
      <c r="C168" t="inlineStr">
        <is>
          <t>https://www.instagram.com/cnr_iret</t>
        </is>
      </c>
      <c r="D168" t="n">
        <v>429</v>
      </c>
      <c r="E168" t="inlineStr">
        <is>
          <t>HTTP_429,THIN_BODY</t>
        </is>
      </c>
      <c r="F168" t="inlineStr">
        <is>
          <t>REJECT (duplicata)</t>
        </is>
      </c>
      <c r="G168" t="inlineStr">
        <is>
          <t>mesmo dono e mesmo canal ja' representado por: CNR — Consiglio Nazionale delle Ricerche — Instagram ufficiale</t>
        </is>
      </c>
      <c r="H168" t="inlineStr">
        <is>
          <t>social_declarado_pelo_dono</t>
        </is>
      </c>
    </row>
    <row r="169">
      <c r="A169" t="inlineStr">
        <is>
          <t>CONAF — Consiglio Ordine Nazionale Dottori Agronomi e Forestali — Facebook ufficiale</t>
        </is>
      </c>
      <c r="B169" t="inlineStr">
        <is>
          <t>FACEBOOK</t>
        </is>
      </c>
      <c r="C169" t="inlineStr">
        <is>
          <t>https://www.facebook.com/agronomiforestali</t>
        </is>
      </c>
      <c r="D169" t="n">
        <v>200</v>
      </c>
      <c r="E169" t="inlineStr">
        <is>
          <t>PLATFORM_GENERIC_TITLE</t>
        </is>
      </c>
      <c r="F169" t="inlineStr">
        <is>
          <t>REJECT (duplicata)</t>
        </is>
      </c>
      <c r="G169" t="inlineStr">
        <is>
          <t>mesmo dono e mesmo canal ja' representado por: CONAF — Consiglio Ordine Nazionale Dottori Agronomi e Forestali — Facebook ufficiale</t>
        </is>
      </c>
      <c r="H169" t="inlineStr">
        <is>
          <t>social_declarado_pelo_dono</t>
        </is>
      </c>
    </row>
    <row r="170">
      <c r="A170" t="inlineStr">
        <is>
          <t>CIA — Agricoltori Italiani — Facebook ufficiale</t>
        </is>
      </c>
      <c r="B170" t="inlineStr">
        <is>
          <t>FACEBOOK</t>
        </is>
      </c>
      <c r="C170" t="inlineStr">
        <is>
          <t>https://www.facebook.com/CiaAgricoltori</t>
        </is>
      </c>
      <c r="D170" t="n">
        <v>200</v>
      </c>
      <c r="E170" t="inlineStr">
        <is>
          <t>PLATFORM_GENERIC_TITLE</t>
        </is>
      </c>
      <c r="F170" t="inlineStr">
        <is>
          <t>REJECT (duplicata)</t>
        </is>
      </c>
      <c r="G170" t="inlineStr">
        <is>
          <t>mesmo dono e mesmo canal ja' representado por: CIA — Agricoltori Italiani — Facebook ufficiale</t>
        </is>
      </c>
      <c r="H170" t="inlineStr">
        <is>
          <t>social_declarado_pelo_dono</t>
        </is>
      </c>
    </row>
    <row r="171">
      <c r="A171" t="inlineStr">
        <is>
          <t>UNIBO DISTAL — Dipartimento di Scienze e Tecnologie Agro-Alimentari — Youtube ufficiale</t>
        </is>
      </c>
      <c r="B171" t="inlineStr">
        <is>
          <t>YOUTUBE</t>
        </is>
      </c>
      <c r="C171" t="inlineStr">
        <is>
          <t>https://www.youtube.com/user/UniBologna</t>
        </is>
      </c>
      <c r="D171" t="n">
        <v>200</v>
      </c>
      <c r="E171" t="inlineStr"/>
      <c r="F171" t="inlineStr">
        <is>
          <t>REJECT (duplicata)</t>
        </is>
      </c>
      <c r="G171" t="inlineStr">
        <is>
          <t>mesmo dono e mesmo canal ja' representado por: UNIBO DISTAL — Dipartimento di Scienze e Tecnologie Agro-Alimentari — Youtube ufficiale</t>
        </is>
      </c>
      <c r="H171" t="inlineStr">
        <is>
          <t>social_declarado_pelo_dono</t>
        </is>
      </c>
    </row>
    <row r="172">
      <c r="A172" t="inlineStr">
        <is>
          <t>UNIBO DISTAL — Dipartimento di Scienze e Tecnologie Agro-Alimentari — Facebook ufficiale</t>
        </is>
      </c>
      <c r="B172" t="inlineStr">
        <is>
          <t>FACEBOOK</t>
        </is>
      </c>
      <c r="C172" t="inlineStr">
        <is>
          <t>https://www.facebook.com/unibo.it</t>
        </is>
      </c>
      <c r="D172" t="n">
        <v>200</v>
      </c>
      <c r="E172" t="inlineStr">
        <is>
          <t>PLATFORM_GENERIC_TITLE</t>
        </is>
      </c>
      <c r="F172" t="inlineStr">
        <is>
          <t>REJECT (duplicata)</t>
        </is>
      </c>
      <c r="G172" t="inlineStr">
        <is>
          <t>mesmo dono e mesmo canal ja' representado por: UNIBO DISTAL — Dipartimento di Scienze e Tecnologie Agro-Alimentari — Facebook ufficiale</t>
        </is>
      </c>
      <c r="H172" t="inlineStr">
        <is>
          <t>social_declarado_pelo_dono</t>
        </is>
      </c>
    </row>
    <row r="173">
      <c r="A173" t="inlineStr">
        <is>
          <t>UNIBO DISTAL — Dipartimento di Scienze e Tecnologie Agro-Alimentari — Linkedin ufficiale</t>
        </is>
      </c>
      <c r="B173" t="inlineStr">
        <is>
          <t>LINKEDIN</t>
        </is>
      </c>
      <c r="C173" t="inlineStr">
        <is>
          <t>https://www.linkedin.com/school/unibo</t>
        </is>
      </c>
      <c r="D173" t="n">
        <v>999</v>
      </c>
      <c r="E173" t="inlineStr">
        <is>
          <t>HTTP_999</t>
        </is>
      </c>
      <c r="F173" t="inlineStr">
        <is>
          <t>REJECT (duplicata)</t>
        </is>
      </c>
      <c r="G173" t="inlineStr">
        <is>
          <t>mesmo dono e mesmo canal ja' representado por: UNIBO DISTAL — Dipartimento di Scienze e Tecnologie Agro-Alimentari — Linkedin ufficiale</t>
        </is>
      </c>
      <c r="H173" t="inlineStr">
        <is>
          <t>social_declarado_pelo_dono</t>
        </is>
      </c>
    </row>
    <row r="174">
      <c r="A174" t="inlineStr">
        <is>
          <t>UNIBO DISTAL — Dipartimento di Scienze e Tecnologie Agro-Alimentari — Instagram ufficiale</t>
        </is>
      </c>
      <c r="B174" t="inlineStr">
        <is>
          <t>INSTAGRAM</t>
        </is>
      </c>
      <c r="C174" t="inlineStr">
        <is>
          <t>https://www.instagram.com/unibo</t>
        </is>
      </c>
      <c r="D174" t="n">
        <v>429</v>
      </c>
      <c r="E174" t="inlineStr">
        <is>
          <t>HTTP_429,THIN_BODY</t>
        </is>
      </c>
      <c r="F174" t="inlineStr">
        <is>
          <t>REJECT (duplicata)</t>
        </is>
      </c>
      <c r="G174" t="inlineStr">
        <is>
          <t>mesmo dono e mesmo canal ja' representado por: UNIBO DISTAL — Dipartimento di Scienze e Tecnologie Agro-Alimentari — Instagram ufficiale</t>
        </is>
      </c>
      <c r="H174" t="inlineStr">
        <is>
          <t>social_declarado_pelo_dono</t>
        </is>
      </c>
    </row>
    <row r="175">
      <c r="A175" t="inlineStr">
        <is>
          <t>UNIMI DiSAA — Dipartimento di Scienze Agrarie e Ambientali — Instagram ufficiale</t>
        </is>
      </c>
      <c r="B175" t="inlineStr">
        <is>
          <t>INSTAGRAM</t>
        </is>
      </c>
      <c r="C175" t="inlineStr">
        <is>
          <t>https://www.instagram.com/lastatale_milano_official</t>
        </is>
      </c>
      <c r="D175" t="n">
        <v>429</v>
      </c>
      <c r="E175" t="inlineStr">
        <is>
          <t>HTTP_429,THIN_BODY</t>
        </is>
      </c>
      <c r="F175" t="inlineStr">
        <is>
          <t>REJECT (duplicata)</t>
        </is>
      </c>
      <c r="G175" t="inlineStr">
        <is>
          <t>mesmo dono e mesmo canal ja' representado por: UNIMI DiSAA — Dipartimento di Scienze Agrarie e Ambientali — Instagram ufficiale</t>
        </is>
      </c>
      <c r="H175" t="inlineStr">
        <is>
          <t>social_declarado_pelo_dono</t>
        </is>
      </c>
    </row>
    <row r="176">
      <c r="A176" t="inlineStr">
        <is>
          <t>UNIMI DiSAA — Dipartimento di Scienze Agrarie e Ambientali — Linkedin ufficiale</t>
        </is>
      </c>
      <c r="B176" t="inlineStr">
        <is>
          <t>LINKEDIN</t>
        </is>
      </c>
      <c r="C176" t="inlineStr">
        <is>
          <t>https://www.linkedin.com/school/university-of-milan</t>
        </is>
      </c>
      <c r="D176" t="n">
        <v>999</v>
      </c>
      <c r="E176" t="inlineStr">
        <is>
          <t>HTTP_999</t>
        </is>
      </c>
      <c r="F176" t="inlineStr">
        <is>
          <t>REJECT (duplicata)</t>
        </is>
      </c>
      <c r="G176" t="inlineStr">
        <is>
          <t>mesmo dono e mesmo canal ja' representado por: UNIMI DiSAA — Dipartimento di Scienze Agrarie e Ambientali — Linkedin ufficiale</t>
        </is>
      </c>
      <c r="H176" t="inlineStr">
        <is>
          <t>social_declarado_pelo_dono</t>
        </is>
      </c>
    </row>
    <row r="177">
      <c r="A177" t="inlineStr">
        <is>
          <t>CRPV — Centro Ricerche Produzioni Vegetali — Facebook ufficiale</t>
        </is>
      </c>
      <c r="B177" t="inlineStr">
        <is>
          <t>FACEBOOK</t>
        </is>
      </c>
      <c r="C177" t="inlineStr">
        <is>
          <t>https://www.facebook.com/rinovainnovazionericerca</t>
        </is>
      </c>
      <c r="D177" t="n">
        <v>200</v>
      </c>
      <c r="E177" t="inlineStr">
        <is>
          <t>PLATFORM_GENERIC_TITLE</t>
        </is>
      </c>
      <c r="F177" t="inlineStr">
        <is>
          <t>REJECT (duplicata)</t>
        </is>
      </c>
      <c r="G177" t="inlineStr">
        <is>
          <t>mesmo dono e mesmo canal ja' representado por: CRPV — Centro Ricerche Produzioni Vegetali — Facebook ufficiale</t>
        </is>
      </c>
      <c r="H177" t="inlineStr">
        <is>
          <t>social_declarado_pelo_dono</t>
        </is>
      </c>
    </row>
    <row r="178">
      <c r="A178" t="inlineStr">
        <is>
          <t>Fondazione per l'Agricoltura F.lli Navarra — Facebook ufficiale</t>
        </is>
      </c>
      <c r="B178" t="inlineStr">
        <is>
          <t>FACEBOOK</t>
        </is>
      </c>
      <c r="C178" t="inlineStr">
        <is>
          <t>https://www.facebook.com/goodlayers</t>
        </is>
      </c>
      <c r="D178" t="n">
        <v>200</v>
      </c>
      <c r="E178" t="inlineStr">
        <is>
          <t>PLATFORM_GENERIC_TITLE</t>
        </is>
      </c>
      <c r="F178" t="inlineStr">
        <is>
          <t>REJECT (duplicata)</t>
        </is>
      </c>
      <c r="G178" t="inlineStr">
        <is>
          <t>mesmo dono e mesmo canal ja' representado por: Fondazione per l'Agricoltura F.lli Navarra — Facebook ufficiale</t>
        </is>
      </c>
      <c r="H178" t="inlineStr">
        <is>
          <t>social_declarado_pelo_dono</t>
        </is>
      </c>
    </row>
    <row r="179">
      <c r="A179" t="inlineStr">
        <is>
          <t>Olivo e Olio — Edagricole — Facebook ufficiale</t>
        </is>
      </c>
      <c r="B179" t="inlineStr">
        <is>
          <t>FACEBOOK</t>
        </is>
      </c>
      <c r="C179" t="inlineStr">
        <is>
          <t>https://www.facebook.com/OlivoeOlio</t>
        </is>
      </c>
      <c r="D179" t="n">
        <v>200</v>
      </c>
      <c r="E179" t="inlineStr">
        <is>
          <t>PLATFORM_GENERIC_TITLE</t>
        </is>
      </c>
      <c r="F179" t="inlineStr">
        <is>
          <t>REJECT (duplicata)</t>
        </is>
      </c>
      <c r="G179" t="inlineStr">
        <is>
          <t>mesmo dono e mesmo canal ja' representado por: Terra e Vita — Edagricole — Facebook ufficiale</t>
        </is>
      </c>
      <c r="H179" t="inlineStr">
        <is>
          <t>social_declarado_pelo_dono</t>
        </is>
      </c>
    </row>
    <row r="180">
      <c r="A180" t="inlineStr">
        <is>
          <t>Teatro Naturale — Facebook ufficiale</t>
        </is>
      </c>
      <c r="B180" t="inlineStr">
        <is>
          <t>FACEBOOK</t>
        </is>
      </c>
      <c r="C180" t="inlineStr">
        <is>
          <t>https://www.facebook.com/assaggiatoriascoe</t>
        </is>
      </c>
      <c r="D180" t="n">
        <v>200</v>
      </c>
      <c r="E180" t="inlineStr">
        <is>
          <t>PLATFORM_GENERIC_TITLE</t>
        </is>
      </c>
      <c r="F180" t="inlineStr">
        <is>
          <t>REJECT (duplicata)</t>
        </is>
      </c>
      <c r="G180" t="inlineStr">
        <is>
          <t>mesmo dono e mesmo canal ja' representado por: Teatro Naturale — Facebook ufficiale</t>
        </is>
      </c>
      <c r="H180" t="inlineStr">
        <is>
          <t>social_declarado_pelo_dono</t>
        </is>
      </c>
    </row>
    <row r="181">
      <c r="A181" t="inlineStr">
        <is>
          <t>Agrilevante — Youtube ufficiale</t>
        </is>
      </c>
      <c r="B181" t="inlineStr">
        <is>
          <t>YOUTUBE</t>
        </is>
      </c>
      <c r="C181" t="inlineStr">
        <is>
          <t>https://www.youtube.com/user/Agrilevante</t>
        </is>
      </c>
      <c r="D181" t="n">
        <v>200</v>
      </c>
      <c r="E181" t="inlineStr"/>
      <c r="F181" t="inlineStr">
        <is>
          <t>REJECT (duplicata)</t>
        </is>
      </c>
      <c r="G181" t="inlineStr">
        <is>
          <t>mesmo dono e mesmo canal ja' representado por: Agrilevante — Youtube ufficiale</t>
        </is>
      </c>
      <c r="H181" t="inlineStr">
        <is>
          <t>social_declarado_pelo_dono</t>
        </is>
      </c>
    </row>
    <row r="182">
      <c r="A182" t="inlineStr">
        <is>
          <t>FederUnacoma — Federazione Nazionale Costruttori Macchine per l'Agricoltura — Instagram ufficiale</t>
        </is>
      </c>
      <c r="B182" t="inlineStr">
        <is>
          <t>INSTAGRAM</t>
        </is>
      </c>
      <c r="C182" t="inlineStr">
        <is>
          <t>https://www.instagram.com/feder_unacoma</t>
        </is>
      </c>
      <c r="D182" t="n">
        <v>429</v>
      </c>
      <c r="E182" t="inlineStr">
        <is>
          <t>HTTP_429,THIN_BODY</t>
        </is>
      </c>
      <c r="F182" t="inlineStr">
        <is>
          <t>REJECT (duplicata)</t>
        </is>
      </c>
      <c r="G182" t="inlineStr">
        <is>
          <t>mesmo dono e mesmo canal ja' representado por: Agrilevante — Instagram ufficiale</t>
        </is>
      </c>
      <c r="H182" t="inlineStr">
        <is>
          <t>social_declarado_pelo_dono</t>
        </is>
      </c>
    </row>
    <row r="183">
      <c r="A183" t="inlineStr">
        <is>
          <t>FederUnacoma — Federazione Nazionale Costruttori Macchine per l'Agricoltura — Youtube ufficiale</t>
        </is>
      </c>
      <c r="B183" t="inlineStr">
        <is>
          <t>YOUTUBE</t>
        </is>
      </c>
      <c r="C183" t="inlineStr">
        <is>
          <t>https://www.youtube.com/user/federunacoma</t>
        </is>
      </c>
      <c r="D183" t="n">
        <v>200</v>
      </c>
      <c r="E183" t="inlineStr"/>
      <c r="F183" t="inlineStr">
        <is>
          <t>REJECT (duplicata)</t>
        </is>
      </c>
      <c r="G183" t="inlineStr">
        <is>
          <t>mesmo dono e mesmo canal ja' representado por: Agrilevante — Youtube ufficiale</t>
        </is>
      </c>
      <c r="H183" t="inlineStr">
        <is>
          <t>social_declarado_pelo_dono</t>
        </is>
      </c>
    </row>
    <row r="184">
      <c r="A184" t="inlineStr">
        <is>
          <t>Cifo — Facebook ufficiale</t>
        </is>
      </c>
      <c r="B184" t="inlineStr">
        <is>
          <t>FACEBOOK</t>
        </is>
      </c>
      <c r="C184" t="inlineStr">
        <is>
          <t>https://www.facebook.com/CifoAgricoltura</t>
        </is>
      </c>
      <c r="D184" t="n">
        <v>200</v>
      </c>
      <c r="E184" t="inlineStr">
        <is>
          <t>PLATFORM_GENERIC_TITLE</t>
        </is>
      </c>
      <c r="F184" t="inlineStr">
        <is>
          <t>REJECT (duplicata)</t>
        </is>
      </c>
      <c r="G184" t="inlineStr">
        <is>
          <t>mesmo dono e mesmo canal ja' representado por: Cifo — Facebook ufficiale</t>
        </is>
      </c>
      <c r="H184" t="inlineStr">
        <is>
          <t>social_declarado_pelo_dono</t>
        </is>
      </c>
    </row>
    <row r="185">
      <c r="A185" t="inlineStr">
        <is>
          <t>Cifo — Youtube ufficiale</t>
        </is>
      </c>
      <c r="B185" t="inlineStr">
        <is>
          <t>YOUTUBE</t>
        </is>
      </c>
      <c r="C185" t="inlineStr">
        <is>
          <t>https://www.youtube.com/channel/UC4A5UdkaIvcbaA7z1mz-YdA</t>
        </is>
      </c>
      <c r="D185" t="n">
        <v>200</v>
      </c>
      <c r="E185" t="inlineStr"/>
      <c r="F185" t="inlineStr">
        <is>
          <t>REJECT (duplicata)</t>
        </is>
      </c>
      <c r="G185" t="inlineStr">
        <is>
          <t>mesmo dono e mesmo canal ja' representado por: Cifo — Youtube ufficiale</t>
        </is>
      </c>
      <c r="H185" t="inlineStr">
        <is>
          <t>social_declarado_pelo_dono</t>
        </is>
      </c>
    </row>
    <row r="186">
      <c r="A186" t="inlineStr">
        <is>
          <t>Coldiretti Puglia — Facebook ufficiale</t>
        </is>
      </c>
      <c r="B186" t="inlineStr">
        <is>
          <t>FACEBOOK</t>
        </is>
      </c>
      <c r="C186" t="inlineStr">
        <is>
          <t>https://www.facebook.com/terranostra.puglia</t>
        </is>
      </c>
      <c r="D186" t="n">
        <v>200</v>
      </c>
      <c r="E186" t="inlineStr">
        <is>
          <t>PLATFORM_GENERIC_TITLE</t>
        </is>
      </c>
      <c r="F186" t="inlineStr">
        <is>
          <t>REJECT (duplicata)</t>
        </is>
      </c>
      <c r="G186" t="inlineStr">
        <is>
          <t>mesmo dono e mesmo canal ja' representado por: Coldiretti — Facebook ufficiale</t>
        </is>
      </c>
      <c r="H186" t="inlineStr">
        <is>
          <t>social_declarado_pelo_dono</t>
        </is>
      </c>
    </row>
    <row r="187">
      <c r="A187" t="inlineStr">
        <is>
          <t>Coldiretti Sicilia — Facebook ufficiale</t>
        </is>
      </c>
      <c r="B187" t="inlineStr">
        <is>
          <t>FACEBOOK</t>
        </is>
      </c>
      <c r="C187" t="inlineStr">
        <is>
          <t>https://www.facebook.com/ColdirettiSicilia1</t>
        </is>
      </c>
      <c r="D187" t="n">
        <v>200</v>
      </c>
      <c r="E187" t="inlineStr">
        <is>
          <t>PLATFORM_GENERIC_TITLE</t>
        </is>
      </c>
      <c r="F187" t="inlineStr">
        <is>
          <t>REJECT (duplicata)</t>
        </is>
      </c>
      <c r="G187" t="inlineStr">
        <is>
          <t>mesmo dono e mesmo canal ja' representado por: Coldiretti — Facebook ufficiale</t>
        </is>
      </c>
      <c r="H187" t="inlineStr">
        <is>
          <t>social_declarado_pelo_dono</t>
        </is>
      </c>
    </row>
    <row r="188">
      <c r="A188" t="inlineStr">
        <is>
          <t>Coldiretti Sicilia — Instagram ufficiale</t>
        </is>
      </c>
      <c r="B188" t="inlineStr">
        <is>
          <t>INSTAGRAM</t>
        </is>
      </c>
      <c r="C188" t="inlineStr">
        <is>
          <t>https://www.instagram.com/coldiretti_sicilia</t>
        </is>
      </c>
      <c r="D188" t="n">
        <v>429</v>
      </c>
      <c r="E188" t="inlineStr">
        <is>
          <t>HTTP_429,THIN_BODY</t>
        </is>
      </c>
      <c r="F188" t="inlineStr">
        <is>
          <t>REJECT (duplicata)</t>
        </is>
      </c>
      <c r="G188" t="inlineStr">
        <is>
          <t>mesmo dono e mesmo canal ja' representado por: Coldiretti — Instagram ufficiale</t>
        </is>
      </c>
      <c r="H188" t="inlineStr">
        <is>
          <t>social_declarado_pelo_dono</t>
        </is>
      </c>
    </row>
    <row r="189">
      <c r="A189" t="inlineStr">
        <is>
          <t>Coldiretti Veneto — Facebook ufficiale</t>
        </is>
      </c>
      <c r="B189" t="inlineStr">
        <is>
          <t>FACEBOOK</t>
        </is>
      </c>
      <c r="C189" t="inlineStr">
        <is>
          <t>https://www.facebook.com/photo</t>
        </is>
      </c>
      <c r="D189" t="n">
        <v>404</v>
      </c>
      <c r="E189" t="inlineStr">
        <is>
          <t>HTTP_404,PLATFORM_GENERIC_TITLE</t>
        </is>
      </c>
      <c r="F189" t="inlineStr">
        <is>
          <t>REJECT (duplicata)</t>
        </is>
      </c>
      <c r="G189" t="inlineStr">
        <is>
          <t>mesmo dono e mesmo canal ja' representado por: Coldiretti — Facebook ufficiale</t>
        </is>
      </c>
      <c r="H189" t="inlineStr">
        <is>
          <t>social_declarado_pelo_dono</t>
        </is>
      </c>
    </row>
    <row r="190">
      <c r="A190" t="inlineStr">
        <is>
          <t>Unione Nazionale Associazioni Produttori Olivicoli — UNAPROL — Instagram ufficiale</t>
        </is>
      </c>
      <c r="B190" t="inlineStr">
        <is>
          <t>INSTAGRAM</t>
        </is>
      </c>
      <c r="C190" t="inlineStr">
        <is>
          <t>https://www.instagram.com/fondazionecampagnamica</t>
        </is>
      </c>
      <c r="D190" t="n">
        <v>429</v>
      </c>
      <c r="E190" t="inlineStr">
        <is>
          <t>HTTP_429,THIN_BODY</t>
        </is>
      </c>
      <c r="F190" t="inlineStr">
        <is>
          <t>REJECT (duplicata)</t>
        </is>
      </c>
      <c r="G190" t="inlineStr">
        <is>
          <t>mesmo dono e mesmo canal ja' representado por: Unione Nazionale Associazioni Produttori Olivicoli — UNAPROL — Instagram ufficiale</t>
        </is>
      </c>
      <c r="H190" t="inlineStr">
        <is>
          <t>social_declarado_pelo_dono</t>
        </is>
      </c>
    </row>
    <row r="191">
      <c r="A191" t="inlineStr">
        <is>
          <t>Image Line — canale YouTube</t>
        </is>
      </c>
      <c r="B191" t="inlineStr">
        <is>
          <t>YOUTUBE</t>
        </is>
      </c>
      <c r="C191" t="inlineStr">
        <is>
          <t>https://www.youtube.com/@ImageLineNetwork</t>
        </is>
      </c>
      <c r="D191" t="n">
        <v>200</v>
      </c>
      <c r="E191" t="inlineStr"/>
      <c r="F191" t="inlineStr">
        <is>
          <t>REJECT (duplicata)</t>
        </is>
      </c>
      <c r="G191" t="inlineStr">
        <is>
          <t>mesmo dono e mesmo canal ja' representado por: AgroNotizie — canale YouTube</t>
        </is>
      </c>
      <c r="H191" t="inlineStr">
        <is>
          <t>seed_dominio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6" customWidth="1" min="3" max="3"/>
    <col width="42" customWidth="1" min="4" max="4"/>
    <col width="72" customWidth="1" min="5" max="5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URL</t>
        </is>
      </c>
      <c r="D1" s="1" t="inlineStr">
        <is>
          <t>ONDE_JA_ESTAVA</t>
        </is>
      </c>
      <c r="E1" s="1" t="inlineStr">
        <is>
          <t>OBS</t>
        </is>
      </c>
    </row>
    <row r="2">
      <c r="A2" t="inlineStr">
        <is>
          <t>Sicilia Agricoltura — Regione Siciliana Assessorato Agricoltura</t>
        </is>
      </c>
      <c r="B2" t="inlineStr">
        <is>
          <t>BASE_OFICIAL</t>
        </is>
      </c>
      <c r="C2" t="inlineStr">
        <is>
          <t>https://www.regione.sicilia.it/istituzioni/regione/strutture-regionali/assessorato-agricoltura-sviluppo-rurale-pesca-mediterranea</t>
        </is>
      </c>
      <c r="D2" t="inlineStr">
        <is>
          <t>mesmo endereco ja' no acervo atual</t>
        </is>
      </c>
      <c r="E2" t="inlineStr">
        <is>
          <t>nao conta para a meta das 200 novas (secao 13)</t>
        </is>
      </c>
    </row>
    <row r="3">
      <c r="A3" t="inlineStr">
        <is>
          <t>Campania — Assessorato Agricoltura</t>
        </is>
      </c>
      <c r="B3" t="inlineStr">
        <is>
          <t>BASE_OFICIAL</t>
        </is>
      </c>
      <c r="C3" t="inlineStr">
        <is>
          <t>https://agricoltura.regione.campania.it/</t>
        </is>
      </c>
      <c r="D3" t="inlineStr">
        <is>
          <t>mesmo endereco ja' no acervo atual</t>
        </is>
      </c>
      <c r="E3" t="inlineStr">
        <is>
          <t>nao conta para a meta das 200 novas (secao 13)</t>
        </is>
      </c>
    </row>
    <row r="4">
      <c r="A4" t="inlineStr">
        <is>
          <t>Emilia-Romagna — Servizio Fitosanitario</t>
        </is>
      </c>
      <c r="B4" t="inlineStr">
        <is>
          <t>BASE_OFICIAL</t>
        </is>
      </c>
      <c r="C4" t="inlineStr">
        <is>
          <t>https://agricoltura.regione.emilia-romagna.it/fitosanitario</t>
        </is>
      </c>
      <c r="D4" t="inlineStr">
        <is>
          <t>dominio do dono ja' no acervo</t>
        </is>
      </c>
      <c r="E4" t="inlineStr">
        <is>
          <t>CANAL DIFERENTE do mesmo dono: conta como fonte nova (SAME_DOMAIN != SAME_SOURCE, secao 14)</t>
        </is>
      </c>
    </row>
    <row r="5">
      <c r="A5" t="inlineStr">
        <is>
          <t>Consorzi Agrari d'Italia — CAI</t>
        </is>
      </c>
      <c r="B5" t="inlineStr">
        <is>
          <t>ORGANIZACAO</t>
        </is>
      </c>
      <c r="C5" t="inlineStr">
        <is>
          <t>https://www.consorziagrariditalia.it/chi-siamo/</t>
        </is>
      </c>
      <c r="D5" t="inlineStr">
        <is>
          <t>dominio do dono ja' no acervo</t>
        </is>
      </c>
      <c r="E5" t="inlineStr">
        <is>
          <t>CANAL DIFERENTE do mesmo dono: conta como fonte nova (SAME_DOMAIN != SAME_SOURCE, secao 14)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MISSION_ID</t>
        </is>
      </c>
      <c r="B2" s="2" t="inlineStr">
        <is>
          <t>ITALY-200-SOURCES-DISCOVERY / ITALIA — BASE DE 200+ NOVAS FONTES VALIDADAS</t>
        </is>
      </c>
    </row>
    <row r="3">
      <c r="A3" t="inlineStr">
        <is>
          <t>DATA</t>
        </is>
      </c>
      <c r="B3" s="2" t="inlineStr">
        <is>
          <t>2026-09-14</t>
        </is>
      </c>
    </row>
    <row r="4">
      <c r="A4" t="inlineStr">
        <is>
          <t>INITIAL_BRANCH</t>
        </is>
      </c>
      <c r="B4" s="2" t="inlineStr">
        <is>
          <t>claude/italy-200-sources-discovery-cvrk5k</t>
        </is>
      </c>
    </row>
    <row r="5">
      <c r="A5" t="inlineStr">
        <is>
          <t>INITIAL_HEAD</t>
        </is>
      </c>
      <c r="B5" s="2" t="inlineStr">
        <is>
          <t>f437ff1140fa97484ca9695b341fbe9ca0a9f050</t>
        </is>
      </c>
    </row>
    <row r="6">
      <c r="A6" t="inlineStr">
        <is>
          <t>FINAL_BRANCH</t>
        </is>
      </c>
      <c r="B6" s="2" t="inlineStr">
        <is>
          <t>claude/italy-200-sources-discovery-cvrk5k</t>
        </is>
      </c>
    </row>
    <row r="7">
      <c r="A7" t="inlineStr">
        <is>
          <t>FINAL_HEAD</t>
        </is>
      </c>
      <c r="B7" s="2" t="inlineStr">
        <is>
          <t>f437ff1140fa97484ca9695b341fbe9ca0a9f050</t>
        </is>
      </c>
    </row>
    <row r="8">
      <c r="A8" t="inlineStr">
        <is>
          <t>WORKTREE_INICIAL</t>
        </is>
      </c>
      <c r="B8" s="2" t="inlineStr">
        <is>
          <t>limpo (git status --short vazio)</t>
        </is>
      </c>
    </row>
    <row r="9">
      <c r="A9" t="inlineStr"/>
      <c r="B9" s="2" t="inlineStr"/>
    </row>
    <row r="10">
      <c r="A10" s="3">
        <f>= AUTORIDADES CONSULTADAS ==</f>
        <v/>
      </c>
      <c r="B10" s="2" t="inlineStr"/>
    </row>
    <row r="11">
      <c r="A11" t="inlineStr">
        <is>
          <t>AGENTS.md</t>
        </is>
      </c>
      <c r="B11" s="2" t="inlineStr">
        <is>
          <t>lei do projeto + escada de fontes (linha 360 aponta candidatas/FONTES-CANDIDATAS.json)</t>
        </is>
      </c>
    </row>
    <row r="12">
      <c r="A12" t="inlineStr">
        <is>
          <t>BIBLIA-CANONICA-DA-COLETA.md</t>
        </is>
      </c>
      <c r="B12" s="2" t="inlineStr">
        <is>
          <t>NAO existe nesta branch; lida em origin/claude/sintonia-eame-know-how-v1</t>
        </is>
      </c>
    </row>
    <row r="13">
      <c r="A13" t="inlineStr">
        <is>
          <t xml:space="preserve">  COL-LAW-009</t>
        </is>
      </c>
      <c r="B13" s="2" t="inlineStr">
        <is>
          <t>FONTE != ENDPOINT != ROTA != EXECUTOR != ITEM != ARTEFATO</t>
        </is>
      </c>
    </row>
    <row r="14">
      <c r="A14" t="inlineStr">
        <is>
          <t xml:space="preserve">  COL-LAW-034</t>
        </is>
      </c>
      <c r="B14" s="2" t="inlineStr">
        <is>
          <t>LEI DE IDENTIDADE — identidade nunca por similaridade textual</t>
        </is>
      </c>
    </row>
    <row r="15">
      <c r="A15" t="inlineStr">
        <is>
          <t xml:space="preserve">  COL-LAW-053</t>
        </is>
      </c>
      <c r="B15" s="2" t="inlineStr">
        <is>
          <t>cadastro unico e reconciliado; a escada tem 4 degraus; CANDIDATA vive em candidatas/FONTES-CANDIDATAS.json</t>
        </is>
      </c>
    </row>
    <row r="16">
      <c r="A16" t="inlineStr">
        <is>
          <t>SINTONIA-EAME-KNOW-HOW.md</t>
        </is>
      </c>
      <c r="B16" s="2" t="inlineStr">
        <is>
          <t>NAO existe nesta branch; lido em origin/claude/sintonia-eame-know-how-v1</t>
        </is>
      </c>
    </row>
    <row r="17">
      <c r="A17" t="inlineStr">
        <is>
          <t>docs/fontes/ATLAS-DE-FONTES-EAME.md</t>
        </is>
      </c>
      <c r="B17" s="2" t="inlineStr">
        <is>
          <t>23 fichas completas; 2 italianas (IT-T3-001, IT-T4-001)</t>
        </is>
      </c>
    </row>
    <row r="18">
      <c r="A18" t="inlineStr">
        <is>
          <t>docs/fontes/INDICE-DE-FONTES.md</t>
        </is>
      </c>
      <c r="B18" s="2" t="inlineStr">
        <is>
          <t>gerado; declara 0 candidatas na fila</t>
        </is>
      </c>
    </row>
    <row r="19">
      <c r="A19" t="inlineStr">
        <is>
          <t>docs/fontes/ITALY-SOURCE-CONTRACT-MATRIX-V1.md</t>
        </is>
      </c>
      <c r="B19" s="2" t="inlineStr">
        <is>
          <t>13 contratos italianos; leis HTTP_200 != HEALTHY_SOURCE, SAME_URL != SAME_DOCUMENT</t>
        </is>
      </c>
    </row>
    <row r="20">
      <c r="A20" t="inlineStr">
        <is>
          <t>candidatas/fonte_nova.py</t>
        </is>
      </c>
      <c r="B20" s="2" t="inlineStr">
        <is>
          <t>A PORTA CANONICA — medida neste HEAD</t>
        </is>
      </c>
    </row>
    <row r="21">
      <c r="A21" t="inlineStr">
        <is>
          <t>candidatas/ITALY-SOURCE-MASTER-V1.json</t>
        </is>
      </c>
      <c r="B21" s="2" t="inlineStr">
        <is>
          <t>acervo italiano anterior — usado como SEED e para DEDUPE, nao como prova de disponibilidade</t>
        </is>
      </c>
    </row>
    <row r="22">
      <c r="A22" t="inlineStr">
        <is>
          <t>regras/italy_contracts.mjs · italy_source_health.mjs</t>
        </is>
      </c>
      <c r="B22" s="2" t="inlineStr">
        <is>
          <t>medidores de saude: rodam contra RAW ja' preservado, NAO sondam a rede — nao utilizaveis aqui</t>
        </is>
      </c>
    </row>
    <row r="23">
      <c r="A23" t="inlineStr">
        <is>
          <t>docs/operacao/SOURCE-DOCUMENT-DONO-STORE-CONTRATO.md</t>
        </is>
      </c>
      <c r="B23" s="2" t="inlineStr">
        <is>
          <t>NAO EXISTE no repositorio (procurado por nome e por conteudo)</t>
        </is>
      </c>
    </row>
    <row r="24">
      <c r="A24" t="inlineStr"/>
      <c r="B24" s="2" t="inlineStr"/>
    </row>
    <row r="25">
      <c r="A25" s="3">
        <f>= SCHEMA DO CADASTRO, MEDIDO NO CODIGO ATUAL ==</f>
        <v/>
      </c>
      <c r="B25" s="2" t="inlineStr"/>
    </row>
    <row r="26">
      <c r="A26" t="inlineStr">
        <is>
          <t>arquivo/funcao dono</t>
        </is>
      </c>
      <c r="B26" s="2" t="inlineStr">
        <is>
          <t>candidatas/fonte_nova.py :: registar(tipo, pais, nome, url, para_que, quem_viu, onde_viu='', nota='')</t>
        </is>
      </c>
    </row>
    <row r="27">
      <c r="A27" t="inlineStr">
        <is>
          <t>colunas da ABA CADASTRO_FONTES</t>
        </is>
      </c>
      <c r="B27" s="2" t="inlineStr">
        <is>
          <t>TIPO · PAIS · NOME · URL · PARA_QUE_SERVE · QUEM_VIU · ONDE_VIU · NOTA</t>
        </is>
      </c>
    </row>
    <row r="28">
      <c r="A28" t="inlineStr">
        <is>
          <t>campos obrigatorios nao-vazios</t>
        </is>
      </c>
      <c r="B28" s="2" t="inlineStr">
        <is>
          <t>nome · url · para_que · quem_viu (verificado no codigo, linhas 115-121)</t>
        </is>
      </c>
    </row>
    <row r="29">
      <c r="A29" t="inlineStr">
        <is>
          <t>tipos aceites (medidos)</t>
        </is>
      </c>
      <c r="B29" s="2" t="inlineStr">
        <is>
          <t>BASE_OFICIAL · CIENCIA · FACEBOOK · IMPRENSA · INSTAGRAM · LINKEDIN · ORGANIZACAO · OUTRO · YOUTUBE</t>
        </is>
      </c>
    </row>
    <row r="30">
      <c r="A30" t="inlineStr">
        <is>
          <t>paises aceites (medidos)</t>
        </is>
      </c>
      <c r="B30" s="2" t="inlineStr">
        <is>
          <t>DE · ES · EU · FR · IT · OUTRO · PL · PT</t>
        </is>
      </c>
    </row>
    <row r="31">
      <c r="A31" t="inlineStr">
        <is>
          <t>chave de deduplicacao do codigo</t>
        </is>
      </c>
      <c r="B31" s="2" t="inlineStr">
        <is>
          <t>normalizar(url): minusculas, sem esquema, sem 'www.', sem barra final</t>
        </is>
      </c>
    </row>
    <row r="32">
      <c r="A32" t="inlineStr">
        <is>
          <t>SOURCE_ID</t>
        </is>
      </c>
      <c r="B32" s="2" t="inlineStr">
        <is>
          <t>nasce None no codigo; so' e' preenchido quando a candidata vira ficha no Atlas</t>
        </is>
      </c>
    </row>
    <row r="33">
      <c r="A33" t="inlineStr">
        <is>
          <t>importador de planilha/CSV</t>
        </is>
      </c>
      <c r="B33" s="2" t="inlineStr">
        <is>
          <t>NAO EXISTE — procurado em todo o repositorio</t>
        </is>
      </c>
    </row>
    <row r="34">
      <c r="A34" t="inlineStr">
        <is>
          <t>validador / dry-run da fila</t>
        </is>
      </c>
      <c r="B34" s="2" t="inlineStr">
        <is>
          <t>NAO EXISTE</t>
        </is>
      </c>
    </row>
    <row r="35">
      <c r="A35" t="inlineStr"/>
      <c r="B35" s="2" t="inlineStr"/>
    </row>
    <row r="36">
      <c r="A36" s="3">
        <f>= DRIFT MEDIDO (NAO CORRIGIDO NESTA MISSAO) ==</f>
        <v/>
      </c>
      <c r="B36" s="2" t="inlineStr"/>
    </row>
    <row r="37">
      <c r="A37" t="inlineStr">
        <is>
          <t>STATUS</t>
        </is>
      </c>
      <c r="B37" s="2" t="inlineStr">
        <is>
          <t>SOURCE_CANDIDATE_QUEUE_PATH_DRIFT — CONFIRMADO no HEAD f437ff1</t>
        </is>
      </c>
    </row>
    <row r="38">
      <c r="A38" t="inlineStr">
        <is>
          <t>o codigo escreve em</t>
        </is>
      </c>
      <c r="B38" s="2" t="inlineStr">
        <is>
          <t>candidatas/fonte_nova.py:63 -&gt; data/samples/FONTES-CANDIDATAS.json (ESTE ARQUIVO NAO EXISTE)</t>
        </is>
      </c>
    </row>
    <row r="39">
      <c r="A39" t="inlineStr">
        <is>
          <t>a fila real e'</t>
        </is>
      </c>
      <c r="B39" s="2" t="inlineStr">
        <is>
          <t>candidatas/FONTES-CANDIDATAS.json (existe, TOTAL=0)</t>
        </is>
      </c>
    </row>
    <row r="40">
      <c r="A40" t="inlineStr">
        <is>
          <t>quem aponta para candidatas/</t>
        </is>
      </c>
      <c r="B40" s="2" t="inlineStr">
        <is>
          <t>AGENTS.md:360 · docs/fontes/INDICE-DE-FONTES.md:42,61 · system-map/scripts/scan_sources.py:369 · BIBLIA COL-LAW-053</t>
        </is>
      </c>
    </row>
    <row r="41">
      <c r="A41" t="inlineStr">
        <is>
          <t>quem aponta para data/samples/</t>
        </is>
      </c>
      <c r="B41" s="2" t="inlineStr">
        <is>
          <t>apenas candidatas/fonte_nova.py:63</t>
        </is>
      </c>
    </row>
    <row r="42">
      <c r="A42" t="inlineStr">
        <is>
          <t>causa-raiz</t>
        </is>
      </c>
      <c r="B42" s="2" t="inlineStr">
        <is>
          <t>o script nasceu em scripts/fonte_nova.py com este caminho (commit 0edbbd43) e foi movido para candidatas/ sem atualizar a constante</t>
        </is>
      </c>
    </row>
    <row r="43">
      <c r="A43" t="inlineStr">
        <is>
          <t>consequencia se alguem correr a porta hoje</t>
        </is>
      </c>
      <c r="B43" s="2" t="inlineStr">
        <is>
          <t>cria uma SEGUNDA fila vazia em data/samples/, invisivel para o System Map e para o indice</t>
        </is>
      </c>
    </row>
    <row r="44">
      <c r="A44" t="inlineStr">
        <is>
          <t>decisao desta missao</t>
        </is>
      </c>
      <c r="B44" s="2" t="inlineStr">
        <is>
          <t>NAO corrigido de proposito (secao 6). Nao se escolheu silenciosamente nenhum dos dois caminhos.</t>
        </is>
      </c>
    </row>
    <row r="45">
      <c r="A45" t="inlineStr"/>
      <c r="B45" s="2" t="inlineStr"/>
    </row>
    <row r="46">
      <c r="A46" s="3">
        <f>= METODO DE PESQUISA ==</f>
        <v/>
      </c>
      <c r="B46" s="2" t="inlineStr"/>
    </row>
    <row r="47">
      <c r="A47" t="inlineStr">
        <is>
          <t>1 · familias de fonte</t>
        </is>
      </c>
      <c r="B47" s="2" t="inlineStr">
        <is>
          <t>secao 21: ministerios, regioes, servicos fitossanitarios, ARPA, consorcios, universidades, CNR, CREA, imprensa, mercado, eventos, concorrentes, social, criadores</t>
        </is>
      </c>
    </row>
    <row r="48">
      <c r="A48" t="inlineStr">
        <is>
          <t>2 · lingua</t>
        </is>
      </c>
      <c r="B48" s="2" t="inlineStr">
        <is>
          <t>pesquisa conduzida em italiano; nomes e temas em italiano</t>
        </is>
      </c>
    </row>
    <row r="49">
      <c r="A49" t="inlineStr">
        <is>
          <t>3 · cobertura geografica</t>
        </is>
      </c>
      <c r="B49" s="2" t="inlineStr">
        <is>
          <t>semeada region a region para as 20 regioes, nao so' o Norte</t>
        </is>
      </c>
    </row>
    <row r="50">
      <c r="A50" t="inlineStr">
        <is>
          <t>4 · social</t>
        </is>
      </c>
      <c r="B50" s="2" t="inlineStr">
        <is>
          <t>colhido dos links que o PROPRIO site oficial do dono declara — prova o dono e descobre a fonte ao mesmo tempo</t>
        </is>
      </c>
    </row>
    <row r="51">
      <c r="A51" t="inlineStr">
        <is>
          <t>5 · pesquisadores T6</t>
        </is>
      </c>
      <c r="B51" s="2" t="inlineStr">
        <is>
          <t>ORCID public API: busca por tema, depois /employments para exigir afiliacao com country=IT e SEM data de fim</t>
        </is>
      </c>
    </row>
    <row r="52">
      <c r="A52" t="inlineStr">
        <is>
          <t>6 · OpenAlex</t>
        </is>
      </c>
      <c r="B52" s="2" t="inlineStr">
        <is>
          <t>TENTADO e BLOQUEADO neste ambiente: HTTP 429 'Insufficient budget... Resets at midnight'. Nao usado.</t>
        </is>
      </c>
    </row>
    <row r="53">
      <c r="A53" t="inlineStr"/>
      <c r="B53" s="2" t="inlineStr"/>
    </row>
    <row r="54">
      <c r="A54" s="3">
        <f>= METODO DE VALIDACAO ==</f>
        <v/>
      </c>
      <c r="B54" s="2" t="inlineStr"/>
    </row>
    <row r="55">
      <c r="A55" t="inlineStr">
        <is>
          <t>sonda</t>
        </is>
      </c>
      <c r="B55" s="2" t="inlineStr">
        <is>
          <t>GET read-only, teto de bytes, payload NUNCA preservado; so' se extraem titulo, og:, meta, canonical e id de plataforma</t>
        </is>
      </c>
    </row>
    <row r="56">
      <c r="A56" t="inlineStr">
        <is>
          <t>DNS/TLS</t>
        </is>
      </c>
      <c r="B56" s="2" t="inlineStr">
        <is>
          <t>resolucao + handshake medidos por host</t>
        </is>
      </c>
    </row>
    <row r="57">
      <c r="A57" t="inlineStr">
        <is>
          <t>cadeia TLS incompleta</t>
        </is>
      </c>
      <c r="B57" s="2" t="inlineStr">
        <is>
          <t>completada com o intermediario publicado no AIA do proprio certificado (o que um navegador faz). A verificacao ficou LIGADA o tempo todo; nunca se usou verify=False</t>
        </is>
      </c>
    </row>
    <row r="58">
      <c r="A58" t="inlineStr">
        <is>
          <t>HTTP_200 != FONTE SAUDAVEL</t>
        </is>
      </c>
      <c r="B58" s="2" t="inlineStr">
        <is>
          <t>deteccao de soft-404 (inclusive titulo que abre com '404'), login wall, desafio anti-bot, dominio estacionado, dominio reaproveitado e pagina de placeholder</t>
        </is>
      </c>
    </row>
    <row r="59">
      <c r="A59" t="inlineStr">
        <is>
          <t>controle negativo do sondador</t>
        </is>
      </c>
      <c r="B59" s="2" t="inlineStr">
        <is>
          <t>testado contra 404 real, DNS inexistente, dominio de casino, pagina 'Test PHP riuscito' e soft-404 com HTTP 200 — todos apanhados</t>
        </is>
      </c>
    </row>
    <row r="60">
      <c r="A60" t="inlineStr">
        <is>
          <t>LIMITE MEDIDO — Facebook</t>
        </is>
      </c>
      <c r="B60" s="2" t="inlineStr">
        <is>
          <t>devolve HTTP 200 tambem para uma pagina que NAO existe (controle: /esta-pagina-sintonia-nao-existe-mesmo-2026). O status nao distingue nada.</t>
        </is>
      </c>
    </row>
    <row r="61">
      <c r="A61" t="inlineStr">
        <is>
          <t>LIMITE MEDIDO — Instagram</t>
        </is>
      </c>
      <c r="B61" s="2" t="inlineStr">
        <is>
          <t>devolve HTTP 429 para tudo a partir do datacenter, real ou inventado. mbasic/m/embed tambem nao distinguem.</t>
        </is>
      </c>
    </row>
    <row r="62">
      <c r="A62" t="inlineStr">
        <is>
          <t>consequencia</t>
        </is>
      </c>
      <c r="B62" s="2" t="inlineStr">
        <is>
          <t>FACEBOOK e INSTAGRAM so' entram quando o PROPRIO dono declara o perfil no seu site oficial (OWNER_MATCH=PROVED_BY_OWNER_SITE). Nunca por suposicao.</t>
        </is>
      </c>
    </row>
    <row r="63">
      <c r="A63" t="inlineStr">
        <is>
          <t>LinkedIn e YouTube</t>
        </is>
      </c>
      <c r="B63" s="2" t="inlineStr">
        <is>
          <t>DISTINGUEM: it.linkedin.com devolve 404 para empresa inexistente; o YouTube devolve 404 para handle inexistente e og:/canonical com o channel_id estavel</t>
        </is>
      </c>
    </row>
    <row r="64">
      <c r="A64" t="inlineStr">
        <is>
          <t>BLOCKED_EM_DATACENTER != BLOCKED_EM_BROWSER_ITALIANO</t>
        </is>
      </c>
      <c r="B64" s="2" t="inlineStr">
        <is>
          <t>preservado: bloqueio 403/429/anti-bot nao gera REJECT, gera UNKNOWN</t>
        </is>
      </c>
    </row>
    <row r="65">
      <c r="A65" t="inlineStr"/>
      <c r="B65" s="2" t="inlineStr"/>
    </row>
    <row r="66">
      <c r="A66" s="3">
        <f>= PROVAS DA MISSAO ==</f>
        <v/>
      </c>
      <c r="B66" s="2" t="inlineStr"/>
    </row>
    <row r="67">
      <c r="A67" t="inlineStr">
        <is>
          <t>red team</t>
        </is>
      </c>
      <c r="B67" s="2" t="inlineStr">
        <is>
          <t>20 ataques da secao 30; controle com entradas sabidamente mas confirma que as regras DISPARAM (12 categorias acenderam); base final: 0 linhas atingidas</t>
        </is>
      </c>
    </row>
    <row r="68">
      <c r="A68" t="inlineStr">
        <is>
          <t>segunda prova independente</t>
        </is>
      </c>
      <c r="B68" s="2" t="inlineStr">
        <is>
          <t>38 fontes (10.2% das PASS) revalidadas por segunda rota; 38/38 CONFIRMA; 0 divergencias reais</t>
        </is>
      </c>
    </row>
    <row r="69">
      <c r="A69" t="inlineStr">
        <is>
          <t>revisao manual</t>
        </is>
      </c>
      <c r="B69" s="2" t="inlineStr">
        <is>
          <t>45 fontes estratificadas por TIPO, T1-T12, Norte/Centro/Sul/Ilhas, pesquisadores, social, oficial, ciencia, imprensa</t>
        </is>
      </c>
    </row>
    <row r="70">
      <c r="A70" t="inlineStr">
        <is>
          <t>rejeicoes por revisao manual</t>
        </is>
      </c>
      <c r="B70" s="2" t="inlineStr">
        <is>
          <t>5 pesquisadores retirados: 2 de orgao da UE (EFSA), 1 de universidade dos EUA, 2 sem relevancia agricola provada</t>
        </is>
      </c>
    </row>
    <row r="71">
      <c r="A71" t="inlineStr"/>
      <c r="B71" s="2" t="inlineStr"/>
    </row>
    <row r="72">
      <c r="A72" s="3">
        <f>= LIMITES ==</f>
        <v/>
      </c>
      <c r="B72" s="2" t="inlineStr"/>
    </row>
    <row r="73">
      <c r="A73" t="inlineStr">
        <is>
          <t>nao foi coletado conteudo</t>
        </is>
      </c>
      <c r="B73" s="2" t="inlineStr">
        <is>
          <t>nenhum artigo, PDF, dataset, post, video, comentario ou feed foi baixado ou preservado</t>
        </is>
      </c>
    </row>
    <row r="74">
      <c r="A74" t="inlineStr">
        <is>
          <t>SOURCE_ID</t>
        </is>
      </c>
      <c r="B74" s="2">
        <f> NULL / UNASSIGNED em 100% das linhas. Nenhum identificador canonico foi fabricado.</f>
        <v/>
      </c>
    </row>
    <row r="75">
      <c r="A75" t="inlineStr">
        <is>
          <t>estas 200+ sao CANDIDATAS</t>
        </is>
      </c>
      <c r="B75" s="2" t="inlineStr">
        <is>
          <t>nao sao fontes promovidas ao Atlas (secao 12). A promocao exige abrir a fonte e guardar evidencia real.</t>
        </is>
      </c>
    </row>
    <row r="76">
      <c r="A76" t="inlineStr">
        <is>
          <t>T13</t>
        </is>
      </c>
      <c r="B76" s="2" t="inlineStr">
        <is>
          <t>divida historica preservada e nao tocada: existe no Atlas (FR-T13-001) e em ITALY-SOURCE-MASTER-V1.taxonomy_debt</t>
        </is>
      </c>
    </row>
    <row r="77">
      <c r="A77" t="inlineStr">
        <is>
          <t>INGESTAO</t>
        </is>
      </c>
      <c r="B77" s="2" t="inlineStr">
        <is>
          <t>NOT_RUN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2026-09-14T11:41:50Z</dcterms:created>
  <dcterms:modified xsi:type="dcterms:W3CDTF">2026-09-14T11:41:50Z</dcterms:modified>
</cp:coreProperties>
</file>