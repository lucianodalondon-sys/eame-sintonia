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ED_37" sheetId="1" state="visible" r:id="rId1"/>
    <sheet name="READY_TO_REGISTER" sheetId="2" state="visible" r:id="rId2"/>
    <sheet name="CRITICAL_GAPS" sheetId="3" state="visible" r:id="rId3"/>
    <sheet name="ACCESS_GAPS" sheetId="4" state="visible" r:id="rId4"/>
    <sheet name="NEW_DISCOVERY" sheetId="5" state="visible" r:id="rId5"/>
    <sheet name="CROP_GAPS" sheetId="6" state="visible" r:id="rId6"/>
    <sheet name="REGION_GAPS" sheetId="7" state="visible" r:id="rId7"/>
    <sheet name="PEOPLE" sheetId="8" state="visible" r:id="rId8"/>
    <sheet name="SOCIAL" sheetId="9" state="visible" r:id="rId9"/>
    <sheet name="SOURCE_TO_TOOL" sheetId="10" state="visible" r:id="rId10"/>
    <sheet name="SEARCH_LOG" sheetId="11" state="visible" r:id="rId11"/>
    <sheet name="REJECTED" sheetId="12" state="visible" r:id="rId12"/>
    <sheet name="READM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7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14" customWidth="1" min="9" max="9"/>
    <col width="10" customWidth="1" min="10" max="10"/>
    <col width="15" customWidth="1" min="11" max="11"/>
    <col width="25" customWidth="1" min="12" max="12"/>
    <col width="60" customWidth="1" min="13" max="13"/>
    <col width="22" customWidth="1" min="14" max="14"/>
    <col width="60" customWidth="1" min="15" max="15"/>
    <col width="60" customWidth="1" min="16" max="16"/>
    <col width="60" customWidth="1" min="17" max="17"/>
    <col width="20" customWidth="1" min="18" max="18"/>
    <col width="60" customWidth="1" min="19" max="19"/>
    <col width="44" customWidth="1" min="20" max="20"/>
    <col width="50" customWidth="1" min="21" max="21"/>
    <col width="14" customWidth="1" min="22" max="22"/>
    <col width="60" customWidth="1" min="23" max="23"/>
    <col width="60" customWidth="1" min="24" max="24"/>
    <col width="44" customWidth="1" min="25" max="25"/>
  </cols>
  <sheetData>
    <row r="1" ht="46" customHeight="1">
      <c r="A1" s="1" t="inlineStr">
        <is>
          <t>AS 37 ROTAS DA MISSAO ANTERIOR, ABERTAS DE VERDADE. A entrega anterior declarava «0 de 37 abertas»; esta abriu as 37 com sonda urllib e UA de navegador. ⚠️ A sonda foi PROVADA antes de julgar: 2 controles positivos que tinham de abrir e 2 negativos que nao podiam passar. Oito estados, nao dois — BROKEN pede fonte nova, BLOCKED pede outra rota, UNKNOWN e' duvida NOSSA.</t>
        </is>
      </c>
    </row>
    <row r="2">
      <c r="A2" s="2" t="inlineStr">
        <is>
          <t>SOURCE_NAME</t>
        </is>
      </c>
      <c r="B2" s="2" t="inlineStr">
        <is>
          <t>OWNER</t>
        </is>
      </c>
      <c r="C2" s="2" t="inlineStr">
        <is>
          <t>OWNER_CORRIGIDO</t>
        </is>
      </c>
      <c r="D2" s="2" t="inlineStr">
        <is>
          <t>OWNER_CORRECAO_PORQUE</t>
        </is>
      </c>
      <c r="E2" s="2" t="inlineStr">
        <is>
          <t>URL_DECLARED</t>
        </is>
      </c>
      <c r="F2" s="2" t="inlineStr">
        <is>
          <t>URL_FINAL</t>
        </is>
      </c>
      <c r="G2" s="2" t="inlineStr">
        <is>
          <t>URL_CANONICAL</t>
        </is>
      </c>
      <c r="H2" s="2" t="inlineStr">
        <is>
          <t>URL_CORRIGIDA_PORQUE</t>
        </is>
      </c>
      <c r="I2" s="2" t="inlineStr">
        <is>
          <t>REDIRECIONOU</t>
        </is>
      </c>
      <c r="J2" s="2" t="inlineStr">
        <is>
          <t>HTTP</t>
        </is>
      </c>
      <c r="K2" s="2" t="inlineStr">
        <is>
          <t>TAMANHO_TEXTO</t>
        </is>
      </c>
      <c r="L2" s="2" t="inlineStr">
        <is>
          <t>VALIDATION</t>
        </is>
      </c>
      <c r="M2" s="2" t="inlineStr">
        <is>
          <t>VALIDATION_PORQUE</t>
        </is>
      </c>
      <c r="N2" s="2" t="inlineStr">
        <is>
          <t>PRIMARY_OR_SECONDARY</t>
        </is>
      </c>
      <c r="O2" s="2" t="inlineStr">
        <is>
          <t>EXAMPLE_REAL</t>
        </is>
      </c>
      <c r="P2" s="2" t="inlineStr">
        <is>
          <t>LAST_ACTIVITY_OBSERVED</t>
        </is>
      </c>
      <c r="Q2" s="2" t="inlineStr">
        <is>
          <t>RECURRING_INFORMATION_POTENTIAL</t>
        </is>
      </c>
      <c r="R2" s="2" t="inlineStr">
        <is>
          <t>RECORRENCIA_ESTADO</t>
        </is>
      </c>
      <c r="S2" s="2" t="inlineStr">
        <is>
          <t>RECORRENCIA_ESTADO_PORQUE</t>
        </is>
      </c>
      <c r="T2" s="2" t="inlineStr">
        <is>
          <t>WHICH_TOOL_IT_SUPPORTS</t>
        </is>
      </c>
      <c r="U2" s="2" t="inlineStr">
        <is>
          <t>REGION_SCOPE</t>
        </is>
      </c>
      <c r="V2" s="2" t="inlineStr">
        <is>
          <t>TERRITORIES</t>
        </is>
      </c>
      <c r="W2" s="2" t="inlineStr">
        <is>
          <t>DEDUPE_NOTA</t>
        </is>
      </c>
      <c r="X2" s="2" t="inlineStr">
        <is>
          <t>LIMITE</t>
        </is>
      </c>
      <c r="Y2" s="2" t="inlineStr">
        <is>
          <t>VALIDATED_AT</t>
        </is>
      </c>
    </row>
    <row r="3">
      <c r="A3" s="3" t="inlineStr">
        <is>
          <t>Bollettino Nazionale di Fenologia</t>
        </is>
      </c>
      <c r="B3" s="3" t="inlineStr">
        <is>
          <t>Rete Rurale Nazionale (RRN) / MASAF</t>
        </is>
      </c>
      <c r="C3" s="3" t="inlineStr">
        <is>
          <t>NAO</t>
        </is>
      </c>
      <c r="D3" s="3" t="inlineStr"/>
      <c r="E3" s="3" t="inlineStr">
        <is>
          <t>https://www.reterurale.it/bollettinofeno</t>
        </is>
      </c>
      <c r="F3" s="3" t="inlineStr">
        <is>
          <t>https://www.reterurale.it/bollettinofeno</t>
        </is>
      </c>
      <c r="G3" s="3" t="inlineStr">
        <is>
          <t>https://www.reterurale.it/bollettinofeno</t>
        </is>
      </c>
      <c r="H3" s="3" t="inlineStr"/>
      <c r="I3" s="3" t="inlineStr">
        <is>
          <t>NAO</t>
        </is>
      </c>
      <c r="J3" s="3" t="n">
        <v>200</v>
      </c>
      <c r="K3" s="3" t="n">
        <v>10875</v>
      </c>
      <c r="L3" s="3" t="inlineStr">
        <is>
          <t>VALIDATED_STRONG</t>
        </is>
      </c>
      <c r="M3" s="3" t="inlineStr">
        <is>
          <t>abre, fala do assunto, exemplo datado, recorrencia HIGH. lido na rota em https://www.reterurale.it/bollettinofeno: datas 10 settembre 2026 · 10 settembre 2026 · 10 settembre 2026 · 10 settembre 2026 · assunto agrometeo · bbch · bollettin · clima · coltur · fenolog · monitoraggio · produzione</t>
        </is>
      </c>
      <c r="N3" s="3" t="inlineStr">
        <is>
          <t>PRIMARY</t>
        </is>
      </c>
      <c r="O3" s="3" t="inlineStr">
        <is>
          <t>lido na rota em https://www.reterurale.it/bollettinofeno: datas 10 settembre 2026 · 10 settembre 2026 · 10 settembre 2026 · 10 settembre 2026 · assunto agrometeo · bbch · bollettin · clima · coltur · fenolog · monitoraggio · produzione</t>
        </is>
      </c>
      <c r="P3" s="3" t="inlineStr">
        <is>
          <t>10 settembre 2026 · 10 settembre 2026 · 10 settembre 2026 · 10 settembre 2026</t>
        </is>
      </c>
      <c r="Q3" s="3" t="inlineStr">
        <is>
          <t>HIGH — periodicidade declarada</t>
        </is>
      </c>
      <c r="R3" s="3" t="inlineStr">
        <is>
          <t>OBSERVADA</t>
        </is>
      </c>
      <c r="S3" s="3" t="inlineStr">
        <is>
          <t>data lida na rota ou exemplo real datado</t>
        </is>
      </c>
      <c r="T3" s="3" t="inlineStr">
        <is>
          <t>RADAR · WINDOWS</t>
        </is>
      </c>
      <c r="U3" s="3" t="inlineStr">
        <is>
          <t>NACIONAL, com detalhe regional</t>
        </is>
      </c>
      <c r="V3" s="3" t="inlineStr">
        <is>
          <t>T1 T2</t>
        </is>
      </c>
      <c r="W3" s="3" t="inlineStr"/>
      <c r="X3" s="3" t="inlineStr">
        <is>
          <t>parte do dado vem de MODELO. Fase modelada nao e' fase observada, e o contrato pede observada. Tem de vir com a marca de origem.</t>
        </is>
      </c>
      <c r="Y3" s="3" t="inlineStr">
        <is>
          <t>2026-09-14 (sonda urllib, UA de navegador)</t>
        </is>
      </c>
    </row>
    <row r="4">
      <c r="A4" s="3" t="inlineStr">
        <is>
          <t>Bollettini viticoli del Servizio Fitosanitario del Veneto</t>
        </is>
      </c>
      <c r="B4" s="3" t="inlineStr">
        <is>
          <t>Regione del Veneto — U.O. Fitosanitario</t>
        </is>
      </c>
      <c r="C4" s="3" t="inlineStr">
        <is>
          <t>NAO</t>
        </is>
      </c>
      <c r="D4" s="3" t="inlineStr"/>
      <c r="E4" s="3" t="inlineStr">
        <is>
          <t>https://www.regione.veneto.it/web/fitosanitario/bollettini-viticoli</t>
        </is>
      </c>
      <c r="F4" s="3" t="inlineStr">
        <is>
          <t>https://www.regione.veneto.it/web/fitosanitario/bollettini-viticoli</t>
        </is>
      </c>
      <c r="G4" s="3" t="inlineStr">
        <is>
          <t>https://www.regione.veneto.it/web/fitosanitario/bollettini-viticoli</t>
        </is>
      </c>
      <c r="H4" s="3" t="inlineStr"/>
      <c r="I4" s="3" t="inlineStr">
        <is>
          <t>NAO</t>
        </is>
      </c>
      <c r="J4" s="3" t="n">
        <v>200</v>
      </c>
      <c r="K4" s="3" t="n">
        <v>156578</v>
      </c>
      <c r="L4" s="3" t="inlineStr">
        <is>
          <t>VALIDATED_STRONG</t>
        </is>
      </c>
      <c r="M4" s="3" t="inlineStr">
        <is>
          <t>abre, fala do assunto, exemplo datado, recorrencia HIGH. lido na rota em https://www.regione.veneto.it/web/fitosanitario/bollettini-viticoli: datas 30.08.2024 · 21.04.2024 · 07.08.2024 · 31.07.2024 · assunto bbch · bollettin · clima · coltur · difesa integrata · etichetta · fenolog · fitosanitar</t>
        </is>
      </c>
      <c r="N4" s="3" t="inlineStr">
        <is>
          <t>PRIMARY</t>
        </is>
      </c>
      <c r="O4" s="3" t="inlineStr">
        <is>
          <t>lido na rota em https://www.regione.veneto.it/web/fitosanitario/bollettini-viticoli: datas 30.08.2024 · 21.04.2024 · 07.08.2024 · 31.07.2024 · assunto bbch · bollettin · clima · coltur · difesa integrata · etichetta · fenolog · fitosanitar</t>
        </is>
      </c>
      <c r="P4" s="3" t="inlineStr">
        <is>
          <t>30.08.2024 · 21.04.2024 · 07.08.2024 · 31.07.2024</t>
        </is>
      </c>
      <c r="Q4" s="3" t="inlineStr">
        <is>
          <t>HIGH — semanal na campanha</t>
        </is>
      </c>
      <c r="R4" s="3" t="inlineStr">
        <is>
          <t>OBSERVADA</t>
        </is>
      </c>
      <c r="S4" s="3" t="inlineStr">
        <is>
          <t>data lida na rota ou exemplo real datado</t>
        </is>
      </c>
      <c r="T4" s="3" t="inlineStr">
        <is>
          <t>RADAR · WINDOWS</t>
        </is>
      </c>
      <c r="U4" s="3" t="inlineStr">
        <is>
          <t>Veneto</t>
        </is>
      </c>
      <c r="V4" s="3" t="inlineStr">
        <is>
          <t>T1 T3</t>
        </is>
      </c>
      <c r="W4" s="3" t="inlineStr"/>
      <c r="X4" s="3" t="inlineStr">
        <is>
          <t>a serie e' sazonal: fora da campanha nao publica.</t>
        </is>
      </c>
      <c r="Y4" s="3" t="inlineStr">
        <is>
          <t>2026-09-14 (sonda urllib, UA de navegador)</t>
        </is>
      </c>
    </row>
    <row r="5">
      <c r="A5" s="3" t="inlineStr">
        <is>
          <t>Bollettino agrometeorologico e fitosanitario ARSAC</t>
        </is>
      </c>
      <c r="B5" s="3" t="inlineStr">
        <is>
          <t>ARSAC — Azienda Regionale per lo Sviluppo dell'Agricoltura Calabrese</t>
        </is>
      </c>
      <c r="C5" s="3" t="inlineStr">
        <is>
          <t>SIM</t>
        </is>
      </c>
      <c r="D5" s="3" t="inlineStr">
        <is>
          <t>dono confirmado pela missao paralela (conta oficial facebook.com/ArsacRegioneCalabria). ⚠️ E ela tambem mediu que a Regione Calabria redireciona para um dominio «old.» — o que reforca que `arsacweb.it` e `arsac.calabria.it` precisam de decisao de canonico, nao de duas linhas.</t>
        </is>
      </c>
      <c r="E5" s="3" t="inlineStr">
        <is>
          <t>https://www.arsacweb.it/bollettino-agrometeorologico-e-fitosanitario-agrumi-olivo-e-vite/</t>
        </is>
      </c>
      <c r="F5" s="3" t="inlineStr">
        <is>
          <t>https://www.arsacweb.it/bollettino-agrometeorologico-e-fitosanitario-agrumi-olivo-e-vite/</t>
        </is>
      </c>
      <c r="G5" s="3" t="inlineStr">
        <is>
          <t>https://www.arsacweb.it/bollettino-agrometeorologico-e-fitosanitario-agrumi-olivo-e-vite/</t>
        </is>
      </c>
      <c r="H5" s="3" t="inlineStr"/>
      <c r="I5" s="3" t="inlineStr">
        <is>
          <t>NAO</t>
        </is>
      </c>
      <c r="J5" s="3" t="n">
        <v>200</v>
      </c>
      <c r="K5" s="3" t="n">
        <v>15473</v>
      </c>
      <c r="L5" s="3" t="inlineStr">
        <is>
          <t>VALIDATED_STRONG</t>
        </is>
      </c>
      <c r="M5" s="3" t="inlineStr">
        <is>
          <t>abre, fala do assunto, exemplo datado, recorrencia HIGH. lido na rota em https://www.arsacweb.it/bollettino-agrometeorologico-e-fitosanitario-a: datas 29 novembre 2022 · 22 novembre 2022 · 15 novembre 2022 · 01 novembre 2022 · assunto agrometeo · bollettin · clima · coltur · fenolog · fitosanitar · malatti · raccolt</t>
        </is>
      </c>
      <c r="N5" s="3" t="inlineStr">
        <is>
          <t>PRIMARY</t>
        </is>
      </c>
      <c r="O5" s="3" t="inlineStr">
        <is>
          <t>lido na rota em https://www.arsacweb.it/bollettino-agrometeorologico-e-fitosanitario-a: datas 29 novembre 2022 · 22 novembre 2022 · 15 novembre 2022 · 01 novembre 2022 · assunto agrometeo · bollettin · clima · coltur · fenolog · fitosanitar · malatti · raccolt</t>
        </is>
      </c>
      <c r="P5" s="3" t="inlineStr">
        <is>
          <t>29 novembre 2022 · 22 novembre 2022 · 15 novembre 2022 · 01 novembre 2022</t>
        </is>
      </c>
      <c r="Q5" s="3" t="inlineStr">
        <is>
          <t>HIGH — semanal, com intervalo de validade explicito</t>
        </is>
      </c>
      <c r="R5" s="3" t="inlineStr">
        <is>
          <t>OBSERVADA</t>
        </is>
      </c>
      <c r="S5" s="3" t="inlineStr">
        <is>
          <t>data lida na rota ou exemplo real datado</t>
        </is>
      </c>
      <c r="T5" s="3" t="inlineStr">
        <is>
          <t>VOICES · WINDOWS</t>
        </is>
      </c>
      <c r="U5" s="3" t="inlineStr">
        <is>
          <t>Calabria, subdividida em 8 zonas</t>
        </is>
      </c>
      <c r="V5" s="3" t="inlineStr">
        <is>
          <t>T1 T2 T3</t>
        </is>
      </c>
      <c r="W5" s="3" t="inlineStr"/>
      <c r="X5" s="3" t="inlineStr">
        <is>
          <t>⚠️ DUAS ROTAS PARA O MESMO DONO: `arsacweb.it` e `arsac.calabria.it` publicam a mesma serie. E' SAME_SOURCE_VARIANT_URL, nao duas fontes.</t>
        </is>
      </c>
      <c r="Y5" s="3" t="inlineStr">
        <is>
          <t>2026-09-14 (sonda urllib, UA de navegador)</t>
        </is>
      </c>
    </row>
    <row r="6">
      <c r="A6" s="3" t="inlineStr">
        <is>
          <t>Bollettini di viticoltura e di olivicoltura del CAAR</t>
        </is>
      </c>
      <c r="B6" s="3" t="inlineStr">
        <is>
          <t>Regione Liguria — CAAR / Servizi Imprese Agricole</t>
        </is>
      </c>
      <c r="C6" s="3" t="inlineStr">
        <is>
          <t>NAO</t>
        </is>
      </c>
      <c r="D6" s="3" t="inlineStr"/>
      <c r="E6" s="3" t="inlineStr">
        <is>
          <t>https://www.agriligurianet.it/it/impresa/assistenza-tecnica-e-centri-serivizio/agrometeo-caar/bollettino-di-olivicoltura.html</t>
        </is>
      </c>
      <c r="F6" s="3" t="inlineStr">
        <is>
          <t>https://www.agriligurianet.it/it/impresa/assistenza-tecnica-e-centri-serivizio/agrometeo-caar/bollettino-di-olivicoltura.html</t>
        </is>
      </c>
      <c r="G6" s="3" t="inlineStr">
        <is>
          <t>https://www.agriligurianet.it/it/impresa/assistenza-tecnica-e-centri-serivizio/agrometeo-caar/bollettino-di-olivicoltura.html</t>
        </is>
      </c>
      <c r="H6" s="3" t="inlineStr"/>
      <c r="I6" s="3" t="inlineStr">
        <is>
          <t>NAO</t>
        </is>
      </c>
      <c r="J6" s="3" t="n">
        <v>200</v>
      </c>
      <c r="K6" s="3" t="n">
        <v>8384</v>
      </c>
      <c r="L6" s="3" t="inlineStr">
        <is>
          <t>VALIDATED_BUT_SECONDARY</t>
        </is>
      </c>
      <c r="M6" s="3" t="inlineStr">
        <is>
          <t>abre e fala do assunto, mas SEM exemplo real datado na rota medida. a rota abre e fala do assunto (17 palavras), mas NAO achei data legivel na pagina de entrada. O exemplo datado costuma estar um clique adentro, e um clique adentro nao foi medido.</t>
        </is>
      </c>
      <c r="N6" s="3" t="inlineStr">
        <is>
          <t>SECONDARY</t>
        </is>
      </c>
      <c r="O6" s="3" t="inlineStr"/>
      <c r="P6" s="3" t="inlineStr">
        <is>
          <t>NAO SEI</t>
        </is>
      </c>
      <c r="Q6" s="3" t="inlineStr">
        <is>
          <t>HIGH — semanal de abril a setembro, mensal de outubro a marco</t>
        </is>
      </c>
      <c r="R6" s="3" t="inlineStr">
        <is>
          <t>DECLARADA</t>
        </is>
      </c>
      <c r="S6" s="3" t="inlineStr">
        <is>
          <t>a cadencia esta escrita, mas NENHUMA edicao foi contada no arquivo. Promessa da casa, nao medicao nossa.</t>
        </is>
      </c>
      <c r="T6" s="3" t="inlineStr">
        <is>
          <t>VOICES · WINDOWS</t>
        </is>
      </c>
      <c r="U6" s="3" t="inlineStr">
        <is>
          <t>Liguria, por provincia (GE/IM/SP/SV)</t>
        </is>
      </c>
      <c r="V6" s="3" t="inlineStr">
        <is>
          <t>T1 T2 T3</t>
        </is>
      </c>
      <c r="W6" s="3" t="inlineStr"/>
      <c r="X6" s="3" t="inlineStr">
        <is>
          <t>o dono publica em dois sitios (`agriligurianet.it` e `sia.regione.liguria.it`). Mesmo dono, rotas diferentes.</t>
        </is>
      </c>
      <c r="Y6" s="3" t="inlineStr">
        <is>
          <t>2026-09-14 (sonda urllib, UA de navegador)</t>
        </is>
      </c>
    </row>
    <row r="7">
      <c r="A7" s="3" t="inlineStr">
        <is>
          <t>Bollettino Vite Integrato provinciale</t>
        </is>
      </c>
      <c r="B7" s="3" t="inlineStr">
        <is>
          <t>Consorzio LaMMA (Toscana)</t>
        </is>
      </c>
      <c r="C7" s="3" t="inlineStr">
        <is>
          <t>NAO</t>
        </is>
      </c>
      <c r="D7" s="3" t="inlineStr"/>
      <c r="E7" s="3" t="inlineStr">
        <is>
          <t>https://www.lamma.toscana.it/previ/ita/agrometeo/</t>
        </is>
      </c>
      <c r="F7" s="3" t="inlineStr">
        <is>
          <t>https://www.lamma.toscana.it/previ/ita/agrometeo/</t>
        </is>
      </c>
      <c r="G7" s="3" t="inlineStr">
        <is>
          <t>https://www.lamma.toscana.it/previ/ita/agrometeo/</t>
        </is>
      </c>
      <c r="H7" s="3" t="inlineStr"/>
      <c r="I7" s="3" t="inlineStr">
        <is>
          <t>NAO</t>
        </is>
      </c>
      <c r="J7" s="3" t="n">
        <v>403</v>
      </c>
      <c r="K7" s="3" t="n">
        <v>136</v>
      </c>
      <c r="L7" s="3" t="inlineStr">
        <is>
          <t>BLOCKED</t>
        </is>
      </c>
      <c r="M7" s="3" t="inlineStr">
        <is>
          <t>HTTP 403. ⚠️ BLOCKED NAO E' BROKEN: o servidor responde e recusa-me a entrada. A fonte pode estar viva e publicar — pede outra rota, nao outra fonte.</t>
        </is>
      </c>
      <c r="N7" s="3" t="inlineStr">
        <is>
          <t>PRIMARY</t>
        </is>
      </c>
      <c r="O7" s="3" t="inlineStr"/>
      <c r="P7" s="3" t="inlineStr">
        <is>
          <t>NAO SEI</t>
        </is>
      </c>
      <c r="Q7" s="3" t="inlineStr">
        <is>
          <t>HIGH — serie provincial datada na campanha</t>
        </is>
      </c>
      <c r="R7" s="3" t="inlineStr">
        <is>
          <t>DECLARADA</t>
        </is>
      </c>
      <c r="S7" s="3" t="inlineStr">
        <is>
          <t>a cadencia esta escrita, mas NENHUMA edicao foi contada no arquivo. Promessa da casa, nao medicao nossa.</t>
        </is>
      </c>
      <c r="T7" s="3" t="inlineStr">
        <is>
          <t>WINDOWS</t>
        </is>
      </c>
      <c r="U7" s="3" t="inlineStr">
        <is>
          <t>Toscana, por provincia</t>
        </is>
      </c>
      <c r="V7" s="3" t="inlineStr">
        <is>
          <t>T1 T2</t>
        </is>
      </c>
      <c r="W7" s="3" t="inlineStr"/>
      <c r="X7" s="3" t="inlineStr">
        <is>
          <t>mede em centimetros de broto, nao em codigo BBCH: precisa de conversao, e conversao e' interpretacao.</t>
        </is>
      </c>
      <c r="Y7" s="3" t="inlineStr">
        <is>
          <t>2026-09-14 (sonda urllib, UA de navegador)</t>
        </is>
      </c>
    </row>
    <row r="8">
      <c r="A8" s="3" t="inlineStr">
        <is>
          <t>Notiziario agrometeorologico e fitosanitario delle Marche</t>
        </is>
      </c>
      <c r="B8" s="3" t="inlineStr">
        <is>
          <t>Regione Marche — AMAP (Agenzia per l'Innovazione nel settore Agroalimentare e della Pesca), que absorveu a ASSAM</t>
        </is>
      </c>
      <c r="C8" s="3" t="inlineStr">
        <is>
          <t>SIM</t>
        </is>
      </c>
      <c r="D8" s="3" t="inlineStr">
        <is>
          <t>eu escrevi «ASSAM». A missao paralela mediu que a ASSAM redireciona para a AMAP Marche, inclusive na conta social oficial (instagram.com/amapmarche). Dono errado e' o ataque 11 do red team, e apanhou-me.</t>
        </is>
      </c>
      <c r="E8" s="3" t="inlineStr">
        <is>
          <t>https://meteo.regione.marche.it/</t>
        </is>
      </c>
      <c r="F8" s="3" t="inlineStr">
        <is>
          <t>https://meteo.regione.marche.it/</t>
        </is>
      </c>
      <c r="G8" s="3" t="inlineStr">
        <is>
          <t>https://meteo.regione.marche.it/</t>
        </is>
      </c>
      <c r="H8" s="3" t="inlineStr"/>
      <c r="I8" s="3" t="inlineStr">
        <is>
          <t>NAO</t>
        </is>
      </c>
      <c r="J8" s="3" t="n">
        <v>200</v>
      </c>
      <c r="K8" s="3" t="n">
        <v>4006</v>
      </c>
      <c r="L8" s="3" t="inlineStr">
        <is>
          <t>VALIDATED_STRONG</t>
        </is>
      </c>
      <c r="M8" s="3" t="inlineStr">
        <is>
          <t>abre, fala do assunto, exemplo datado, recorrencia HIGH. lido na rota em https://meteo.regione.marche.it/: datas 13/09/2026 · assunto agrometeo · bollettin · clima · coltur · difesa integrata · fenolog · produzione · produzi</t>
        </is>
      </c>
      <c r="N8" s="3" t="inlineStr">
        <is>
          <t>PRIMARY</t>
        </is>
      </c>
      <c r="O8" s="3" t="inlineStr">
        <is>
          <t>lido na rota em https://meteo.regione.marche.it/: datas 13/09/2026 · assunto agrometeo · bollettin · clima · coltur · difesa integrata · fenolog · produzione · produzi</t>
        </is>
      </c>
      <c r="P8" s="3" t="inlineStr">
        <is>
          <t>13/09/2026</t>
        </is>
      </c>
      <c r="Q8" s="3" t="inlineStr">
        <is>
          <t>HIGH — notiziario periodico</t>
        </is>
      </c>
      <c r="R8" s="3" t="inlineStr">
        <is>
          <t>OBSERVADA</t>
        </is>
      </c>
      <c r="S8" s="3" t="inlineStr">
        <is>
          <t>data lida na rota ou exemplo real datado</t>
        </is>
      </c>
      <c r="T8" s="3" t="inlineStr">
        <is>
          <t>WINDOWS</t>
        </is>
      </c>
      <c r="U8" s="3" t="inlineStr">
        <is>
          <t>Marche</t>
        </is>
      </c>
      <c r="V8" s="3" t="inlineStr">
        <is>
          <t>T1 T2</t>
        </is>
      </c>
      <c r="W8" s="3" t="inlineStr"/>
      <c r="X8" s="3" t="inlineStr">
        <is>
          <t>o ASSAM tem historico de rota atras de login (`assam-agrometeo.invionews.net` foi controle negativo da missao anterior). Confirmar qual das rotas e' publica.</t>
        </is>
      </c>
      <c r="Y8" s="3" t="inlineStr">
        <is>
          <t>2026-09-14 (sonda urllib, UA de navegador)</t>
        </is>
      </c>
    </row>
    <row r="9">
      <c r="A9" s="3" t="inlineStr">
        <is>
          <t>Bollettini fenologici di uno studio agronomico privato (Agralia)</t>
        </is>
      </c>
      <c r="B9" s="3" t="inlineStr">
        <is>
          <t>Agralia Studio Agronomico — Brescia</t>
        </is>
      </c>
      <c r="C9" s="3" t="inlineStr">
        <is>
          <t>NAO</t>
        </is>
      </c>
      <c r="D9" s="3" t="inlineStr"/>
      <c r="E9" s="3" t="inlineStr">
        <is>
          <t>https://www.agralia.it/</t>
        </is>
      </c>
      <c r="F9" s="3" t="inlineStr">
        <is>
          <t>https://www.agralia.it/</t>
        </is>
      </c>
      <c r="G9" s="3" t="inlineStr">
        <is>
          <t>https://www.agralia.it/</t>
        </is>
      </c>
      <c r="H9" s="3" t="inlineStr"/>
      <c r="I9" s="3" t="inlineStr">
        <is>
          <t>NAO</t>
        </is>
      </c>
      <c r="J9" s="3" t="n">
        <v>200</v>
      </c>
      <c r="K9" s="3" t="n">
        <v>10584</v>
      </c>
      <c r="L9" s="3" t="inlineStr">
        <is>
          <t>VALIDATED_USEFUL</t>
        </is>
      </c>
      <c r="M9" s="3" t="inlineStr">
        <is>
          <t>abre, fala do assunto, exemplo datado. lido na rota em https://www.agralia.it/: datas 13/03/2026 · assunto agrometeo · autorizzaz · avversit · bollettin · clima · coltur · difesa integrata · fitosa</t>
        </is>
      </c>
      <c r="N9" s="3" t="inlineStr">
        <is>
          <t>PRIMARY</t>
        </is>
      </c>
      <c r="O9" s="3" t="inlineStr">
        <is>
          <t>lido na rota em https://www.agralia.it/: datas 13/03/2026 · assunto agrometeo · autorizzaz · avversit · bollettin · clima · coltur · difesa integrata · fitosa</t>
        </is>
      </c>
      <c r="P9" s="3" t="inlineStr">
        <is>
          <t>13/03/2026</t>
        </is>
      </c>
      <c r="Q9" s="3" t="inlineStr">
        <is>
          <t>MEDIUM — periodico, mas periodicidade nao declarada</t>
        </is>
      </c>
      <c r="R9" s="3" t="inlineStr">
        <is>
          <t>OBSERVADA</t>
        </is>
      </c>
      <c r="S9" s="3" t="inlineStr">
        <is>
          <t>data lida na rota ou exemplo real datado</t>
        </is>
      </c>
      <c r="T9" s="3" t="inlineStr">
        <is>
          <t>VOICES · WINDOWS</t>
        </is>
      </c>
      <c r="U9" s="3" t="inlineStr">
        <is>
          <t>Brescia / Lombardia</t>
        </is>
      </c>
      <c r="V9" s="3" t="inlineStr">
        <is>
          <t>T1 T3 T8</t>
        </is>
      </c>
      <c r="W9" s="3" t="inlineStr"/>
      <c r="X9" s="3" t="inlineStr">
        <is>
          <t>⚠️ boletim de CONSULTORIA: provavelmente reservado a clientes. Fonte de conhecimento, talvez nao de coleta.</t>
        </is>
      </c>
      <c r="Y9" s="3" t="inlineStr">
        <is>
          <t>2026-09-14 (sonda urllib, UA de navegador)</t>
        </is>
      </c>
    </row>
    <row r="10">
      <c r="A10" s="3" t="inlineStr">
        <is>
          <t>Notiziario agrofenologico e di difesa (olivo, vite)</t>
        </is>
      </c>
      <c r="B10" s="3" t="inlineStr">
        <is>
          <t>Consorzi Fitosanitari Provinciali di Modena e Reggio Emilia</t>
        </is>
      </c>
      <c r="C10" s="3" t="inlineStr">
        <is>
          <t>NAO</t>
        </is>
      </c>
      <c r="D10" s="3" t="inlineStr"/>
      <c r="E10" s="3" t="inlineStr">
        <is>
          <t>https://www.fitosanitario.mo.it/fito3/notiziario-agrofenologico-e-di-difesa-della-coltura-dell-oli</t>
        </is>
      </c>
      <c r="F10" s="3" t="inlineStr">
        <is>
          <t>https://www.fitosanitario.mo.it/notiziario-agrofenologico-e-di-difesa-della-coltura-dell-oli/</t>
        </is>
      </c>
      <c r="G10" s="3" t="inlineStr">
        <is>
          <t>https://www.fitosanitario.mo.it/notiziario-agrofenologico-e-di-difesa-della-coltura-dell-oli/</t>
        </is>
      </c>
      <c r="H10" s="3" t="inlineStr"/>
      <c r="I10" s="3" t="inlineStr">
        <is>
          <t>SIM</t>
        </is>
      </c>
      <c r="J10" s="3" t="n">
        <v>200</v>
      </c>
      <c r="K10" s="3" t="n">
        <v>3145</v>
      </c>
      <c r="L10" s="3" t="inlineStr">
        <is>
          <t>VALIDATED_BUT_SECONDARY</t>
        </is>
      </c>
      <c r="M10" s="3" t="inlineStr">
        <is>
          <t>abre e fala do assunto, mas SEM exemplo real datado na rota medida. a rota abre e fala do assunto (6 palavras), mas NAO achei data legivel na pagina de entrada. O exemplo datado costuma estar um clique adentro, e um clique adentro nao foi medido.</t>
        </is>
      </c>
      <c r="N10" s="3" t="inlineStr">
        <is>
          <t>SECONDARY</t>
        </is>
      </c>
      <c r="O10" s="3" t="inlineStr"/>
      <c r="P10" s="3" t="inlineStr">
        <is>
          <t>NAO SEI</t>
        </is>
      </c>
      <c r="Q10" s="3" t="inlineStr">
        <is>
          <t>HIGH — serie de campanha</t>
        </is>
      </c>
      <c r="R10" s="3" t="inlineStr">
        <is>
          <t>DECLARADA</t>
        </is>
      </c>
      <c r="S10" s="3" t="inlineStr">
        <is>
          <t>a cadencia esta escrita, mas NENHUMA edicao foi contada no arquivo. Promessa da casa, nao medicao nossa.</t>
        </is>
      </c>
      <c r="T10" s="3" t="inlineStr">
        <is>
          <t>WINDOWS</t>
        </is>
      </c>
      <c r="U10" s="3" t="inlineStr">
        <is>
          <t>provincias de Modena e Reggio Emilia</t>
        </is>
      </c>
      <c r="V10" s="3" t="inlineStr">
        <is>
          <t>T1 T3</t>
        </is>
      </c>
      <c r="W10" s="3" t="inlineStr"/>
      <c r="X10" s="3" t="inlineStr">
        <is>
          <t>sao DOIS donos distintos (dois consorzi), nao um.</t>
        </is>
      </c>
      <c r="Y10" s="3" t="inlineStr">
        <is>
          <t>2026-09-14 (sonda urllib, UA de navegador)</t>
        </is>
      </c>
    </row>
    <row r="11">
      <c r="A11" s="3" t="inlineStr">
        <is>
          <t>Bollettini agronomici per vite dell'Ufficio Agronomico</t>
        </is>
      </c>
      <c r="B11" s="3" t="inlineStr">
        <is>
          <t>Terre dell'Etruria — cooperativa agricola (Toscana)</t>
        </is>
      </c>
      <c r="C11" s="3" t="inlineStr">
        <is>
          <t>NAO</t>
        </is>
      </c>
      <c r="D11" s="3" t="inlineStr"/>
      <c r="E11" s="3" t="inlineStr">
        <is>
          <t>https://www.terretruria.it/agronomi/vite/16-bollettini-agronomici-per-vite/</t>
        </is>
      </c>
      <c r="F11" s="3" t="inlineStr">
        <is>
          <t>https://www.terretruria.it/agronomi/vite/16-bollettini-agronomici-per-vite/</t>
        </is>
      </c>
      <c r="G11" s="3" t="inlineStr">
        <is>
          <t>https://www.terretruria.it/agronomi/vite/16-bollettini-agronomici-per-vite/</t>
        </is>
      </c>
      <c r="H11" s="3" t="inlineStr"/>
      <c r="I11" s="3" t="inlineStr">
        <is>
          <t>NAO</t>
        </is>
      </c>
      <c r="J11" s="3" t="n">
        <v>200</v>
      </c>
      <c r="K11" s="3" t="n">
        <v>19567</v>
      </c>
      <c r="L11" s="3" t="inlineStr">
        <is>
          <t>VALIDATED_USEFUL</t>
        </is>
      </c>
      <c r="M11" s="3" t="inlineStr">
        <is>
          <t>abre, fala do assunto, exemplo datado. lido na rota em https://www.terretruria.it/agronomi/vite/16-bollettini-agronomici-per-: datas 12/08/2023 · 13 giugno 2023 · 30 maggio 2023 · 03/07/2023 · assunto bollettin · clima · coltiv · coltur · fitosanitar · malatti · monitoraggio · pest</t>
        </is>
      </c>
      <c r="N11" s="3" t="inlineStr">
        <is>
          <t>PRIMARY</t>
        </is>
      </c>
      <c r="O11" s="3" t="inlineStr">
        <is>
          <t>lido na rota em https://www.terretruria.it/agronomi/vite/16-bollettini-agronomici-per-: datas 12/08/2023 · 13 giugno 2023 · 30 maggio 2023 · 03/07/2023 · assunto bollettin · clima · coltiv · coltur · fitosanitar · malatti · monitoraggio · pest</t>
        </is>
      </c>
      <c r="P11" s="3" t="inlineStr">
        <is>
          <t>12/08/2023 · 13 giugno 2023 · 30 maggio 2023 · 03/07/2023</t>
        </is>
      </c>
      <c r="Q11" s="3" t="inlineStr">
        <is>
          <t>MEDIUM — declarado como serie, sem periodicidade escrita</t>
        </is>
      </c>
      <c r="R11" s="3" t="inlineStr">
        <is>
          <t>OBSERVADA</t>
        </is>
      </c>
      <c r="S11" s="3" t="inlineStr">
        <is>
          <t>data lida na rota ou exemplo real datado</t>
        </is>
      </c>
      <c r="T11" s="3" t="inlineStr">
        <is>
          <t>VOICES · WINDOWS</t>
        </is>
      </c>
      <c r="U11" s="3" t="inlineStr">
        <is>
          <t>Toscana costeira (Livorno/Grosseto)</t>
        </is>
      </c>
      <c r="V11" s="3" t="inlineStr">
        <is>
          <t>T1 T3 T8</t>
        </is>
      </c>
      <c r="W11" s="3" t="inlineStr"/>
      <c r="X11" s="3" t="inlineStr">
        <is>
          <t>cooperativa fala para socios; alcance fora do circulo e' NAO SEI.</t>
        </is>
      </c>
      <c r="Y11" s="3" t="inlineStr">
        <is>
          <t>2026-09-14 (sonda urllib, UA de navegador)</t>
        </is>
      </c>
    </row>
    <row r="12">
      <c r="A12" s="3" t="inlineStr">
        <is>
          <t>Calendario fenologico e Forum Fitoiatrico del Condifesa TVB</t>
        </is>
      </c>
      <c r="B12" s="3" t="inlineStr">
        <is>
          <t>Condifesa Treviso e Belluno</t>
        </is>
      </c>
      <c r="C12" s="3" t="inlineStr">
        <is>
          <t>NAO</t>
        </is>
      </c>
      <c r="D12" s="3" t="inlineStr"/>
      <c r="E12" s="3" t="inlineStr">
        <is>
          <t>https://www.condifesatvb.it/forum-fitoiatrico/</t>
        </is>
      </c>
      <c r="F12" s="3" t="inlineStr">
        <is>
          <t>https://www.condifesatvb.it/forum-fitoiatrico/</t>
        </is>
      </c>
      <c r="G12" s="3" t="inlineStr">
        <is>
          <t>https://www.condifesatvb.it/forum-fitoiatrico/</t>
        </is>
      </c>
      <c r="H12" s="3" t="inlineStr"/>
      <c r="I12" s="3" t="inlineStr">
        <is>
          <t>NAO</t>
        </is>
      </c>
      <c r="J12" s="3" t="n">
        <v>200</v>
      </c>
      <c r="K12" s="3" t="n">
        <v>7868</v>
      </c>
      <c r="L12" s="3" t="inlineStr">
        <is>
          <t>VALIDATED_BUT_SECONDARY</t>
        </is>
      </c>
      <c r="M12" s="3" t="inlineStr">
        <is>
          <t>abre e fala do assunto, mas SEM exemplo real datado na rota medida. a rota abre e fala do assunto (5 palavras), mas NAO achei data legivel na pagina de entrada. O exemplo datado costuma estar um clique adentro, e um clique adentro nao foi medido.</t>
        </is>
      </c>
      <c r="N12" s="3" t="inlineStr">
        <is>
          <t>SECONDARY</t>
        </is>
      </c>
      <c r="O12" s="3" t="inlineStr"/>
      <c r="P12" s="3" t="inlineStr">
        <is>
          <t>NAO SEI</t>
        </is>
      </c>
      <c r="Q12" s="3" t="inlineStr">
        <is>
          <t>MEDIUM — anual (forum) mais serie de campanha (calendario)</t>
        </is>
      </c>
      <c r="R12" s="3" t="inlineStr">
        <is>
          <t>DECLARADA</t>
        </is>
      </c>
      <c r="S12" s="3" t="inlineStr">
        <is>
          <t>a cadencia esta escrita, mas NENHUMA edicao foi contada no arquivo. Promessa da casa, nao medicao nossa.</t>
        </is>
      </c>
      <c r="T12" s="3" t="inlineStr">
        <is>
          <t>COMPETITORS · FIELD_NET · VOICES · WINDOWS</t>
        </is>
      </c>
      <c r="U12" s="3" t="inlineStr">
        <is>
          <t>Treviso e Belluno (Veneto)</t>
        </is>
      </c>
      <c r="V12" s="3" t="inlineStr">
        <is>
          <t>T1 T3 T8 T11</t>
        </is>
      </c>
      <c r="W12" s="3" t="inlineStr"/>
      <c r="X12" s="3" t="inlineStr">
        <is>
          <t>a ADAMA esta na lista. Ler isto como «atividade de concorrente» obriga a excluir a propria casa do calculo.</t>
        </is>
      </c>
      <c r="Y12" s="3" t="inlineStr">
        <is>
          <t>2026-09-14 (sonda urllib, UA de navegador)</t>
        </is>
      </c>
    </row>
    <row r="13">
      <c r="A13" s="3" t="inlineStr">
        <is>
          <t>Dataflow DCSP_COLTIVAZIONI (coltivazioni: superficie, produzione, resa)</t>
        </is>
      </c>
      <c r="B13" s="3" t="inlineStr">
        <is>
          <t>ISTAT</t>
        </is>
      </c>
      <c r="C13" s="3" t="inlineStr">
        <is>
          <t>NAO</t>
        </is>
      </c>
      <c r="D13" s="3" t="inlineStr"/>
      <c r="E13" s="3" t="inlineStr">
        <is>
          <t>https://esploradati.istat.it/SDMXWS/rest/</t>
        </is>
      </c>
      <c r="F13" s="3" t="inlineStr">
        <is>
          <t>https://esploradati.istat.it/SDMXWS/rest/dataflow/IT1/101_1015_DF_DCSP_COLTIVAZIONI_1</t>
        </is>
      </c>
      <c r="G13" s="3" t="inlineStr">
        <is>
          <t>https://esploradati.istat.it/SDMXWS/rest/dataflow/IT1/101_1015_DF_DCSP_COLTIVAZIONI_1</t>
        </is>
      </c>
      <c r="H13" s="3" t="inlineStr">
        <is>
          <t>⚠️ DUAS COISAS ERRADAS NA MINHA LINHA ANTERIOR. Primeira: eu dei a RAIZ do servico SDMX, que devolve 404 a um GET simples — julgar uma raiz de API como rota de conteudo e' erro meu, nao fonte morta. Segunda, e mais grave: o identificador «DCSP_COLTIVAZIONI» que eu citei NAO EXISTE — o servico responde «Could not find requested structures». Procurei nos 4.907 dataflows publicados e o verdadeiro e' `101_1015_DF_DCSP_COLTIVAZIONI_1` (superficies e producao, dados no conjunto); ha tambem `_2` por provincia e `_10` intencoes de semina.</t>
        </is>
      </c>
      <c r="I13" s="3" t="inlineStr">
        <is>
          <t>NAO</t>
        </is>
      </c>
      <c r="J13" s="3" t="n">
        <v>200</v>
      </c>
      <c r="K13" s="3" t="n">
        <v>1354</v>
      </c>
      <c r="L13" s="3" t="inlineStr">
        <is>
          <t>VALIDATED_STRONG</t>
        </is>
      </c>
      <c r="M13" s="3" t="inlineStr">
        <is>
          <t>abre, fala do assunto, exemplo datado, recorrencia HIGH. a chamada de DADO devolveu 13.522.174 bytes de CSV real, com as colunas REF_AREA · TYPE_OF_CROP · TIME_PERIOD · OBS_VALUE · UNIT_MEAS · OBS_STATUS. Nao e' pagina que fala de dado: e' o dado.</t>
        </is>
      </c>
      <c r="N13" s="3" t="inlineStr">
        <is>
          <t>PRIMARY</t>
        </is>
      </c>
      <c r="O13" s="3" t="inlineStr">
        <is>
          <t>a chamada de DADO devolveu 13.522.174 bytes de CSV real, com as colunas REF_AREA · TYPE_OF_CROP · TIME_PERIOD · OBS_VALUE · UNIT_MEAS · OBS_STATUS. Nao e' pagina que fala de dado: e' o dado.</t>
        </is>
      </c>
      <c r="P13" s="3" t="inlineStr">
        <is>
          <t>NAO SEI</t>
        </is>
      </c>
      <c r="Q13" s="3" t="inlineStr">
        <is>
          <t>HIGH — estimativas mensais, serie anual consolidada</t>
        </is>
      </c>
      <c r="R13" s="3" t="inlineStr">
        <is>
          <t>OBSERVADA</t>
        </is>
      </c>
      <c r="S13" s="3" t="inlineStr">
        <is>
          <t>data lida na rota ou exemplo real datado</t>
        </is>
      </c>
      <c r="T13" s="3" t="inlineStr">
        <is>
          <t>MARKET · RADAR</t>
        </is>
      </c>
      <c r="U13" s="3" t="inlineStr">
        <is>
          <t>NACIONAL com regiao, provincia e altimetria</t>
        </is>
      </c>
      <c r="V13" s="3" t="inlineStr">
        <is>
          <t>T10</t>
        </is>
      </c>
      <c r="W13" s="3" t="inlineStr"/>
      <c r="X13" s="3" t="inlineStr">
        <is>
          <t>a zona altimetrica nao e' a regiao agronomica do boletim fitossanitario. Juntar as duas e' trabalho, nao e' leitura.</t>
        </is>
      </c>
      <c r="Y13" s="3" t="inlineStr">
        <is>
          <t>2026-09-14 (sonda urllib, UA de navegador)</t>
        </is>
      </c>
    </row>
    <row r="14">
      <c r="A14" s="3" t="inlineStr">
        <is>
          <t>Statistica agricoltura regionale (superfici e produzioni)</t>
        </is>
      </c>
      <c r="B14" s="3" t="inlineStr">
        <is>
          <t>Regione Emilia-Romagna — Servizio Statistica</t>
        </is>
      </c>
      <c r="C14" s="3" t="inlineStr">
        <is>
          <t>NAO</t>
        </is>
      </c>
      <c r="D14" s="3" t="inlineStr"/>
      <c r="E14" s="3" t="inlineStr">
        <is>
          <t>https://statistica.regione.emilia-romagna.it/</t>
        </is>
      </c>
      <c r="F14" s="3" t="inlineStr">
        <is>
          <t>https://statistica.regione.emilia-romagna.it/</t>
        </is>
      </c>
      <c r="G14" s="3" t="inlineStr">
        <is>
          <t>https://statistica.regione.emilia-romagna.it/</t>
        </is>
      </c>
      <c r="H14" s="3" t="inlineStr"/>
      <c r="I14" s="3" t="inlineStr">
        <is>
          <t>NAO</t>
        </is>
      </c>
      <c r="J14" s="3" t="n">
        <v>200</v>
      </c>
      <c r="K14" s="3" t="n">
        <v>1750</v>
      </c>
      <c r="L14" s="3" t="inlineStr">
        <is>
          <t>VALIDATED_BUT_SECONDARY</t>
        </is>
      </c>
      <c r="M14" s="3" t="inlineStr">
        <is>
          <t>abre e fala do assunto, mas SEM exemplo real datado na rota medida. a rota abre e fala do assunto (4 palavras), mas NAO achei data legivel na pagina de entrada. O exemplo datado costuma estar um clique adentro, e um clique adentro nao foi medido.</t>
        </is>
      </c>
      <c r="N14" s="3" t="inlineStr">
        <is>
          <t>SECONDARY</t>
        </is>
      </c>
      <c r="O14" s="3" t="inlineStr"/>
      <c r="P14" s="3" t="inlineStr">
        <is>
          <t>NAO SEI</t>
        </is>
      </c>
      <c r="Q14" s="3" t="inlineStr">
        <is>
          <t>MEDIUM — anual</t>
        </is>
      </c>
      <c r="R14" s="3" t="inlineStr">
        <is>
          <t>DECLARADA</t>
        </is>
      </c>
      <c r="S14" s="3" t="inlineStr">
        <is>
          <t>a cadencia esta escrita, mas NENHUMA edicao foi contada no arquivo. Promessa da casa, nao medicao nossa.</t>
        </is>
      </c>
      <c r="T14" s="3" t="inlineStr">
        <is>
          <t>MARKET</t>
        </is>
      </c>
      <c r="U14" s="3" t="inlineStr">
        <is>
          <t>Emilia-Romagna</t>
        </is>
      </c>
      <c r="V14" s="3" t="inlineStr">
        <is>
          <t>T10</t>
        </is>
      </c>
      <c r="W14" s="3" t="inlineStr"/>
      <c r="X14" s="3" t="inlineStr">
        <is>
          <t>uma regiao das vinte. Nao escala por si.</t>
        </is>
      </c>
      <c r="Y14" s="3" t="inlineStr">
        <is>
          <t>2026-09-14 (sonda urllib, UA de navegador)</t>
        </is>
      </c>
    </row>
    <row r="15">
      <c r="A15" s="3" t="inlineStr">
        <is>
          <t>Coeweb — statistiche del commercio estero (nuova sede)</t>
        </is>
      </c>
      <c r="B15" s="3" t="inlineStr">
        <is>
          <t>ISTAT</t>
        </is>
      </c>
      <c r="C15" s="3" t="inlineStr">
        <is>
          <t>NAO</t>
        </is>
      </c>
      <c r="D15" s="3" t="inlineStr"/>
      <c r="E15" s="3" t="inlineStr">
        <is>
          <t>https://esploradati.istat.it/coeweb</t>
        </is>
      </c>
      <c r="F15" s="3" t="inlineStr">
        <is>
          <t>https://esploradati.istat.it/coeweb/databrowser/</t>
        </is>
      </c>
      <c r="G15" s="3" t="inlineStr">
        <is>
          <t>https://esploradati.istat.it/coeweb/databrowser/</t>
        </is>
      </c>
      <c r="H15" s="3" t="inlineStr"/>
      <c r="I15" s="3" t="inlineStr">
        <is>
          <t>SIM</t>
        </is>
      </c>
      <c r="J15" s="3" t="n">
        <v>200</v>
      </c>
      <c r="K15" s="3" t="n">
        <v>59</v>
      </c>
      <c r="L15" s="3" t="inlineStr">
        <is>
          <t>BROKEN</t>
        </is>
      </c>
      <c r="M15" s="3" t="inlineStr">
        <is>
          <t>HTTP 200, 3791 bytes, e a propria aplicacao escreve o erro: «An error occurred». Medido agora — pode ser transitorio, e por isso a data da medicao viaja com o veredito.</t>
        </is>
      </c>
      <c r="N15" s="3" t="inlineStr">
        <is>
          <t>PRIMARY</t>
        </is>
      </c>
      <c r="O15" s="3" t="inlineStr"/>
      <c r="P15" s="3" t="inlineStr">
        <is>
          <t>NAO SEI</t>
        </is>
      </c>
      <c r="Q15" s="3" t="inlineStr">
        <is>
          <t>HIGH — mensal</t>
        </is>
      </c>
      <c r="R15" s="3" t="inlineStr">
        <is>
          <t>DECLARADA</t>
        </is>
      </c>
      <c r="S15" s="3" t="inlineStr">
        <is>
          <t>a cadencia esta escrita, mas NENHUMA edicao foi contada no arquivo. Promessa da casa, nao medicao nossa.</t>
        </is>
      </c>
      <c r="T15" s="3" t="inlineStr">
        <is>
          <t>MARKET</t>
        </is>
      </c>
      <c r="U15" s="3" t="inlineStr">
        <is>
          <t>NACIONAL, com provincia</t>
        </is>
      </c>
      <c r="V15" s="3" t="inlineStr">
        <is>
          <t>T10</t>
        </is>
      </c>
      <c r="W15" s="3" t="inlineStr">
        <is>
          <t>mesmo DONO que «Dataflow DCSP_COLTIVAZIONI (coltivazioni: superficie, produzione, resa)» — SAME_OWNER_DIFFERENT_SOURCE, nao duplicata verdadeira</t>
        </is>
      </c>
      <c r="X15" s="3" t="inlineStr">
        <is>
          <t>⚠️ ACHADO DE MANUTENCAO, NAO DE DESCOBERTA: o acervo aponta para a sede antiga. Quem coletar de `coeweb.istat.it` nao recebe erro obvio — recebe uma pagina. Ver DEAD_ROUTES.</t>
        </is>
      </c>
      <c r="Y15" s="3" t="inlineStr">
        <is>
          <t>2026-09-14 (sonda urllib, UA de navegador)</t>
        </is>
      </c>
    </row>
    <row r="16">
      <c r="A16" s="3" t="inlineStr">
        <is>
          <t>Commercio estero agroalimentare (banca dati)</t>
        </is>
      </c>
      <c r="B16" s="3" t="inlineStr">
        <is>
          <t>ISMEA</t>
        </is>
      </c>
      <c r="C16" s="3" t="inlineStr">
        <is>
          <t>NAO</t>
        </is>
      </c>
      <c r="D16" s="3" t="inlineStr"/>
      <c r="E16" s="3" t="inlineStr">
        <is>
          <t>https://www.ismeamercati.it/dati-agroalimentare/commercio-estero</t>
        </is>
      </c>
      <c r="F16" s="3" t="inlineStr">
        <is>
          <t>https://www.ismeamercati.it/dati-agroalimentare/commercio-estero</t>
        </is>
      </c>
      <c r="G16" s="3" t="inlineStr">
        <is>
          <t>https://www.ismeamercati.it/dati-agroalimentare/commercio-estero</t>
        </is>
      </c>
      <c r="H16" s="3" t="inlineStr"/>
      <c r="I16" s="3" t="inlineStr">
        <is>
          <t>NAO</t>
        </is>
      </c>
      <c r="J16" s="3" t="n">
        <v>200</v>
      </c>
      <c r="K16" s="3" t="n">
        <v>7063</v>
      </c>
      <c r="L16" s="3" t="inlineStr">
        <is>
          <t>VALIDATED_BUT_SECONDARY</t>
        </is>
      </c>
      <c r="M16" s="3" t="inlineStr">
        <is>
          <t>abre e fala do assunto, mas SEM exemplo real datado na rota medida. a rota abre e fala do assunto (6 palavras), mas NAO achei data legivel na pagina de entrada. O exemplo datado costuma estar um clique adentro, e um clique adentro nao foi medido.</t>
        </is>
      </c>
      <c r="N16" s="3" t="inlineStr">
        <is>
          <t>SECONDARY</t>
        </is>
      </c>
      <c r="O16" s="3" t="inlineStr"/>
      <c r="P16" s="3" t="inlineStr">
        <is>
          <t>NAO SEI</t>
        </is>
      </c>
      <c r="Q16" s="3" t="inlineStr">
        <is>
          <t>HIGH — acompanha a serie ISTAT</t>
        </is>
      </c>
      <c r="R16" s="3" t="inlineStr">
        <is>
          <t>DECLARADA</t>
        </is>
      </c>
      <c r="S16" s="3" t="inlineStr">
        <is>
          <t>a cadencia esta escrita, mas NENHUMA edicao foi contada no arquivo. Promessa da casa, nao medicao nossa.</t>
        </is>
      </c>
      <c r="T16" s="3" t="inlineStr">
        <is>
          <t>MARKET</t>
        </is>
      </c>
      <c r="U16" s="3" t="inlineStr">
        <is>
          <t>NACIONAL</t>
        </is>
      </c>
      <c r="V16" s="3" t="inlineStr">
        <is>
          <t>T10</t>
        </is>
      </c>
      <c r="W16" s="3" t="inlineStr"/>
      <c r="X16" s="3" t="inlineStr">
        <is>
          <t>reclassificacao e' decisao do ISMEA. Bom para ler cultura; nao reconcilia com o ISTAT linha a linha.</t>
        </is>
      </c>
      <c r="Y16" s="3" t="inlineStr">
        <is>
          <t>2026-09-14 (sonda urllib, UA de navegador)</t>
        </is>
      </c>
    </row>
    <row r="17">
      <c r="A17" s="3" t="inlineStr">
        <is>
          <t>Indice dei prezzi dei mezzi correnti di produzione</t>
        </is>
      </c>
      <c r="B17" s="3" t="inlineStr">
        <is>
          <t>ISMEA</t>
        </is>
      </c>
      <c r="C17" s="3" t="inlineStr">
        <is>
          <t>NAO</t>
        </is>
      </c>
      <c r="D17" s="3" t="inlineStr"/>
      <c r="E17" s="3" t="inlineStr">
        <is>
          <t>https://www.ismeamercati.it/</t>
        </is>
      </c>
      <c r="F17" s="3" t="inlineStr">
        <is>
          <t>https://www.ismeamercati.it/analisi-e-studio-filiere-agroalimentari</t>
        </is>
      </c>
      <c r="G17" s="3" t="inlineStr">
        <is>
          <t>https://www.ismeamercati.it/analisi-e-studio-filiere-agroalimentari</t>
        </is>
      </c>
      <c r="H17" s="3" t="inlineStr"/>
      <c r="I17" s="3" t="inlineStr">
        <is>
          <t>SIM</t>
        </is>
      </c>
      <c r="J17" s="3" t="n">
        <v>200</v>
      </c>
      <c r="K17" s="3" t="n">
        <v>14782</v>
      </c>
      <c r="L17" s="3" t="inlineStr">
        <is>
          <t>VALIDATED_STRONG</t>
        </is>
      </c>
      <c r="M17" s="3" t="inlineStr">
        <is>
          <t>abre, fala do assunto, exemplo datado, recorrencia HIGH. lido na rota em https://www.ismeamercati.it/analisi-e-studio-filiere-agroalimentari: datas 11/09/2026 · 07/08/2026 · 06/07/2026 · 30/05/2026 · assunto clima · coltur · prezz · produzione · semina · superfici · vendemmia</t>
        </is>
      </c>
      <c r="N17" s="3" t="inlineStr">
        <is>
          <t>PRIMARY</t>
        </is>
      </c>
      <c r="O17" s="3" t="inlineStr">
        <is>
          <t>lido na rota em https://www.ismeamercati.it/analisi-e-studio-filiere-agroalimentari: datas 11/09/2026 · 07/08/2026 · 06/07/2026 · 30/05/2026 · assunto clima · coltur · prezz · produzione · semina · superfici · vendemmia</t>
        </is>
      </c>
      <c r="P17" s="3" t="inlineStr">
        <is>
          <t>11/09/2026 · 07/08/2026 · 06/07/2026 · 30/05/2026</t>
        </is>
      </c>
      <c r="Q17" s="3" t="inlineStr">
        <is>
          <t>HIGH — mensal, com recolha semanal por tras</t>
        </is>
      </c>
      <c r="R17" s="3" t="inlineStr">
        <is>
          <t>OBSERVADA</t>
        </is>
      </c>
      <c r="S17" s="3" t="inlineStr">
        <is>
          <t>data lida na rota ou exemplo real datado</t>
        </is>
      </c>
      <c r="T17" s="3" t="inlineStr">
        <is>
          <t>MARKET</t>
        </is>
      </c>
      <c r="U17" s="3" t="inlineStr">
        <is>
          <t>NACIONAL</t>
        </is>
      </c>
      <c r="V17" s="3" t="inlineStr">
        <is>
          <t>T10</t>
        </is>
      </c>
      <c r="W17" s="3" t="inlineStr">
        <is>
          <t>mesmo DONO que «Commercio estero agroalimentare (banca dati)» — SAME_OWNER_DIFFERENT_SOURCE, nao duplicata verdadeira</t>
        </is>
      </c>
      <c r="X17" s="3" t="inlineStr">
        <is>
          <t>⚠️ DESCONTINUIDADE DECLARADA, E E' GRAVE PARA SERIE: a rede de recolha foi revista a partir de JANEIRO DE 2025, e os indices mensais deixam de ser comparaveis com o ano anterior. A base muda para 2020 a partir de 01/01/2026. Comparar 2024 com 2025 sem saber disto produz uma variacao que nao aconteceu.</t>
        </is>
      </c>
      <c r="Y17" s="3" t="inlineStr">
        <is>
          <t>2026-09-14 (sonda urllib, UA de navegador)</t>
        </is>
      </c>
    </row>
    <row r="18">
      <c r="A18" s="3" t="inlineStr">
        <is>
          <t>Monitoraggio dei costi medi di produzione</t>
        </is>
      </c>
      <c r="B18" s="3" t="inlineStr">
        <is>
          <t>ISMEA</t>
        </is>
      </c>
      <c r="C18" s="3" t="inlineStr">
        <is>
          <t>NAO</t>
        </is>
      </c>
      <c r="D18" s="3" t="inlineStr"/>
      <c r="E18" s="3" t="inlineStr">
        <is>
          <t>https://www.ismea.it/</t>
        </is>
      </c>
      <c r="F18" s="3" t="inlineStr">
        <is>
          <t>https://www.ismea.it/istituto-di-servizi-per-il-mercato-agricolo-alimentare</t>
        </is>
      </c>
      <c r="G18" s="3" t="inlineStr">
        <is>
          <t>https://www.ismea.it/istituto-di-servizi-per-il-mercato-agricolo-alimentare</t>
        </is>
      </c>
      <c r="H18" s="3" t="inlineStr"/>
      <c r="I18" s="3" t="inlineStr">
        <is>
          <t>SIM</t>
        </is>
      </c>
      <c r="J18" s="3" t="n">
        <v>200</v>
      </c>
      <c r="K18" s="3" t="n">
        <v>16269</v>
      </c>
      <c r="L18" s="3" t="inlineStr">
        <is>
          <t>VALIDATED_USEFUL</t>
        </is>
      </c>
      <c r="M18" s="3" t="inlineStr">
        <is>
          <t>abre, fala do assunto, exemplo datado. lido na rota em https://www.ismea.it/istituto-di-servizi-per-il-mercato-agricolo-alime: datas 23/07/2026 · 13 settembre 2026 · 24/06/2026 · 29/05/2026 · assunto autorizzaz · clima · coltur · mercato · pest · resa · superfici</t>
        </is>
      </c>
      <c r="N18" s="3" t="inlineStr">
        <is>
          <t>PRIMARY</t>
        </is>
      </c>
      <c r="O18" s="3" t="inlineStr">
        <is>
          <t>lido na rota em https://www.ismea.it/istituto-di-servizi-per-il-mercato-agricolo-alime: datas 23/07/2026 · 13 settembre 2026 · 24/06/2026 · 29/05/2026 · assunto autorizzaz · clima · coltur · mercato · pest · resa · superfici</t>
        </is>
      </c>
      <c r="P18" s="3" t="inlineStr">
        <is>
          <t>23/07/2026 · 13 settembre 2026 · 24/06/2026 · 29/05/2026</t>
        </is>
      </c>
      <c r="Q18" s="3" t="inlineStr">
        <is>
          <t>MEDIUM — campanha</t>
        </is>
      </c>
      <c r="R18" s="3" t="inlineStr">
        <is>
          <t>OBSERVADA</t>
        </is>
      </c>
      <c r="S18" s="3" t="inlineStr">
        <is>
          <t>data lida na rota ou exemplo real datado</t>
        </is>
      </c>
      <c r="T18" s="3" t="inlineStr">
        <is>
          <t>MARKET</t>
        </is>
      </c>
      <c r="U18" s="3" t="inlineStr">
        <is>
          <t>NACIONAL, por cluster</t>
        </is>
      </c>
      <c r="V18" s="3" t="inlineStr">
        <is>
          <t>T10</t>
        </is>
      </c>
      <c r="W18" s="3" t="inlineStr">
        <is>
          <t>mesmo DONO que «Commercio estero agroalimentare (banca dati)» — SAME_OWNER_DIFFERENT_SOURCE, nao duplicata verdadeira</t>
        </is>
      </c>
      <c r="X18" s="3" t="inlineStr">
        <is>
          <t>⚠️ EXIGE REGISTO. Dado atras de conta nao e' dado aberto, e a coleta automatica dele e' outra decisao.</t>
        </is>
      </c>
      <c r="Y18" s="3" t="inlineStr">
        <is>
          <t>2026-09-14 (sonda urllib, UA de navegador)</t>
        </is>
      </c>
    </row>
    <row r="19">
      <c r="A19" s="3" t="inlineStr">
        <is>
          <t>Cantina Italia — giacenze di vino</t>
        </is>
      </c>
      <c r="B19" s="3" t="inlineStr">
        <is>
          <t>MASAF / CREA, via registro telematico SIAN</t>
        </is>
      </c>
      <c r="C19" s="3" t="inlineStr">
        <is>
          <t>NAO</t>
        </is>
      </c>
      <c r="D19" s="3" t="inlineStr"/>
      <c r="E19" s="3" t="inlineStr">
        <is>
          <t>https://www.politicheagricole.it/</t>
        </is>
      </c>
      <c r="F19" s="3" t="inlineStr">
        <is>
          <t>https://www.masaf.gov.it/flex/cm/pages/ServeBLOB.php/L/IT/IDPagina/202</t>
        </is>
      </c>
      <c r="G19" s="3" t="inlineStr">
        <is>
          <t>https://www.masaf.gov.it/flex/cm/pages/ServeBLOB.php/L/IT/IDPagina/202</t>
        </is>
      </c>
      <c r="H19" s="3" t="inlineStr"/>
      <c r="I19" s="3" t="inlineStr">
        <is>
          <t>SIM</t>
        </is>
      </c>
      <c r="J19" s="3" t="n">
        <v>200</v>
      </c>
      <c r="K19" s="3" t="n">
        <v>7291</v>
      </c>
      <c r="L19" s="3" t="inlineStr">
        <is>
          <t>VALIDATED_USEFUL</t>
        </is>
      </c>
      <c r="M19" s="3" t="inlineStr">
        <is>
          <t>abre, fala do assunto, exemplo datado. lido na rota em https://www.masaf.gov.it/flex/cm/pages/ServeBLOB.php/L/IT/IDPagina/202: datas 08/06/2026 · 11/09/2026 · 11 Settembre 2026 · 27/08/2026 · assunto autorizzaz · coltur · mercato · raccolt · registro · stazioni</t>
        </is>
      </c>
      <c r="N19" s="3" t="inlineStr">
        <is>
          <t>PRIMARY</t>
        </is>
      </c>
      <c r="O19" s="3" t="inlineStr">
        <is>
          <t>lido na rota em https://www.masaf.gov.it/flex/cm/pages/ServeBLOB.php/L/IT/IDPagina/202: datas 08/06/2026 · 11/09/2026 · 11 Settembre 2026 · 27/08/2026 · assunto autorizzaz · coltur · mercato · raccolt · registro · stazioni</t>
        </is>
      </c>
      <c r="P19" s="3" t="inlineStr">
        <is>
          <t>08/06/2026 · 11/09/2026 · 11 Settembre 2026 · 27/08/2026</t>
        </is>
      </c>
      <c r="Q19" s="3" t="inlineStr">
        <is>
          <t>HIGH — mensal</t>
        </is>
      </c>
      <c r="R19" s="3" t="inlineStr">
        <is>
          <t>OBSERVADA</t>
        </is>
      </c>
      <c r="S19" s="3" t="inlineStr">
        <is>
          <t>data lida na rota ou exemplo real datado</t>
        </is>
      </c>
      <c r="T19" s="3" t="inlineStr">
        <is>
          <t>MARKET</t>
        </is>
      </c>
      <c r="U19" s="3" t="inlineStr">
        <is>
          <t>NACIONAL com regiao</t>
        </is>
      </c>
      <c r="V19" s="3" t="inlineStr">
        <is>
          <t>T10</t>
        </is>
      </c>
      <c r="W19" s="3" t="inlineStr"/>
      <c r="X19" s="3" t="inlineStr">
        <is>
          <t>rota exata do ficheiro publicado nao foi fixada nesta missao. Classe B por isso, e nao por duvida sobre o dono.</t>
        </is>
      </c>
      <c r="Y19" s="3" t="inlineStr">
        <is>
          <t>2026-09-14 (sonda urllib, UA de navegador)</t>
        </is>
      </c>
    </row>
    <row r="20">
      <c r="A20" s="3" t="inlineStr">
        <is>
          <t>Registro telematico dell'olio</t>
        </is>
      </c>
      <c r="B20" s="3" t="inlineStr">
        <is>
          <t>AGEA / SIAN</t>
        </is>
      </c>
      <c r="C20" s="3" t="inlineStr">
        <is>
          <t>NAO</t>
        </is>
      </c>
      <c r="D20" s="3" t="inlineStr"/>
      <c r="E20" s="3" t="inlineStr">
        <is>
          <t>https://www.sian.it/</t>
        </is>
      </c>
      <c r="F20" s="3" t="inlineStr">
        <is>
          <t>https://www.sian.it/portale/</t>
        </is>
      </c>
      <c r="G20" s="3" t="inlineStr">
        <is>
          <t>https://www.sian.it/portale/</t>
        </is>
      </c>
      <c r="H20" s="3" t="inlineStr"/>
      <c r="I20" s="3" t="inlineStr">
        <is>
          <t>SIM</t>
        </is>
      </c>
      <c r="J20" s="3" t="n">
        <v>200</v>
      </c>
      <c r="K20" s="3" t="n">
        <v>4</v>
      </c>
      <c r="L20" s="3" t="inlineStr">
        <is>
          <t>UNKNOWN</t>
        </is>
      </c>
      <c r="M20" s="3" t="inlineStr">
        <is>
          <t>HTTP 200 com 5950 bytes mas so' 4 caracteres de texto: e' aplicacao de JavaScript, e a minha sonda nao executa JS. ⚠️ A LIMITACAO E' MINHA, nao da fonte. Precisa de navegador com janela para ser lida.</t>
        </is>
      </c>
      <c r="N20" s="3" t="inlineStr">
        <is>
          <t>PRIMARY</t>
        </is>
      </c>
      <c r="O20" s="3" t="inlineStr"/>
      <c r="P20" s="3" t="inlineStr">
        <is>
          <t>NAO SEI</t>
        </is>
      </c>
      <c r="Q20" s="3" t="inlineStr">
        <is>
          <t>HIGH — declaracao periodica obrigatoria</t>
        </is>
      </c>
      <c r="R20" s="3" t="inlineStr">
        <is>
          <t>DECLARADA</t>
        </is>
      </c>
      <c r="S20" s="3" t="inlineStr">
        <is>
          <t>a cadencia esta escrita, mas NENHUMA edicao foi contada no arquivo. Promessa da casa, nao medicao nossa.</t>
        </is>
      </c>
      <c r="T20" s="3" t="inlineStr">
        <is>
          <t>MARKET</t>
        </is>
      </c>
      <c r="U20" s="3" t="inlineStr">
        <is>
          <t>NACIONAL</t>
        </is>
      </c>
      <c r="V20" s="3" t="inlineStr">
        <is>
          <t>T10</t>
        </is>
      </c>
      <c r="W20" s="3" t="inlineStr"/>
      <c r="X20" s="3" t="inlineStr">
        <is>
          <t>idem: rota publica do agregado nao fixada.</t>
        </is>
      </c>
      <c r="Y20" s="3" t="inlineStr">
        <is>
          <t>2026-09-14 (sonda urllib, UA de navegador)</t>
        </is>
      </c>
    </row>
    <row r="21">
      <c r="A21" s="3" t="inlineStr">
        <is>
          <t>Censimento delle strutture di stoccaggio dei cereali</t>
        </is>
      </c>
      <c r="B21" s="3" t="inlineStr">
        <is>
          <t>ISMEA, para o Piano cerealicolo nazionale (MASAF)</t>
        </is>
      </c>
      <c r="C21" s="3" t="inlineStr">
        <is>
          <t>NAO</t>
        </is>
      </c>
      <c r="D21" s="3" t="inlineStr"/>
      <c r="E21" s="3" t="inlineStr">
        <is>
          <t>https://www.ismea.it/flex/cm/pages/ServeBLOB.php/L/IT/IDPagina/8829</t>
        </is>
      </c>
      <c r="F21" s="3" t="inlineStr">
        <is>
          <t>https://www.ismea.it/flex/cm/pages/ServeBLOB.php/L/IT/IDPagina/8829</t>
        </is>
      </c>
      <c r="G21" s="3" t="inlineStr">
        <is>
          <t>https://www.ismea.it/flex/cm/pages/ServeBLOB.php/L/IT/IDPagina/8829</t>
        </is>
      </c>
      <c r="H21" s="3" t="inlineStr"/>
      <c r="I21" s="3" t="inlineStr">
        <is>
          <t>NAO</t>
        </is>
      </c>
      <c r="J21" s="3" t="n">
        <v>200</v>
      </c>
      <c r="K21" s="3" t="n">
        <v>12259</v>
      </c>
      <c r="L21" s="3" t="inlineStr">
        <is>
          <t>VALIDATED_BUT_SECONDARY</t>
        </is>
      </c>
      <c r="M21" s="3" t="inlineStr">
        <is>
          <t>abre e serve, mas e' secundaria: censo unico, nao serie. HTTP 200 · 12259 caracteres · 10 palavras do assunto · 6 datas legiveis. ⚠️ Isto NAO e' ainda VALIDATED: falta o exemplo real e a leitura humana.</t>
        </is>
      </c>
      <c r="N21" s="3" t="inlineStr">
        <is>
          <t>SECONDARY</t>
        </is>
      </c>
      <c r="O21" s="3" t="inlineStr">
        <is>
          <t>lido na rota em https://www.ismea.it/flex/cm/pages/ServeBLOB.php/L/IT/IDPagina/8829: datas 11/09/2026 · 03/09/2026 · 10/07/2026 · 01/07/2026 · assunto autorizzaz · clima · coltur · mercato · monitoraggio · pest · produzione · raccolt</t>
        </is>
      </c>
      <c r="P21" s="3" t="inlineStr">
        <is>
          <t>11/09/2026 · 03/09/2026 · 10/07/2026 · 01/07/2026</t>
        </is>
      </c>
      <c r="Q21" s="3" t="inlineStr">
        <is>
          <t>LOW — censo, evento unico</t>
        </is>
      </c>
      <c r="R21" s="3" t="inlineStr">
        <is>
          <t>OBSERVADA</t>
        </is>
      </c>
      <c r="S21" s="3" t="inlineStr">
        <is>
          <t>data lida na rota ou exemplo real datado</t>
        </is>
      </c>
      <c r="T21" s="3" t="inlineStr">
        <is>
          <t>MARKET</t>
        </is>
      </c>
      <c r="U21" s="3" t="inlineStr">
        <is>
          <t>NACIONAL, georreferenciado</t>
        </is>
      </c>
      <c r="V21" s="3" t="inlineStr">
        <is>
          <t>T10</t>
        </is>
      </c>
      <c r="W21" s="3" t="inlineStr"/>
      <c r="X21" s="3" t="inlineStr">
        <is>
          <t>⚠️ ISTO E' CAPACIDADE, NAO EXISTENCIA. Um silo de 10.000 t vazio conta igual a um cheio. Quem usar isto como stock le' o contrario do que quer. E e' censo: nao repete.</t>
        </is>
      </c>
      <c r="Y21" s="3" t="inlineStr">
        <is>
          <t>2026-09-14 (sonda urllib, UA de navegador)</t>
        </is>
      </c>
    </row>
    <row r="22">
      <c r="A22" s="3" t="inlineStr">
        <is>
          <t>Rete di rilevazione Ismea–Unione Seminativi</t>
        </is>
      </c>
      <c r="B22" s="3" t="inlineStr">
        <is>
          <t>ISMEA com a Unione Seminativi</t>
        </is>
      </c>
      <c r="C22" s="3" t="inlineStr">
        <is>
          <t>NAO</t>
        </is>
      </c>
      <c r="D22" s="3" t="inlineStr"/>
      <c r="E22" s="3" t="inlineStr">
        <is>
          <t>https://www.ismea.it/flex/cm/pages/ServeBLOB.php/L/IT/IDPagina/482</t>
        </is>
      </c>
      <c r="F22" s="3" t="inlineStr">
        <is>
          <t>https://www.ismea.it/flex/cm/pages/ServeBLOB.php/L/IT/IDPagina/482</t>
        </is>
      </c>
      <c r="G22" s="3" t="inlineStr">
        <is>
          <t>https://www.ismea.it/flex/cm/pages/ServeBLOB.php/L/IT/IDPagina/482</t>
        </is>
      </c>
      <c r="H22" s="3" t="inlineStr"/>
      <c r="I22" s="3" t="inlineStr">
        <is>
          <t>NAO</t>
        </is>
      </c>
      <c r="J22" s="3" t="n">
        <v>200</v>
      </c>
      <c r="K22" s="3" t="n">
        <v>11384</v>
      </c>
      <c r="L22" s="3" t="inlineStr">
        <is>
          <t>VALIDATED_BUT_SECONDARY</t>
        </is>
      </c>
      <c r="M22" s="3" t="inlineStr">
        <is>
          <t>abre e fala do assunto, mas SEM exemplo real datado na rota medida. a rota abre e fala do assunto (11 palavras), mas NAO achei data legivel na pagina de entrada. O exemplo datado costuma estar um clique adentro, e um clique adentro nao foi medido.</t>
        </is>
      </c>
      <c r="N22" s="3" t="inlineStr">
        <is>
          <t>SECONDARY</t>
        </is>
      </c>
      <c r="O22" s="3" t="inlineStr"/>
      <c r="P22" s="3" t="inlineStr">
        <is>
          <t>NAO SEI</t>
        </is>
      </c>
      <c r="Q22" s="3" t="inlineStr">
        <is>
          <t>HIGH — periodica na campanha</t>
        </is>
      </c>
      <c r="R22" s="3" t="inlineStr">
        <is>
          <t>DECLARADA</t>
        </is>
      </c>
      <c r="S22" s="3" t="inlineStr">
        <is>
          <t>a cadencia esta escrita, mas NENHUMA edicao foi contada no arquivo. Promessa da casa, nao medicao nossa.</t>
        </is>
      </c>
      <c r="T22" s="3" t="inlineStr">
        <is>
          <t>FUTURE · MARKET</t>
        </is>
      </c>
      <c r="U22" s="3" t="inlineStr">
        <is>
          <t>centro e norte de Italia, 23 pontos</t>
        </is>
      </c>
      <c r="V22" s="3" t="inlineStr">
        <is>
          <t>T10 T9</t>
        </is>
      </c>
      <c r="W22" s="3" t="inlineStr"/>
      <c r="X22" s="3" t="inlineStr">
        <is>
          <t>⚠️ E' EXPECTATIVA DE PERITO, nao medicao. Serve a ferramenta de SINAL; usa-la como producao mede opiniao e chama-lhe colheita.</t>
        </is>
      </c>
      <c r="Y22" s="3" t="inlineStr">
        <is>
          <t>2026-09-14 (sonda urllib, UA de navegador)</t>
        </is>
      </c>
    </row>
    <row r="23">
      <c r="A23" s="3" t="inlineStr">
        <is>
          <t>Banca dati dei prodotti fitosanitari</t>
        </is>
      </c>
      <c r="B23" s="3" t="inlineStr">
        <is>
          <t>Ministero della Salute</t>
        </is>
      </c>
      <c r="C23" s="3" t="inlineStr">
        <is>
          <t>NAO</t>
        </is>
      </c>
      <c r="D23" s="3" t="inlineStr"/>
      <c r="E23" s="3" t="inlineStr">
        <is>
          <t>https://www.fitosanitari.salute.gov.it/</t>
        </is>
      </c>
      <c r="F23" s="3" t="inlineStr">
        <is>
          <t>https://www.fitosanitari.salute.gov.it/fitosanitariws_new/FitosanitariServlet</t>
        </is>
      </c>
      <c r="G23" s="3" t="inlineStr">
        <is>
          <t>https://www.fitosanitari.salute.gov.it/fitosanitariws_new/FitosanitariServlet</t>
        </is>
      </c>
      <c r="H23" s="3" t="inlineStr"/>
      <c r="I23" s="3" t="inlineStr">
        <is>
          <t>SIM</t>
        </is>
      </c>
      <c r="J23" s="3" t="n">
        <v>200</v>
      </c>
      <c r="K23" s="3" t="n">
        <v>4006</v>
      </c>
      <c r="L23" s="3" t="inlineStr">
        <is>
          <t>VALIDATED_STRONG</t>
        </is>
      </c>
      <c r="M23" s="3" t="inlineStr">
        <is>
          <t>abre, fala do assunto, exemplo datado, recorrencia HIGH. lido na rota em https://www.fitosanitari.salute.gov.it/fitosanitariws_new/Fitosanitari: datas 13 settembre 2026 · assunto autorizzaz · etichetta · fitosanitar · sostanza attiva</t>
        </is>
      </c>
      <c r="N23" s="3" t="inlineStr">
        <is>
          <t>PRIMARY</t>
        </is>
      </c>
      <c r="O23" s="3" t="inlineStr">
        <is>
          <t>lido na rota em https://www.fitosanitari.salute.gov.it/fitosanitariws_new/Fitosanitari: datas 13 settembre 2026 · assunto autorizzaz · etichetta · fitosanitar · sostanza attiva</t>
        </is>
      </c>
      <c r="P23" s="3" t="inlineStr">
        <is>
          <t>13 settembre 2026</t>
        </is>
      </c>
      <c r="Q23" s="3" t="inlineStr">
        <is>
          <t>HIGH — diaria</t>
        </is>
      </c>
      <c r="R23" s="3" t="inlineStr">
        <is>
          <t>OBSERVADA</t>
        </is>
      </c>
      <c r="S23" s="3" t="inlineStr">
        <is>
          <t>data lida na rota ou exemplo real datado</t>
        </is>
      </c>
      <c r="T23" s="3" t="inlineStr">
        <is>
          <t>COMPETITORS · PORTFOLIO · RADAR</t>
        </is>
      </c>
      <c r="U23" s="3" t="inlineStr">
        <is>
          <t>NACIONAL</t>
        </is>
      </c>
      <c r="V23" s="3" t="inlineStr">
        <is>
          <t>T4</t>
        </is>
      </c>
      <c r="W23" s="3" t="inlineStr"/>
      <c r="X23" s="3" t="inlineStr">
        <is>
          <t>⚠️ O QUE FALTA ESTA DENTRO DO PDF: a carencia e a dose maxima NAO estao na tabela — vivem no ROTULO. Isso explica `interval 15/219 (7%)` e `maxApp 0/219`. O gap nao e' de fonte: e' de EXTRACAO.</t>
        </is>
      </c>
      <c r="Y23" s="3" t="inlineStr">
        <is>
          <t>2026-09-14 (sonda urllib, UA de navegador)</t>
        </is>
      </c>
    </row>
    <row r="24">
      <c r="A24" s="3" t="inlineStr">
        <is>
          <t>Banca dati Fitogest</t>
        </is>
      </c>
      <c r="B24" s="3" t="inlineStr">
        <is>
          <t>Image Line Network</t>
        </is>
      </c>
      <c r="C24" s="3" t="inlineStr">
        <is>
          <t>NAO</t>
        </is>
      </c>
      <c r="D24" s="3" t="inlineStr"/>
      <c r="E24" s="3" t="inlineStr">
        <is>
          <t>https://fitogest.imagelinenetwork.com/it/banca-dati-e-portale/</t>
        </is>
      </c>
      <c r="F24" s="3" t="inlineStr">
        <is>
          <t>https://fitogest.imagelinenetwork.com/it/banca-dati-e-portale/</t>
        </is>
      </c>
      <c r="G24" s="3" t="inlineStr">
        <is>
          <t>https://fitogest.imagelinenetwork.com/it/banca-dati-e-portale/</t>
        </is>
      </c>
      <c r="H24" s="3" t="inlineStr"/>
      <c r="I24" s="3" t="inlineStr">
        <is>
          <t>NAO</t>
        </is>
      </c>
      <c r="J24" s="3" t="n">
        <v>200</v>
      </c>
      <c r="K24" s="3" t="n">
        <v>11000</v>
      </c>
      <c r="L24" s="3" t="inlineStr">
        <is>
          <t>VALIDATED_BUT_SECONDARY</t>
        </is>
      </c>
      <c r="M24" s="3" t="inlineStr">
        <is>
          <t>abre e serve, mas e' secundaria: republica o registo do Ministero com mais filtros. HTTP 200 · 11000 caracteres · 10 palavras do assunto · 0 datas legiveis. ⚠️ Isto NAO e' ainda VALIDATED: falta o exemplo real e a leitura humana.</t>
        </is>
      </c>
      <c r="N24" s="3" t="inlineStr">
        <is>
          <t>SECONDARY</t>
        </is>
      </c>
      <c r="O24" s="3" t="inlineStr"/>
      <c r="P24" s="3" t="inlineStr">
        <is>
          <t>NAO SEI</t>
        </is>
      </c>
      <c r="Q24" s="3" t="inlineStr">
        <is>
          <t>HIGH — segue o registo oficial</t>
        </is>
      </c>
      <c r="R24" s="3" t="inlineStr">
        <is>
          <t>DECLARADA</t>
        </is>
      </c>
      <c r="S24" s="3" t="inlineStr">
        <is>
          <t>a cadencia esta escrita, mas NENHUMA edicao foi contada no arquivo. Promessa da casa, nao medicao nossa.</t>
        </is>
      </c>
      <c r="T24" s="3" t="inlineStr">
        <is>
          <t>PORTFOLIO</t>
        </is>
      </c>
      <c r="U24" s="3" t="inlineStr">
        <is>
          <t>NACIONAL</t>
        </is>
      </c>
      <c r="V24" s="3" t="inlineStr">
        <is>
          <t>T4</t>
        </is>
      </c>
      <c r="W24" s="3" t="inlineStr"/>
      <c r="X24" s="3" t="inlineStr">
        <is>
          <t>⚠️ E' AGREGADOR, nao autoridade. Se divergir do Ministerio, o Ministerio vence. E a memoria do projeto diz que este dominio devolve 403 ao WebFetch e abre ao urllib.</t>
        </is>
      </c>
      <c r="Y24" s="3" t="inlineStr">
        <is>
          <t>2026-09-14 (sonda urllib, UA de navegador)</t>
        </is>
      </c>
    </row>
    <row r="25">
      <c r="A25" s="3" t="inlineStr">
        <is>
          <t>Convegno «Prodotti fitosanitari: le novità»</t>
        </is>
      </c>
      <c r="B25" s="3" t="inlineStr">
        <is>
          <t>Regione Emilia-Romagna — Settore Fitosanitario, com as empresas de agrofarmacos</t>
        </is>
      </c>
      <c r="C25" s="3" t="inlineStr">
        <is>
          <t>NAO</t>
        </is>
      </c>
      <c r="D25" s="3" t="inlineStr"/>
      <c r="E25" s="3" t="inlineStr">
        <is>
          <t>https://agricoltura.regione.emilia-romagna.it/fitosanitario/incontri-e-convegni/prodotti-fitosanitari-novita-2026</t>
        </is>
      </c>
      <c r="F25" s="3" t="inlineStr">
        <is>
          <t>https://agricoltura.regione.emilia-romagna.it/fitosanitario/incontri-e-convegni/prodotti-fitosanitari-novita-2026</t>
        </is>
      </c>
      <c r="G25" s="3" t="inlineStr">
        <is>
          <t>https://agricoltura.regione.emilia-romagna.it/fitosanitario/incontri-e-convegni/prodotti-fitosanitari-novita-2026</t>
        </is>
      </c>
      <c r="H25" s="3" t="inlineStr"/>
      <c r="I25" s="3" t="inlineStr">
        <is>
          <t>NAO</t>
        </is>
      </c>
      <c r="J25" s="3" t="n">
        <v>200</v>
      </c>
      <c r="K25" s="3" t="n">
        <v>6619</v>
      </c>
      <c r="L25" s="3" t="inlineStr">
        <is>
          <t>VALIDATED_USEFUL</t>
        </is>
      </c>
      <c r="M25" s="3" t="inlineStr">
        <is>
          <t>abre, fala do assunto, exemplo datado. lido na rota em https://agricoltura.regione.emilia-romagna.it/fitosanitario/incontri-e: datas 19 febbraio 2026 · 19 febbraio 2026 · 24-02-2026 · assunto avversit · bollettin · coltur · crop · fitosanitar · produzione integrata · registro · sta</t>
        </is>
      </c>
      <c r="N25" s="3" t="inlineStr">
        <is>
          <t>PRIMARY</t>
        </is>
      </c>
      <c r="O25" s="3" t="inlineStr">
        <is>
          <t>lido na rota em https://agricoltura.regione.emilia-romagna.it/fitosanitario/incontri-e: datas 19 febbraio 2026 · 19 febbraio 2026 · 24-02-2026 · assunto avversit · bollettin · coltur · crop · fitosanitar · produzione integrata · registro · sta</t>
        </is>
      </c>
      <c r="P25" s="3" t="inlineStr">
        <is>
          <t>19 febbraio 2026 · 19 febbraio 2026 · 24-02-2026</t>
        </is>
      </c>
      <c r="Q25" s="3" t="inlineStr">
        <is>
          <t>MEDIUM — anual, mas com data fixa e programa publicado</t>
        </is>
      </c>
      <c r="R25" s="3" t="inlineStr">
        <is>
          <t>OBSERVADA</t>
        </is>
      </c>
      <c r="S25" s="3" t="inlineStr">
        <is>
          <t>data lida na rota ou exemplo real datado</t>
        </is>
      </c>
      <c r="T25" s="3" t="inlineStr">
        <is>
          <t>COMPETITORS · FUTURE · PORTFOLIO</t>
        </is>
      </c>
      <c r="U25" s="3" t="inlineStr">
        <is>
          <t>Emilia-Romagna como sede; o conteudo e' NACIONAL</t>
        </is>
      </c>
      <c r="V25" s="3" t="inlineStr">
        <is>
          <t>T4 T9 T11</t>
        </is>
      </c>
      <c r="W25" s="3" t="inlineStr"/>
      <c r="X25" s="3" t="inlineStr">
        <is>
          <t>uma vez por ano. Nao substitui vigilancia continua da base oficial; serve para ler INTENCAO comercial, que a base nao mostra.</t>
        </is>
      </c>
      <c r="Y25" s="3" t="inlineStr">
        <is>
          <t>2026-09-14 (sonda urllib, UA de navegador)</t>
        </is>
      </c>
    </row>
    <row r="26">
      <c r="A26" s="3" t="inlineStr">
        <is>
          <t>Protezione delle Piante — Emergenze, Sorveglianza, Barriere</t>
        </is>
      </c>
      <c r="B26" s="3" t="inlineStr">
        <is>
          <t>Servizio Fitosanitario Nazionale (MASAF)</t>
        </is>
      </c>
      <c r="C26" s="3" t="inlineStr">
        <is>
          <t>NAO</t>
        </is>
      </c>
      <c r="D26" s="3" t="inlineStr"/>
      <c r="E26" s="3" t="inlineStr">
        <is>
          <t>https://www.protezionedellepiante.it/</t>
        </is>
      </c>
      <c r="F26" s="3" t="inlineStr">
        <is>
          <t>https://www.protezionedellepiante.it/</t>
        </is>
      </c>
      <c r="G26" s="3" t="inlineStr">
        <is>
          <t>https://www.protezionedellepiante.it/</t>
        </is>
      </c>
      <c r="H26" s="3" t="inlineStr"/>
      <c r="I26" s="3" t="inlineStr">
        <is>
          <t>NAO</t>
        </is>
      </c>
      <c r="J26" s="3" t="n">
        <v>200</v>
      </c>
      <c r="K26" s="3" t="n">
        <v>5781</v>
      </c>
      <c r="L26" s="3" t="inlineStr">
        <is>
          <t>VALIDATED_STRONG</t>
        </is>
      </c>
      <c r="M26" s="3" t="inlineStr">
        <is>
          <t>abre, fala do assunto, exemplo datado, recorrencia HIGH. lido na rota em https://www.protezionedellepiante.it/: datas 30 giugno 2026 · 12-08-2026 · 30 giugno 2026 · 11-08-2026 · assunto coltiv · coltur · fitosanitar · registro</t>
        </is>
      </c>
      <c r="N26" s="3" t="inlineStr">
        <is>
          <t>PRIMARY</t>
        </is>
      </c>
      <c r="O26" s="3" t="inlineStr">
        <is>
          <t>lido na rota em https://www.protezionedellepiante.it/: datas 30 giugno 2026 · 12-08-2026 · 30 giugno 2026 · 11-08-2026 · assunto coltiv · coltur · fitosanitar · registro</t>
        </is>
      </c>
      <c r="P26" s="3" t="inlineStr">
        <is>
          <t>30 giugno 2026 · 12-08-2026 · 30 giugno 2026 · 11-08-2026</t>
        </is>
      </c>
      <c r="Q26" s="3" t="inlineStr">
        <is>
          <t>HIGH — por evento, e evento ha sempre</t>
        </is>
      </c>
      <c r="R26" s="3" t="inlineStr">
        <is>
          <t>OBSERVADA</t>
        </is>
      </c>
      <c r="S26" s="3" t="inlineStr">
        <is>
          <t>data lida na rota ou exemplo real datado</t>
        </is>
      </c>
      <c r="T26" s="3" t="inlineStr">
        <is>
          <t>FUTURE · WINDOWS</t>
        </is>
      </c>
      <c r="U26" s="3" t="inlineStr">
        <is>
          <t>NACIONAL, com regiao na declaracao</t>
        </is>
      </c>
      <c r="V26" s="3" t="inlineStr">
        <is>
          <t>T3 T9</t>
        </is>
      </c>
      <c r="W26" s="3" t="inlineStr"/>
      <c r="X26" s="3" t="inlineStr">
        <is>
          <t>primeira detecao e' evento raro por definicao. Serie curta, valor alto — o contrario de um boletim semanal.</t>
        </is>
      </c>
      <c r="Y26" s="3" t="inlineStr">
        <is>
          <t>2026-09-14 (sonda urllib, UA de navegador)</t>
        </is>
      </c>
    </row>
    <row r="27">
      <c r="A27" s="3" t="inlineStr">
        <is>
          <t>Salute delle piante in Lombardia · app Fitodetective</t>
        </is>
      </c>
      <c r="B27" s="3" t="inlineStr">
        <is>
          <t>Regione Lombardia — Servizio Fitosanitario regionale</t>
        </is>
      </c>
      <c r="C27" s="3" t="inlineStr">
        <is>
          <t>NAO</t>
        </is>
      </c>
      <c r="D27" s="3" t="inlineStr"/>
      <c r="E27" s="3" t="inlineStr">
        <is>
          <t>https://www.salutepianteinlombardia.it/</t>
        </is>
      </c>
      <c r="F27" s="3" t="inlineStr">
        <is>
          <t>https://www.salutepianteinlombardia.it/</t>
        </is>
      </c>
      <c r="G27" s="3" t="inlineStr">
        <is>
          <t>https://www.salutepianteinlombardia.it/</t>
        </is>
      </c>
      <c r="H27" s="3" t="inlineStr"/>
      <c r="I27" s="3" t="inlineStr">
        <is>
          <t>NAO</t>
        </is>
      </c>
      <c r="J27" s="3" t="n">
        <v>200</v>
      </c>
      <c r="K27" s="3" t="n">
        <v>5251</v>
      </c>
      <c r="L27" s="3" t="inlineStr">
        <is>
          <t>VALIDATED_USEFUL</t>
        </is>
      </c>
      <c r="M27" s="3" t="inlineStr">
        <is>
          <t>abre, fala do assunto, exemplo datado. lido na rota em https://www.salutepianteinlombardia.it/: datas 21 Ottobre 2020 · assunto autorizzaz · clima · fitosanitar · malatti · parassit · plant protection</t>
        </is>
      </c>
      <c r="N27" s="3" t="inlineStr">
        <is>
          <t>PRIMARY</t>
        </is>
      </c>
      <c r="O27" s="3" t="inlineStr">
        <is>
          <t>lido na rota em https://www.salutepianteinlombardia.it/: datas 21 Ottobre 2020 · assunto autorizzaz · clima · fitosanitar · malatti · parassit · plant protection</t>
        </is>
      </c>
      <c r="P27" s="3" t="inlineStr">
        <is>
          <t>21 Ottobre 2020</t>
        </is>
      </c>
      <c r="Q27" s="3" t="inlineStr">
        <is>
          <t>MEDIUM — por evento</t>
        </is>
      </c>
      <c r="R27" s="3" t="inlineStr">
        <is>
          <t>OBSERVADA</t>
        </is>
      </c>
      <c r="S27" s="3" t="inlineStr">
        <is>
          <t>data lida na rota ou exemplo real datado</t>
        </is>
      </c>
      <c r="T27" s="3" t="inlineStr">
        <is>
          <t>FUTURE · VOICES</t>
        </is>
      </c>
      <c r="U27" s="3" t="inlineStr">
        <is>
          <t>Lombardia</t>
        </is>
      </c>
      <c r="V27" s="3" t="inlineStr">
        <is>
          <t>T3</t>
        </is>
      </c>
      <c r="W27" s="3" t="inlineStr"/>
      <c r="X27" s="3" t="inlineStr">
        <is>
          <t>reporte de cidadao nao e' diagnostico. Sem confirmacao do servico, e' suspeita — e suspeita nao e' primeira detecao.</t>
        </is>
      </c>
      <c r="Y27" s="3" t="inlineStr">
        <is>
          <t>2026-09-14 (sonda urllib, UA de navegador)</t>
        </is>
      </c>
    </row>
    <row r="28">
      <c r="A28" s="3" t="inlineStr">
        <is>
          <t>EU Pesticides Database + registo de conclusoes de peer review</t>
        </is>
      </c>
      <c r="B28" s="3" t="inlineStr">
        <is>
          <t>Comissao Europeia (DG SANTE) e EFSA</t>
        </is>
      </c>
      <c r="C28" s="3" t="inlineStr">
        <is>
          <t>NAO</t>
        </is>
      </c>
      <c r="D28" s="3" t="inlineStr"/>
      <c r="E28" s="3" t="inlineStr">
        <is>
          <t>https://food.ec.europa.eu/plants/pesticides/eu-pesticides-database_en</t>
        </is>
      </c>
      <c r="F28" s="3" t="inlineStr">
        <is>
          <t>https://food.ec.europa.eu/plants/pesticides/eu-pesticides-database_en</t>
        </is>
      </c>
      <c r="G28" s="3" t="inlineStr">
        <is>
          <t>https://food.ec.europa.eu/plants/pesticides/eu-pesticides-database_en</t>
        </is>
      </c>
      <c r="H28" s="3" t="inlineStr"/>
      <c r="I28" s="3" t="inlineStr">
        <is>
          <t>NAO</t>
        </is>
      </c>
      <c r="J28" s="3" t="n">
        <v>200</v>
      </c>
      <c r="K28" s="3" t="n">
        <v>5402</v>
      </c>
      <c r="L28" s="3" t="inlineStr">
        <is>
          <t>VALIDATED_BUT_SECONDARY</t>
        </is>
      </c>
      <c r="M28" s="3" t="inlineStr">
        <is>
          <t>abre e fala do assunto, mas SEM exemplo real datado na rota medida. a rota abre e fala do assunto (7 palavras), mas NAO achei data legivel na pagina de entrada. O exemplo datado costuma estar um clique adentro, e um clique adentro nao foi medido.</t>
        </is>
      </c>
      <c r="N28" s="3" t="inlineStr">
        <is>
          <t>SECONDARY</t>
        </is>
      </c>
      <c r="O28" s="3" t="inlineStr"/>
      <c r="P28" s="3" t="inlineStr">
        <is>
          <t>NAO SEI</t>
        </is>
      </c>
      <c r="Q28" s="3" t="inlineStr">
        <is>
          <t>HIGH — continua</t>
        </is>
      </c>
      <c r="R28" s="3" t="inlineStr">
        <is>
          <t>DECLARADA</t>
        </is>
      </c>
      <c r="S28" s="3" t="inlineStr">
        <is>
          <t>a cadencia esta escrita, mas NENHUMA edicao foi contada no arquivo. Promessa da casa, nao medicao nossa.</t>
        </is>
      </c>
      <c r="T28" s="3" t="inlineStr">
        <is>
          <t>FUTURE · PORTFOLIO</t>
        </is>
      </c>
      <c r="U28" s="3" t="inlineStr">
        <is>
          <t>EUROPEU — vale para Italia por via da UE</t>
        </is>
      </c>
      <c r="V28" s="3" t="inlineStr">
        <is>
          <t>T4 T9</t>
        </is>
      </c>
      <c r="W28" s="3" t="inlineStr"/>
      <c r="X28" s="3" t="inlineStr">
        <is>
          <t>⚠️ DUAS COISAS QUE NAO SE MISTURAM: substancia ativa aprovada na UE ≠ produto autorizado em Italia. A mesma substancia pode estar aprovada e nao ter produto nacional. E ⚠️ O PRAZO MUDOU: o pacote Omnibus altera o art. 43 — pedido de renovacao de AUTORIZACAO passa a ate 9 meses antes de expirar (3 meses se a substancia tiver aprovacao limitada). Quem calcular pela regra antiga erra a data.</t>
        </is>
      </c>
      <c r="Y28" s="3" t="inlineStr">
        <is>
          <t>2026-09-14 (sonda urllib, UA de navegador)</t>
        </is>
      </c>
    </row>
    <row r="29">
      <c r="A29" s="3" t="inlineStr">
        <is>
          <t>SCIA — Sistema nazionale per l'elaborazione e diffusione di dati climatici</t>
        </is>
      </c>
      <c r="B29" s="3" t="inlineStr">
        <is>
          <t>ISPRA</t>
        </is>
      </c>
      <c r="C29" s="3" t="inlineStr">
        <is>
          <t>NAO</t>
        </is>
      </c>
      <c r="D29" s="3" t="inlineStr"/>
      <c r="E29" s="3" t="inlineStr">
        <is>
          <t>https://scia.isprambiente.it/dati-e-indicatori/</t>
        </is>
      </c>
      <c r="F29" s="3" t="inlineStr">
        <is>
          <t>https://scia.isprambiente.it/dati-e-indicatori/</t>
        </is>
      </c>
      <c r="G29" s="3" t="inlineStr">
        <is>
          <t>https://scia.isprambiente.it/dati-e-indicatori/</t>
        </is>
      </c>
      <c r="H29" s="3" t="inlineStr"/>
      <c r="I29" s="3" t="inlineStr">
        <is>
          <t>NAO</t>
        </is>
      </c>
      <c r="J29" s="3" t="n">
        <v>200</v>
      </c>
      <c r="K29" s="3" t="n">
        <v>3937</v>
      </c>
      <c r="L29" s="3" t="inlineStr">
        <is>
          <t>VALIDATED_BUT_SECONDARY</t>
        </is>
      </c>
      <c r="M29" s="3" t="inlineStr">
        <is>
          <t>abre e fala do assunto, mas SEM exemplo real datado na rota medida. sem sinal suficiente para chamar de exemplo</t>
        </is>
      </c>
      <c r="N29" s="3" t="inlineStr">
        <is>
          <t>SECONDARY</t>
        </is>
      </c>
      <c r="O29" s="3" t="inlineStr"/>
      <c r="P29" s="3" t="inlineStr">
        <is>
          <t>NAO SEI</t>
        </is>
      </c>
      <c r="Q29" s="3" t="inlineStr">
        <is>
          <t>HIGH — serie continua</t>
        </is>
      </c>
      <c r="R29" s="3" t="inlineStr">
        <is>
          <t>DECLARADA</t>
        </is>
      </c>
      <c r="S29" s="3" t="inlineStr">
        <is>
          <t>a cadencia esta escrita, mas NENHUMA edicao foi contada no arquivo. Promessa da casa, nao medicao nossa.</t>
        </is>
      </c>
      <c r="T29" s="3" t="inlineStr">
        <is>
          <t>FUTURE · MARKET · WINDOWS</t>
        </is>
      </c>
      <c r="U29" s="3" t="inlineStr">
        <is>
          <t>NACIONAL — agrega as redes regionais</t>
        </is>
      </c>
      <c r="V29" s="3" t="inlineStr">
        <is>
          <t>T2</t>
        </is>
      </c>
      <c r="W29" s="3" t="inlineStr"/>
      <c r="X29" s="3" t="inlineStr">
        <is>
          <t>descarga por interface, nao API REST documentada. Automatizar exige trabalho, e esse trabalho nao esta feito.</t>
        </is>
      </c>
      <c r="Y29" s="3" t="inlineStr">
        <is>
          <t>2026-09-14 (sonda urllib, UA de navegador)</t>
        </is>
      </c>
    </row>
    <row r="30">
      <c r="A30" s="3" t="inlineStr">
        <is>
          <t>ERG5 e o indicador «Anomalia della sommatoria gradi giorno»</t>
        </is>
      </c>
      <c r="B30" s="3" t="inlineStr">
        <is>
          <t>Arpae Emilia-Romagna</t>
        </is>
      </c>
      <c r="C30" s="3" t="inlineStr">
        <is>
          <t>NAO</t>
        </is>
      </c>
      <c r="D30" s="3" t="inlineStr"/>
      <c r="E30" s="3" t="inlineStr">
        <is>
          <t>https://webbook.arpae.it/clima/</t>
        </is>
      </c>
      <c r="F30" s="3" t="inlineStr">
        <is>
          <t>https://webbook.arpae.it/clima/</t>
        </is>
      </c>
      <c r="G30" s="3" t="inlineStr">
        <is>
          <t>https://webbook.arpae.it/clima/</t>
        </is>
      </c>
      <c r="H30" s="3" t="inlineStr"/>
      <c r="I30" s="3" t="inlineStr">
        <is>
          <t>NAO</t>
        </is>
      </c>
      <c r="J30" s="3" t="n">
        <v>200</v>
      </c>
      <c r="K30" s="3" t="n">
        <v>7218</v>
      </c>
      <c r="L30" s="3" t="inlineStr">
        <is>
          <t>VALIDATED_BUT_SECONDARY</t>
        </is>
      </c>
      <c r="M30" s="3" t="inlineStr">
        <is>
          <t>abre e fala do assunto, mas SEM exemplo real datado na rota medida. a rota abre e fala do assunto (5 palavras), mas NAO achei data legivel na pagina de entrada. O exemplo datado costuma estar um clique adentro, e um clique adentro nao foi medido.</t>
        </is>
      </c>
      <c r="N30" s="3" t="inlineStr">
        <is>
          <t>SECONDARY</t>
        </is>
      </c>
      <c r="O30" s="3" t="inlineStr"/>
      <c r="P30" s="3" t="inlineStr">
        <is>
          <t>NAO SEI</t>
        </is>
      </c>
      <c r="Q30" s="3" t="inlineStr">
        <is>
          <t>HIGH — semanal (mapas) sobre serie de 1961</t>
        </is>
      </c>
      <c r="R30" s="3" t="inlineStr">
        <is>
          <t>DECLARADA</t>
        </is>
      </c>
      <c r="S30" s="3" t="inlineStr">
        <is>
          <t>a cadencia esta escrita, mas NENHUMA edicao foi contada no arquivo. Promessa da casa, nao medicao nossa.</t>
        </is>
      </c>
      <c r="T30" s="3" t="inlineStr">
        <is>
          <t>FUTURE · WINDOWS</t>
        </is>
      </c>
      <c r="U30" s="3" t="inlineStr">
        <is>
          <t>Emilia-Romagna, em grelha de 5 km</t>
        </is>
      </c>
      <c r="V30" s="3" t="inlineStr">
        <is>
          <t>T2</t>
        </is>
      </c>
      <c r="W30" s="3" t="inlineStr"/>
      <c r="X30" s="3" t="inlineStr">
        <is>
          <t>uma regiao. O metodo e' o modelo a copiar; a cobertura nao e'.</t>
        </is>
      </c>
      <c r="Y30" s="3" t="inlineStr">
        <is>
          <t>2026-09-14 (sonda urllib, UA de navegador)</t>
        </is>
      </c>
    </row>
    <row r="31">
      <c r="A31" s="3" t="inlineStr">
        <is>
          <t>Banca Dati Storica meteo-idro-nivologica</t>
        </is>
      </c>
      <c r="B31" s="3" t="inlineStr">
        <is>
          <t>Arpa Piemonte</t>
        </is>
      </c>
      <c r="C31" s="3" t="inlineStr">
        <is>
          <t>NAO</t>
        </is>
      </c>
      <c r="D31" s="3" t="inlineStr"/>
      <c r="E31" s="3" t="inlineStr">
        <is>
          <t>https://www.arpa.piemonte.it/dato/banca-dati-storica-dati-giornalieri-mensili</t>
        </is>
      </c>
      <c r="F31" s="3" t="inlineStr">
        <is>
          <t>https://www.arpa.piemonte.it/dato/banca-dati-storica-dati-giornalieri-mensili</t>
        </is>
      </c>
      <c r="G31" s="3" t="inlineStr">
        <is>
          <t>https://www.arpa.piemonte.it/dato/banca-dati-storica-dati-giornalieri-mensili</t>
        </is>
      </c>
      <c r="H31" s="3" t="inlineStr"/>
      <c r="I31" s="3" t="inlineStr">
        <is>
          <t>NAO</t>
        </is>
      </c>
      <c r="J31" s="3" t="n">
        <v>0</v>
      </c>
      <c r="K31" s="3" t="n">
        <v>0</v>
      </c>
      <c r="L31" s="3" t="inlineStr">
        <is>
          <t>UNKNOWN</t>
        </is>
      </c>
      <c r="M31" s="3" t="inlineStr">
        <is>
          <t>o DNS DESTA MAQUINA nao resolve «www.arpa.piemonte.it», mas o resolve no DNS publico: 84.240.178.144, 84.240.178.132, 84.240.178.150. ⚠️ A FONTE ESTA VIVA; o limite e' nosso. Escrever BROKEN aqui apagaria do acervo uma agencia regional que publica. Pede outra rota de saida (VPN, outro resolvedor), nao outra fonte.</t>
        </is>
      </c>
      <c r="N31" s="3" t="inlineStr">
        <is>
          <t>PRIMARY</t>
        </is>
      </c>
      <c r="O31" s="3" t="inlineStr"/>
      <c r="P31" s="3" t="inlineStr">
        <is>
          <t>NAO SEI</t>
        </is>
      </c>
      <c r="Q31" s="3" t="inlineStr">
        <is>
          <t>HIGH — diaria</t>
        </is>
      </c>
      <c r="R31" s="3" t="inlineStr">
        <is>
          <t>DECLARADA</t>
        </is>
      </c>
      <c r="S31" s="3" t="inlineStr">
        <is>
          <t>a cadencia esta escrita, mas NENHUMA edicao foi contada no arquivo. Promessa da casa, nao medicao nossa.</t>
        </is>
      </c>
      <c r="T31" s="3" t="inlineStr">
        <is>
          <t>FUTURE · MARKET</t>
        </is>
      </c>
      <c r="U31" s="3" t="inlineStr">
        <is>
          <t>Piemonte</t>
        </is>
      </c>
      <c r="V31" s="3" t="inlineStr">
        <is>
          <t>T2</t>
        </is>
      </c>
      <c r="W31" s="3" t="inlineStr"/>
      <c r="X31" s="3" t="inlineStr">
        <is>
          <t>serie longa nao e' serie homogenea. Comparar 1753 com 2026 exige correcao que nao vem feita.</t>
        </is>
      </c>
      <c r="Y31" s="3" t="inlineStr">
        <is>
          <t>2026-09-14 (sonda urllib, UA de navegador)</t>
        </is>
      </c>
    </row>
    <row r="32">
      <c r="A32" s="3" t="inlineStr">
        <is>
          <t>Rete agrometeorologica regionale (archivio dati)</t>
        </is>
      </c>
      <c r="B32" s="3" t="inlineStr">
        <is>
          <t>Regione Campania — Assessorato Agricoltura</t>
        </is>
      </c>
      <c r="C32" s="3" t="inlineStr">
        <is>
          <t>NAO</t>
        </is>
      </c>
      <c r="D32" s="3" t="inlineStr"/>
      <c r="E32" s="3" t="inlineStr">
        <is>
          <t>https://agricoltura.regione.campania.it/meteo/archivio_meteo.html</t>
        </is>
      </c>
      <c r="F32" s="3" t="inlineStr">
        <is>
          <t>https://agricoltura.regione.campania.it/meteo/archivio_meteo.html</t>
        </is>
      </c>
      <c r="G32" s="3" t="inlineStr">
        <is>
          <t>https://agricoltura.regione.campania.it/meteo/archivio_meteo.html</t>
        </is>
      </c>
      <c r="H32" s="3" t="inlineStr"/>
      <c r="I32" s="3" t="inlineStr">
        <is>
          <t>NAO</t>
        </is>
      </c>
      <c r="J32" s="3" t="n">
        <v>200</v>
      </c>
      <c r="K32" s="3" t="n">
        <v>839</v>
      </c>
      <c r="L32" s="3" t="inlineStr">
        <is>
          <t>VALIDATED_STRONG</t>
        </is>
      </c>
      <c r="M32" s="3" t="inlineStr">
        <is>
          <t>abre, fala do assunto, exemplo datado, recorrencia HIGH. lido na rota em https://agricoltura.regione.campania.it/meteo/archivio_meteo.html: datas 3 gennaio 2025 · assunto agrometeo · coltur · stazioni</t>
        </is>
      </c>
      <c r="N32" s="3" t="inlineStr">
        <is>
          <t>PRIMARY</t>
        </is>
      </c>
      <c r="O32" s="3" t="inlineStr">
        <is>
          <t>lido na rota em https://agricoltura.regione.campania.it/meteo/archivio_meteo.html: datas 3 gennaio 2025 · assunto agrometeo · coltur · stazioni</t>
        </is>
      </c>
      <c r="P32" s="3" t="inlineStr">
        <is>
          <t>3 gennaio 2025</t>
        </is>
      </c>
      <c r="Q32" s="3" t="inlineStr">
        <is>
          <t>HIGH — diaria</t>
        </is>
      </c>
      <c r="R32" s="3" t="inlineStr">
        <is>
          <t>OBSERVADA</t>
        </is>
      </c>
      <c r="S32" s="3" t="inlineStr">
        <is>
          <t>data lida na rota ou exemplo real datado</t>
        </is>
      </c>
      <c r="T32" s="3" t="inlineStr">
        <is>
          <t>FUTURE · WINDOWS</t>
        </is>
      </c>
      <c r="U32" s="3" t="inlineStr">
        <is>
          <t>Campania</t>
        </is>
      </c>
      <c r="V32" s="3" t="inlineStr">
        <is>
          <t>T2 T3</t>
        </is>
      </c>
      <c r="W32" s="3" t="inlineStr"/>
      <c r="X32" s="3" t="inlineStr">
        <is>
          <t>Excel por interface. E a memoria do projeto ja registou o mesmo parametro na ARPAV por API REST sem chave — a ARPAV e' a rota mais facil para o mesmo tipo de dado.</t>
        </is>
      </c>
      <c r="Y32" s="3" t="inlineStr">
        <is>
          <t>2026-09-14 (sonda urllib, UA de navegador)</t>
        </is>
      </c>
    </row>
    <row r="33">
      <c r="A33" s="3" t="inlineStr">
        <is>
          <t>Giornate Fitopatologiche — atti e programma</t>
        </is>
      </c>
      <c r="B33" s="3" t="inlineStr">
        <is>
          <t>Comitato delle Giornate Fitopatologiche (universidades italianas)</t>
        </is>
      </c>
      <c r="C33" s="3" t="inlineStr">
        <is>
          <t>NAO</t>
        </is>
      </c>
      <c r="D33" s="3" t="inlineStr"/>
      <c r="E33" s="3" t="inlineStr">
        <is>
          <t>https://giornatefitopatologiche.it/</t>
        </is>
      </c>
      <c r="F33" s="3" t="inlineStr">
        <is>
          <t>https://giornatefitopatologiche.it/it/home/1</t>
        </is>
      </c>
      <c r="G33" s="3" t="inlineStr">
        <is>
          <t>https://giornatefitopatologiche.it/it/home/1</t>
        </is>
      </c>
      <c r="H33" s="3" t="inlineStr"/>
      <c r="I33" s="3" t="inlineStr">
        <is>
          <t>SIM</t>
        </is>
      </c>
      <c r="J33" s="3" t="n">
        <v>200</v>
      </c>
      <c r="K33" s="3" t="n">
        <v>1705</v>
      </c>
      <c r="L33" s="3" t="inlineStr">
        <is>
          <t>VALIDATED_BUT_SECONDARY</t>
        </is>
      </c>
      <c r="M33" s="3" t="inlineStr">
        <is>
          <t>abre e fala do assunto, mas SEM exemplo real datado na rota medida. sem sinal suficiente para chamar de exemplo</t>
        </is>
      </c>
      <c r="N33" s="3" t="inlineStr">
        <is>
          <t>SECONDARY</t>
        </is>
      </c>
      <c r="O33" s="3" t="inlineStr"/>
      <c r="P33" s="3" t="inlineStr">
        <is>
          <t>13/05/2026 · 11/04/2026 · 25/03/2024 · 18/12/2025</t>
        </is>
      </c>
      <c r="Q33" s="3" t="inlineStr">
        <is>
          <t>MEDIUM — bienal/anual, com atas publicadas</t>
        </is>
      </c>
      <c r="R33" s="3" t="inlineStr">
        <is>
          <t>OBSERVADA</t>
        </is>
      </c>
      <c r="S33" s="3" t="inlineStr">
        <is>
          <t>data lida na rota ou exemplo real datado</t>
        </is>
      </c>
      <c r="T33" s="3" t="inlineStr">
        <is>
          <t>COMPETITORS · SCIENCE</t>
        </is>
      </c>
      <c r="U33" s="3" t="inlineStr">
        <is>
          <t>NACIONAL</t>
        </is>
      </c>
      <c r="V33" s="3" t="inlineStr">
        <is>
          <t>T5 T11</t>
        </is>
      </c>
      <c r="W33" s="3" t="inlineStr"/>
      <c r="X33" s="3" t="inlineStr">
        <is>
          <t>atas sao evento, nao fluxo. Entre edicoes, silencio.</t>
        </is>
      </c>
      <c r="Y33" s="3" t="inlineStr">
        <is>
          <t>2026-09-14 (sonda urllib, UA de navegador)</t>
        </is>
      </c>
    </row>
    <row r="34">
      <c r="A34" s="3" t="inlineStr">
        <is>
          <t>Centri di saggio con certificazione GEP</t>
        </is>
      </c>
      <c r="B34" s="3" t="inlineStr">
        <is>
          <t>privados: Agrea (agrea.it), Sagea (sagea.com), AgriSearch (agrisearch-innovations.com), Agro Services (agroservicesperimentazione.com), Agritec (agritecsrl.it), Repros (repros.vi.it)</t>
        </is>
      </c>
      <c r="C34" s="3" t="inlineStr">
        <is>
          <t>NAO</t>
        </is>
      </c>
      <c r="D34" s="3" t="inlineStr"/>
      <c r="E34" s="3" t="inlineStr">
        <is>
          <t>https://www.agrea.it/</t>
        </is>
      </c>
      <c r="F34" s="3" t="inlineStr">
        <is>
          <t>https://www.agrea.it/</t>
        </is>
      </c>
      <c r="G34" s="3" t="inlineStr">
        <is>
          <t>https://www.agrea.it/</t>
        </is>
      </c>
      <c r="H34" s="3" t="inlineStr"/>
      <c r="I34" s="3" t="inlineStr">
        <is>
          <t>NAO</t>
        </is>
      </c>
      <c r="J34" s="3" t="n">
        <v>200</v>
      </c>
      <c r="K34" s="3" t="n">
        <v>2258</v>
      </c>
      <c r="L34" s="3" t="inlineStr">
        <is>
          <t>WRONG_SOURCE</t>
        </is>
      </c>
      <c r="M34" s="3" t="inlineStr">
        <is>
          <t>nao e' rota quebrada: e' fonte que NAO PODE publicar o dado. Gap de acesso, decidido na missao anterior.</t>
        </is>
      </c>
      <c r="N34" s="3" t="inlineStr">
        <is>
          <t>PRIMARY</t>
        </is>
      </c>
      <c r="O34" s="3" t="inlineStr"/>
      <c r="P34" s="3" t="inlineStr">
        <is>
          <t>16/02/2026 · 21/01/2026 · 16 gennaio 2026 · 18/12/2025</t>
        </is>
      </c>
      <c r="Q34" s="3" t="inlineStr">
        <is>
          <t>LOW — para efeito de publicacao</t>
        </is>
      </c>
      <c r="R34" s="3" t="inlineStr">
        <is>
          <t>OBSERVADA</t>
        </is>
      </c>
      <c r="S34" s="3" t="inlineStr">
        <is>
          <t>data lida na rota ou exemplo real datado</t>
        </is>
      </c>
      <c r="T34" s="3" t="inlineStr">
        <is>
          <t>COMPETITORS · SCIENCE</t>
        </is>
      </c>
      <c r="U34" s="3" t="inlineStr">
        <is>
          <t>NACIONAL</t>
        </is>
      </c>
      <c r="V34" s="3" t="inlineStr">
        <is>
          <t>T5 T8</t>
        </is>
      </c>
      <c r="W34" s="3" t="inlineStr"/>
      <c r="X34" s="3" t="inlineStr">
        <is>
          <t>⚠️ ISTO NAO E' UM GAP DE FONTE — E' UM GAP DE ACESSO. Nenhuma coleta resolve: o dado existe, tem dono, e o dono nao publica. A via para ter resultado de ensaio e' contratual, nao tecnica. Estes seis ficam no acervo como REDE DE PESSOAS (T8), nao como fonte de resultado. O caminho divulgavel e': boletins e provas demonstrativas dos servicos regionais, atas das Giornate Fitopatologiche e da AIPP/SIPaV, e a base de rotulos do Ministerio.</t>
        </is>
      </c>
      <c r="Y34" s="3" t="inlineStr">
        <is>
          <t>2026-09-14 (sonda urllib, UA de navegador)</t>
        </is>
      </c>
    </row>
    <row r="35">
      <c r="A35" s="3" t="inlineStr">
        <is>
          <t>AgriEvents — calendario di eventi tecnici regionali</t>
        </is>
      </c>
      <c r="B35" s="3" t="inlineStr">
        <is>
          <t>Regione Emilia-Romagna</t>
        </is>
      </c>
      <c r="C35" s="3" t="inlineStr">
        <is>
          <t>NAO</t>
        </is>
      </c>
      <c r="D35" s="3" t="inlineStr"/>
      <c r="E35" s="3" t="inlineStr">
        <is>
          <t>https://agricoltura.regione.emilia-romagna.it/fitosanitario/eventi/</t>
        </is>
      </c>
      <c r="F35" s="3" t="inlineStr">
        <is>
          <t>https://agricoltura.regione.emilia-romagna.it/fitosanitario/eventi/</t>
        </is>
      </c>
      <c r="G35" s="3" t="inlineStr">
        <is>
          <t>https://agricoltura.regione.emilia-romagna.it/fitosanitario/eventi/</t>
        </is>
      </c>
      <c r="H35" s="3" t="inlineStr"/>
      <c r="I35" s="3" t="inlineStr">
        <is>
          <t>NAO</t>
        </is>
      </c>
      <c r="J35" s="3" t="n">
        <v>200</v>
      </c>
      <c r="K35" s="3" t="n">
        <v>1906</v>
      </c>
      <c r="L35" s="3" t="inlineStr">
        <is>
          <t>VALIDATED_BUT_SECONDARY</t>
        </is>
      </c>
      <c r="M35" s="3" t="inlineStr">
        <is>
          <t>abre e serve, mas e' secundaria: agenda de eventos de terceiros. HTTP 200 · 1906 caracteres · 7 palavras do assunto · 1 datas legiveis. ⚠️ Isto NAO e' ainda VALIDATED: falta o exemplo real e a leitura humana.</t>
        </is>
      </c>
      <c r="N35" s="3" t="inlineStr">
        <is>
          <t>SECONDARY</t>
        </is>
      </c>
      <c r="O35" s="3" t="inlineStr">
        <is>
          <t>lido na rota em https://agricoltura.regione.emilia-romagna.it/fitosanitario/eventi/: datas 04-06-2026 · assunto avversit · bollettin · coltur · fitosanitar · produzione integrata · registro · stazioni</t>
        </is>
      </c>
      <c r="P35" s="3" t="inlineStr">
        <is>
          <t>04-06-2026</t>
        </is>
      </c>
      <c r="Q35" s="3" t="inlineStr">
        <is>
          <t>HIGH — calendario vivo</t>
        </is>
      </c>
      <c r="R35" s="3" t="inlineStr">
        <is>
          <t>OBSERVADA</t>
        </is>
      </c>
      <c r="S35" s="3" t="inlineStr">
        <is>
          <t>data lida na rota ou exemplo real datado</t>
        </is>
      </c>
      <c r="T35" s="3" t="inlineStr">
        <is>
          <t>COMPETITORS</t>
        </is>
      </c>
      <c r="U35" s="3" t="inlineStr">
        <is>
          <t>Emilia-Romagna</t>
        </is>
      </c>
      <c r="V35" s="3" t="inlineStr">
        <is>
          <t>T11 T8</t>
        </is>
      </c>
      <c r="W35" s="3" t="inlineStr"/>
      <c r="X35" s="3" t="inlineStr">
        <is>
          <t>uma regiao. ⚠️ E A BUSCA ESTABELECEU QUE NAO EXISTE calendario unico nacional de jornadas demonstrativas regiao a regiao. Para Bayer, Corteva e BASF, o calendario esta no sitio de cada uma — ou seja: cobertura nacional de atividade de concorrente exige vigiar N sitios, nao um.</t>
        </is>
      </c>
      <c r="Y35" s="3" t="inlineStr">
        <is>
          <t>2026-09-14 (sonda urllib, UA de navegador)</t>
        </is>
      </c>
    </row>
    <row r="36">
      <c r="A36" s="3" t="inlineStr">
        <is>
          <t>Demo Days e open day de sementes horticolas</t>
        </is>
      </c>
      <c r="B36" s="3" t="inlineStr">
        <is>
          <t>Syngenta Italia / Syngenta Vegetable Seeds</t>
        </is>
      </c>
      <c r="C36" s="3" t="inlineStr">
        <is>
          <t>NAO</t>
        </is>
      </c>
      <c r="D36" s="3" t="inlineStr"/>
      <c r="E36" s="3" t="inlineStr">
        <is>
          <t>https://www.syngentavegetables.com/it-it/open-day/demo-days-colture-foglia-e-brassicacee-2026</t>
        </is>
      </c>
      <c r="F36" s="3" t="inlineStr">
        <is>
          <t>https://www.syngentavegetables.com/it-it/open-day/demo-days-colture-foglia-e-brassicacee-2026</t>
        </is>
      </c>
      <c r="G36" s="3" t="inlineStr">
        <is>
          <t>https://www.syngentavegetables.com/it-it/open-day/demo-days-colture-foglia-e-brassicacee-2026</t>
        </is>
      </c>
      <c r="H36" s="3" t="inlineStr"/>
      <c r="I36" s="3" t="inlineStr">
        <is>
          <t>NAO</t>
        </is>
      </c>
      <c r="J36" s="3" t="n">
        <v>403</v>
      </c>
      <c r="K36" s="3" t="n">
        <v>1711</v>
      </c>
      <c r="L36" s="3" t="inlineStr">
        <is>
          <t>BLOCKED</t>
        </is>
      </c>
      <c r="M36" s="3" t="inlineStr">
        <is>
          <t>HTTP 403. ⚠️ BLOCKED NAO E' BROKEN: o servidor responde e recusa-me a entrada. A fonte pode estar viva e publicar — pede outra rota, nao outra fonte.</t>
        </is>
      </c>
      <c r="N36" s="3" t="inlineStr">
        <is>
          <t>SECONDARY</t>
        </is>
      </c>
      <c r="O36" s="3" t="inlineStr"/>
      <c r="P36" s="3" t="inlineStr">
        <is>
          <t>NAO SEI</t>
        </is>
      </c>
      <c r="Q36" s="3" t="inlineStr">
        <is>
          <t>MEDIUM — sazonal</t>
        </is>
      </c>
      <c r="R36" s="3" t="inlineStr">
        <is>
          <t>DECLARADA</t>
        </is>
      </c>
      <c r="S36" s="3" t="inlineStr">
        <is>
          <t>a cadencia esta escrita, mas NENHUMA edicao foi contada no arquivo. Promessa da casa, nao medicao nossa.</t>
        </is>
      </c>
      <c r="T36" s="3" t="inlineStr">
        <is>
          <t>COMPETITORS</t>
        </is>
      </c>
      <c r="U36" s="3" t="inlineStr">
        <is>
          <t>NACIONAL, por evento</t>
        </is>
      </c>
      <c r="V36" s="3" t="inlineStr">
        <is>
          <t>T8 T11</t>
        </is>
      </c>
      <c r="W36" s="3" t="inlineStr"/>
      <c r="X36" s="3" t="inlineStr">
        <is>
          <t>⚠️ EXIGE REGISTO, e e' comunicacao da propria empresa. Isto e' atividade publica declarada, nao informacao independente.</t>
        </is>
      </c>
      <c r="Y36" s="3" t="inlineStr">
        <is>
          <t>2026-09-14 (sonda urllib, UA de navegador)</t>
        </is>
      </c>
    </row>
    <row r="37">
      <c r="A37" s="3" t="inlineStr">
        <is>
          <t>Catalogo annuale di gamma</t>
        </is>
      </c>
      <c r="B37" s="3" t="inlineStr">
        <is>
          <t>Syngenta Italia</t>
        </is>
      </c>
      <c r="C37" s="3" t="inlineStr">
        <is>
          <t>NAO</t>
        </is>
      </c>
      <c r="D37" s="3" t="inlineStr"/>
      <c r="E37" s="3" t="inlineStr">
        <is>
          <t>https://www.syngenta.it/catalogo-syngenta-2026-le-persone-al-centro</t>
        </is>
      </c>
      <c r="F37" s="3" t="inlineStr">
        <is>
          <t>https://www.syngenta.it/catalogo-syngenta-2026-le-persone-al-centro</t>
        </is>
      </c>
      <c r="G37" s="3" t="inlineStr">
        <is>
          <t>https://www.syngenta.it/catalogo-syngenta-2026-le-persone-al-centro</t>
        </is>
      </c>
      <c r="H37" s="3" t="inlineStr"/>
      <c r="I37" s="3" t="inlineStr">
        <is>
          <t>NAO</t>
        </is>
      </c>
      <c r="J37" s="3" t="n">
        <v>403</v>
      </c>
      <c r="K37" s="3" t="n">
        <v>1704</v>
      </c>
      <c r="L37" s="3" t="inlineStr">
        <is>
          <t>BLOCKED</t>
        </is>
      </c>
      <c r="M37" s="3" t="inlineStr">
        <is>
          <t>HTTP 403. ⚠️ BLOCKED NAO E' BROKEN: o servidor responde e recusa-me a entrada. A fonte pode estar viva e publicar — pede outra rota, nao outra fonte.</t>
        </is>
      </c>
      <c r="N37" s="3" t="inlineStr">
        <is>
          <t>SECONDARY</t>
        </is>
      </c>
      <c r="O37" s="3" t="inlineStr"/>
      <c r="P37" s="3" t="inlineStr">
        <is>
          <t>NAO SEI</t>
        </is>
      </c>
      <c r="Q37" s="3" t="inlineStr">
        <is>
          <t>MEDIUM — anual</t>
        </is>
      </c>
      <c r="R37" s="3" t="inlineStr">
        <is>
          <t>DECLARADA</t>
        </is>
      </c>
      <c r="S37" s="3" t="inlineStr">
        <is>
          <t>a cadencia esta escrita, mas NENHUMA edicao foi contada no arquivo. Promessa da casa, nao medicao nossa.</t>
        </is>
      </c>
      <c r="T37" s="3" t="inlineStr">
        <is>
          <t>COMPETITORS</t>
        </is>
      </c>
      <c r="U37" s="3" t="inlineStr">
        <is>
          <t>NACIONAL</t>
        </is>
      </c>
      <c r="V37" s="3" t="inlineStr">
        <is>
          <t>T8</t>
        </is>
      </c>
      <c r="W37" s="3" t="inlineStr"/>
      <c r="X37" s="3" t="inlineStr">
        <is>
          <t>material comercial do proprio. Diz o que a empresa quer dizer.</t>
        </is>
      </c>
      <c r="Y37" s="3" t="inlineStr">
        <is>
          <t>2026-09-14 (sonda urllib, UA de navegador)</t>
        </is>
      </c>
    </row>
    <row r="38">
      <c r="A38" s="3" t="inlineStr">
        <is>
          <t>Federazioni e Ordini dei Dottori Agronomi e Forestali</t>
        </is>
      </c>
      <c r="B38" s="3" t="inlineStr">
        <is>
          <t>CONAF e as federacoes regionais</t>
        </is>
      </c>
      <c r="C38" s="3" t="inlineStr">
        <is>
          <t>NAO</t>
        </is>
      </c>
      <c r="D38" s="3" t="inlineStr"/>
      <c r="E38" s="3" t="inlineStr">
        <is>
          <t>https://www.conaf.it/</t>
        </is>
      </c>
      <c r="F38" s="3" t="inlineStr">
        <is>
          <t>https://www.conaf.it/</t>
        </is>
      </c>
      <c r="G38" s="3" t="inlineStr">
        <is>
          <t>https://www.conaf.it/</t>
        </is>
      </c>
      <c r="H38" s="3" t="inlineStr"/>
      <c r="I38" s="3" t="inlineStr">
        <is>
          <t>NAO</t>
        </is>
      </c>
      <c r="J38" s="3" t="n">
        <v>200</v>
      </c>
      <c r="K38" s="3" t="n">
        <v>7140</v>
      </c>
      <c r="L38" s="3" t="inlineStr">
        <is>
          <t>VALIDATED_BUT_SECONDARY</t>
        </is>
      </c>
      <c r="M38" s="3" t="inlineStr">
        <is>
          <t>abre e fala do assunto, mas SEM exemplo real datado na rota medida. sem sinal suficiente para chamar de exemplo</t>
        </is>
      </c>
      <c r="N38" s="3" t="inlineStr">
        <is>
          <t>SECONDARY</t>
        </is>
      </c>
      <c r="O38" s="3" t="inlineStr"/>
      <c r="P38" s="3" t="inlineStr">
        <is>
          <t>23/09/2026 · 23/09/2026 · 14.09.2026 · 14/10/2026</t>
        </is>
      </c>
      <c r="Q38" s="3" t="inlineStr">
        <is>
          <t>HIGH — o albo e' mantido</t>
        </is>
      </c>
      <c r="R38" s="3" t="inlineStr">
        <is>
          <t>OBSERVADA</t>
        </is>
      </c>
      <c r="S38" s="3" t="inlineStr">
        <is>
          <t>data lida na rota ou exemplo real datado</t>
        </is>
      </c>
      <c r="T38" s="3" t="inlineStr">
        <is>
          <t>FIELD_NET · VOICES</t>
        </is>
      </c>
      <c r="U38" s="3" t="inlineStr">
        <is>
          <t>NACIONAL, por federacao regional</t>
        </is>
      </c>
      <c r="V38" s="3" t="inlineStr">
        <is>
          <t>T8</t>
        </is>
      </c>
      <c r="W38" s="3" t="inlineStr"/>
      <c r="X38" s="3" t="inlineStr">
        <is>
          <t>⚠️ O ALBO NAO E' UMA FONTE DE OBSERVACAO DE CAMPO. Da o papel e a regiao de QUEM fala. Nao da o que foi visto nem quando. Serve para ENRIQUECER uma voz, nao para a criar.</t>
        </is>
      </c>
      <c r="Y38" s="3" t="inlineStr">
        <is>
          <t>2026-09-14 (sonda urllib, UA de navegador)</t>
        </is>
      </c>
    </row>
    <row r="39">
      <c r="A39" s="3" t="inlineStr">
        <is>
          <t>Boletim tecnico assinado como portador de regiao+papel+data</t>
        </is>
      </c>
      <c r="B39" s="3" t="inlineStr">
        <is>
          <t>padrao observado em: ARSAC (Calabria), CAAR (Liguria), LaMMA (Toscana), Condifesa TVB (Veneto), Consorzi Fitosanitari (Emilia)</t>
        </is>
      </c>
      <c r="C39" s="3" t="inlineStr">
        <is>
          <t>NAO</t>
        </is>
      </c>
      <c r="D39" s="3" t="inlineStr"/>
      <c r="E39" s="3" t="inlineStr">
        <is>
          <t>https://www.agriligurianet.it/it/impresa/assistenza-tecnica-e-centri-serivizio/agrometeo-caar/bollettino-di-viticoltura.html</t>
        </is>
      </c>
      <c r="F39" s="3" t="inlineStr">
        <is>
          <t>https://www.agriligurianet.it/it/impresa/assistenza-tecnica-e-centri-serivizio/agrometeo-caar/bollettino-di-viticoltura.html</t>
        </is>
      </c>
      <c r="G39" s="3" t="inlineStr">
        <is>
          <t>https://www.agriligurianet.it/it/impresa/assistenza-tecnica-e-centri-serivizio/agrometeo-caar/bollettino-di-viticoltura.html</t>
        </is>
      </c>
      <c r="H39" s="3" t="inlineStr"/>
      <c r="I39" s="3" t="inlineStr">
        <is>
          <t>NAO</t>
        </is>
      </c>
      <c r="J39" s="3" t="n">
        <v>200</v>
      </c>
      <c r="K39" s="3" t="n">
        <v>5864</v>
      </c>
      <c r="L39" s="3" t="inlineStr">
        <is>
          <t>VALIDATED_BUT_SECONDARY</t>
        </is>
      </c>
      <c r="M39" s="3" t="inlineStr">
        <is>
          <t>abre e fala do assunto, mas SEM exemplo real datado na rota medida. a rota abre e fala do assunto (15 palavras), mas NAO achei data legivel na pagina de entrada. O exemplo datado costuma estar um clique adentro, e um clique adentro nao foi medido.</t>
        </is>
      </c>
      <c r="N39" s="3" t="inlineStr">
        <is>
          <t>SECONDARY</t>
        </is>
      </c>
      <c r="O39" s="3" t="inlineStr"/>
      <c r="P39" s="3" t="inlineStr">
        <is>
          <t>NAO SEI</t>
        </is>
      </c>
      <c r="Q39" s="3" t="inlineStr">
        <is>
          <t>HIGH — semanal na campanha</t>
        </is>
      </c>
      <c r="R39" s="3" t="inlineStr">
        <is>
          <t>DECLARADA</t>
        </is>
      </c>
      <c r="S39" s="3" t="inlineStr">
        <is>
          <t>a cadencia esta escrita, mas NENHUMA edicao foi contada no arquivo. Promessa da casa, nao medicao nossa.</t>
        </is>
      </c>
      <c r="T39" s="3" t="inlineStr">
        <is>
          <t>RADAR · VOICES</t>
        </is>
      </c>
      <c r="U39" s="3" t="inlineStr">
        <is>
          <t>regional, replicavel nas 20 regioes</t>
        </is>
      </c>
      <c r="V39" s="3" t="inlineStr">
        <is>
          <t>T1 T3 T8</t>
        </is>
      </c>
      <c r="W39" s="3" t="inlineStr"/>
      <c r="X39" s="3" t="inlineStr">
        <is>
          <t>⚠️ ISTO NAO E' «VOZ DE CAMPO» NO SENTIDO DE AGRICULTOR A FALAR. E' TECNICO INSTITUCIONAL. Se a ferramenta VOICES quer a palavra de quem cultiva, isto nao a substitui — enche tres colunas, nao a quarta. O gap de voz de PRODUTOR com regiao e data continua aberto, e a busca nao achou fonte recorrente para ele.</t>
        </is>
      </c>
      <c r="Y39" s="3" t="inlineStr">
        <is>
          <t>2026-09-14 (sonda urllib, UA de navegador)</t>
        </is>
      </c>
    </row>
  </sheetData>
  <mergeCells count="1">
    <mergeCell ref="A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3" customWidth="1" min="3" max="3"/>
    <col width="60" customWidth="1" min="4" max="4"/>
    <col width="10" customWidth="1" min="5" max="5"/>
    <col width="55" customWidth="1" min="6" max="6"/>
    <col width="55" customWidth="1" min="7" max="7"/>
    <col width="13" customWidth="1" min="8" max="8"/>
    <col width="34" customWidth="1" min="9" max="9"/>
    <col width="60" customWidth="1" min="10" max="10"/>
    <col width="60" customWidth="1" min="11" max="11"/>
    <col width="22" customWidth="1" min="12" max="12"/>
    <col width="58" customWidth="1" min="13" max="13"/>
    <col width="20" customWidth="1" min="14" max="14"/>
    <col width="42" customWidth="1" min="15" max="15"/>
    <col width="60" customWidth="1" min="16" max="16"/>
    <col width="60" customWidth="1" min="17" max="17"/>
    <col width="19" customWidth="1" min="18" max="18"/>
    <col width="15" customWidth="1" min="19" max="19"/>
    <col width="60" customWidth="1" min="20" max="20"/>
    <col width="60" customWidth="1" min="21" max="21"/>
    <col width="44" customWidth="1" min="22" max="22"/>
    <col width="23" customWidth="1" min="23" max="23"/>
  </cols>
  <sheetData>
    <row r="1" ht="46" customHeight="1">
      <c r="A1" s="1" t="inlineStr">
        <is>
          <t>A PORTA DAS DEZ COISAS. Entra so' quem tem identidade e dono confirmados, URL canonica, EXEMPLO REAL, necessidade que alimenta, ferramenta que serve, ambito, recorrencia, evidencia e nenhuma duplicata verdadeira — e validacao STRONG ou USEFUL. `DIVERGED` na segunda prova NAO entra, por bem classificada que esteja. ⚠️ «Pronta» nao e' «registada»: nenhum SOURCE_ID nasce aqui.</t>
        </is>
      </c>
    </row>
    <row r="2">
      <c r="A2" s="2" t="inlineStr">
        <is>
          <t>SOURCE_NAME</t>
        </is>
      </c>
      <c r="B2" s="2" t="inlineStr">
        <is>
          <t>OWNER</t>
        </is>
      </c>
      <c r="C2" s="2" t="inlineStr">
        <is>
          <t>SOURCE_TYPE</t>
        </is>
      </c>
      <c r="D2" s="2" t="inlineStr">
        <is>
          <t>URL_CANONICAL</t>
        </is>
      </c>
      <c r="E2" s="2" t="inlineStr">
        <is>
          <t>COUNTRY</t>
        </is>
      </c>
      <c r="F2" s="2" t="inlineStr">
        <is>
          <t>REGION</t>
        </is>
      </c>
      <c r="G2" s="2" t="inlineStr">
        <is>
          <t>SCOPE</t>
        </is>
      </c>
      <c r="H2" s="2" t="inlineStr">
        <is>
          <t>TERRITORIES</t>
        </is>
      </c>
      <c r="I2" s="2" t="inlineStr">
        <is>
          <t>TOOLS_SUPPORTED</t>
        </is>
      </c>
      <c r="J2" s="2" t="inlineStr">
        <is>
          <t>RAW_NEEDS_SUPPORTED</t>
        </is>
      </c>
      <c r="K2" s="2" t="inlineStr">
        <is>
          <t>WHAT_IT_PRODUCES</t>
        </is>
      </c>
      <c r="L2" s="2" t="inlineStr">
        <is>
          <t>PRIMARY_OR_SECONDARY</t>
        </is>
      </c>
      <c r="M2" s="2" t="inlineStr">
        <is>
          <t>RECURRING_POTENTIAL</t>
        </is>
      </c>
      <c r="N2" s="2" t="inlineStr">
        <is>
          <t>RECORRENCIA_ESTADO</t>
        </is>
      </c>
      <c r="O2" s="2" t="inlineStr">
        <is>
          <t>RECORRENCIA_ESTADO_PORQUE</t>
        </is>
      </c>
      <c r="P2" s="2" t="inlineStr">
        <is>
          <t>EXAMPLE_REAL</t>
        </is>
      </c>
      <c r="Q2" s="2" t="inlineStr">
        <is>
          <t>EXAMPLE_URL</t>
        </is>
      </c>
      <c r="R2" s="2" t="inlineStr">
        <is>
          <t>GAP_CLOSURE_VALUE</t>
        </is>
      </c>
      <c r="S2" s="2" t="inlineStr">
        <is>
          <t>SEGUNDA_PROVA</t>
        </is>
      </c>
      <c r="T2" s="2" t="inlineStr">
        <is>
          <t>EVIDENCE</t>
        </is>
      </c>
      <c r="U2" s="2" t="inlineStr">
        <is>
          <t>LIMITE_DECLARADO</t>
        </is>
      </c>
      <c r="V2" s="2" t="inlineStr">
        <is>
          <t>VALIDATED_AT</t>
        </is>
      </c>
      <c r="W2" s="2" t="inlineStr">
        <is>
          <t>VAGA</t>
        </is>
      </c>
    </row>
    <row r="3">
      <c r="A3" s="3" t="inlineStr">
        <is>
          <t>Bollettini colture estensive / seminativi</t>
        </is>
      </c>
      <c r="B3" s="3" t="inlineStr">
        <is>
          <t>Regione del Veneto — U.O. Fitosanitario, com a Veneto Agricoltura</t>
        </is>
      </c>
      <c r="C3" s="3" t="inlineStr">
        <is>
          <t>A</t>
        </is>
      </c>
      <c r="D3" s="3" t="inlineStr">
        <is>
          <t>https://www.regione.veneto.it/web/fitosanitario/bollettini-seminativi</t>
        </is>
      </c>
      <c r="E3" s="3" t="inlineStr">
        <is>
          <t>IT</t>
        </is>
      </c>
      <c r="F3" s="3" t="inlineStr">
        <is>
          <t>Veneto</t>
        </is>
      </c>
      <c r="G3" s="3" t="inlineStr">
        <is>
          <t>Veneto</t>
        </is>
      </c>
      <c r="H3" s="3" t="inlineStr">
        <is>
          <t>T1 T3</t>
        </is>
      </c>
      <c r="I3" s="3" t="inlineStr">
        <is>
          <t>WINDOWS</t>
        </is>
      </c>
      <c r="J3" s="3" t="inlineStr">
        <is>
          <t>WINDOWS · FASE FENOLOGICA DA CULTURA (o que a planta esta a fazer) || WINDOWS · FASE DO PROBLEMA (em que estadio esta a praga/doenca) || WINDOWS · Datas de inicio e fim da janela || WINDOWS · Janela de monitorizacao (quando ir olhar)</t>
        </is>
      </c>
      <c r="K3" s="3" t="inlineStr">
        <is>
          <t>boletim SEMANAL para seminativos (trigo, milho, soja), redigido em cumprimento do Piano di Azione Nazionale, a partir de modelos previsionais E de redes de monitorizacao</t>
        </is>
      </c>
      <c r="L3" s="3" t="inlineStr">
        <is>
          <t>PRIMARY</t>
        </is>
      </c>
      <c r="M3" s="3" t="inlineStr">
        <is>
          <t>HIGH — semanal, numerada e datada</t>
        </is>
      </c>
      <c r="N3" s="3" t="inlineStr">
        <is>
          <t>OBSERVADA</t>
        </is>
      </c>
      <c r="O3" s="3" t="inlineStr">
        <is>
          <t>data lida na rota ou exemplo real datado</t>
        </is>
      </c>
      <c r="P3" s="3" t="inlineStr">
        <is>
          <t>serie 2026 das colture erbacee comeca no N°01 de 18/02/2026, com cadencia semanal declarada</t>
        </is>
      </c>
      <c r="Q3" s="3" t="inlineStr">
        <is>
          <t>https://www.regione.veneto.it/web/fitosanitario/bollettini-seminativi</t>
        </is>
      </c>
      <c r="R3" s="3" t="inlineStr">
        <is>
          <t>CRITICAL</t>
        </is>
      </c>
      <c r="S3" s="3" t="inlineStr">
        <is>
          <t>CONFIRMED</t>
        </is>
      </c>
      <c r="T3" s="3" t="inlineStr">
        <is>
          <t>busca dirigida ao gap, 2026-09-14 (segunda vaga): numero e data da primeira edicao de 2026 lidos na propria serie; a colaboracao com a Veneto Agricoltura esta declarada</t>
        </is>
      </c>
      <c r="U3" s="3" t="inlineStr">
        <is>
          <t>regional. E a serie e' de campanha: comeca em fevereiro.</t>
        </is>
      </c>
      <c r="V3" s="3" t="inlineStr">
        <is>
          <t>2026-09-14 (sonda urllib, UA de navegador)</t>
        </is>
      </c>
      <c r="W3" s="3" t="inlineStr">
        <is>
          <t>13 desta missao</t>
        </is>
      </c>
    </row>
    <row r="4">
      <c r="A4" s="3" t="inlineStr">
        <is>
          <t>Bollettini interprovinciali di produzione integrata e biologica</t>
        </is>
      </c>
      <c r="B4" s="3" t="inlineStr">
        <is>
          <t>Regione Emilia-Romagna — Settore Fitosanitario, com os Consorzi Fitosanitari Provinciali</t>
        </is>
      </c>
      <c r="C4" s="3" t="inlineStr">
        <is>
          <t>A</t>
        </is>
      </c>
      <c r="D4" s="3" t="inlineStr">
        <is>
          <t>https://agricoltura.regione.emilia-romagna.it/fitosanitario/difesa-sostenibile/bollettini</t>
        </is>
      </c>
      <c r="E4" s="3" t="inlineStr">
        <is>
          <t>IT</t>
        </is>
      </c>
      <c r="F4" s="3" t="inlineStr">
        <is>
          <t>Emilia-Romagna, em 6 areas interprovinciais</t>
        </is>
      </c>
      <c r="G4" s="3" t="inlineStr">
        <is>
          <t>Emilia-Romagna, em 6 areas interprovinciais</t>
        </is>
      </c>
      <c r="H4" s="3" t="inlineStr">
        <is>
          <t>T1 T3 T4</t>
        </is>
      </c>
      <c r="I4" s="3" t="inlineStr">
        <is>
          <t>PORTFOLIO · WINDOWS</t>
        </is>
      </c>
      <c r="J4" s="3" t="inlineStr">
        <is>
          <t>WINDOWS · FASE FENOLOGICA DA CULTURA (o que a planta esta a fazer) || WINDOWS · FASE DO PROBLEMA (em que estadio esta a praga/doenca) || WINDOWS · ATO REGULATORIO regional que abre/fecha a janela || WINDOWS · Janela de controlo de infestantes || PORTFOLIO · AUTORIZACAO EXCECIONAL (art. 53) || PORTFOLIO · ALTERACAO de autorizacao (o que mudou e quando)</t>
        </is>
      </c>
      <c r="K4" s="3" t="inlineStr">
        <is>
          <t>SEIS boletins territoriais, redigidos a partir dos Disciplinari regionais, de modelos previsionais e dos levantamentos de monitorizacao; publicam tambem as DEROGAS de uso excecional</t>
        </is>
      </c>
      <c r="L4" s="3" t="inlineStr">
        <is>
          <t>PRIMARY</t>
        </is>
      </c>
      <c r="M4" s="3" t="inlineStr">
        <is>
          <t>HIGH — semanal, numerada e datada</t>
        </is>
      </c>
      <c r="N4" s="3" t="inlineStr">
        <is>
          <t>OBSERVADA</t>
        </is>
      </c>
      <c r="O4" s="3" t="inlineStr">
        <is>
          <t>data lida na rota ou exemplo real datado</t>
        </is>
      </c>
      <c r="P4" s="3" t="inlineStr">
        <is>
          <t>«Bollettino 17 del 04 giugno 2026 — Reggio Emilia» e «Bollettino 15 del 20 maggio 2026 — Bologna e Ferrara». E uma derroga datada: contencao de Septoria tritici e S. nodorum em trigo, uso permitido a partir de 20/03/2026</t>
        </is>
      </c>
      <c r="Q4" s="3" t="inlineStr">
        <is>
          <t>https://agricoltura.regione.emilia-romagna.it/fitosanitario/difesa-sostenibile/bollettini</t>
        </is>
      </c>
      <c r="R4" s="3" t="inlineStr">
        <is>
          <t>CRITICAL</t>
        </is>
      </c>
      <c r="S4" s="3" t="inlineStr">
        <is>
          <t>CONFIRMED</t>
        </is>
      </c>
      <c r="T4" s="3" t="inlineStr">
        <is>
          <t>busca dirigida ao gap, 2026-09-14 (segunda vaga): dois boletins numerados e datados de 2026 e uma derroga com data de inicio de uso, todos lidos na propria serie</t>
        </is>
      </c>
      <c r="U4" s="3" t="inlineStr">
        <is>
          <t>a derroga e' REGIONAL: vale na Emilia-Romagna, nao em Italia. Confundir as duas transforma uma excecao local em regra nacional.</t>
        </is>
      </c>
      <c r="V4" s="3" t="inlineStr">
        <is>
          <t>2026-09-14 (sonda urllib, UA de navegador)</t>
        </is>
      </c>
      <c r="W4" s="3" t="inlineStr">
        <is>
          <t>13 desta missao</t>
        </is>
      </c>
    </row>
    <row r="5">
      <c r="A5" s="3" t="inlineStr">
        <is>
          <t>Bollettini fitosanitari — Unita territoriali di monitoraggio (UTM)</t>
        </is>
      </c>
      <c r="B5" s="3" t="inlineStr">
        <is>
          <t>Regione Campania — UOS Servizio Fitosanitario e estruturas provinciais</t>
        </is>
      </c>
      <c r="C5" s="3" t="inlineStr">
        <is>
          <t>A</t>
        </is>
      </c>
      <c r="D5" s="3" t="inlineStr">
        <is>
          <t>https://agricoltura.regione.campania.it/difesa/bollettini/bollettini_2026.html</t>
        </is>
      </c>
      <c r="E5" s="3" t="inlineStr">
        <is>
          <t>IT</t>
        </is>
      </c>
      <c r="F5" s="3" t="inlineStr">
        <is>
          <t>Campania, por UTM</t>
        </is>
      </c>
      <c r="G5" s="3" t="inlineStr">
        <is>
          <t>Campania, por UTM</t>
        </is>
      </c>
      <c r="H5" s="3" t="inlineStr">
        <is>
          <t>T1 T2 T3</t>
        </is>
      </c>
      <c r="I5" s="3" t="inlineStr">
        <is>
          <t>VOICES · WINDOWS</t>
        </is>
      </c>
      <c r="J5" s="3" t="inlineStr">
        <is>
          <t>WINDOWS · OBSERVACAO DE CAMPO (fase observada, nao esperada) || WINDOWS · FASE FENOLOGICA DA CULTURA (o que a planta esta a fazer) || WINDOWS · Cultura e regiao da janela || VOICES · REGIAO da voz de campo</t>
        </is>
      </c>
      <c r="K5" s="3" t="inlineStr">
        <is>
          <t>boletim com dados agrometeorologicos, ESTADO FENOLOGICO e fitossanitario das culturas LEVANTADOS NAS UTM (unidades territoriais de monitorizacao), mais conselhos de defesa segundo as Norme tecniche</t>
        </is>
      </c>
      <c r="L5" s="3" t="inlineStr">
        <is>
          <t>PRIMARY</t>
        </is>
      </c>
      <c r="M5" s="3" t="inlineStr">
        <is>
          <t>HIGH — semanal na campanha, mensal fora dela</t>
        </is>
      </c>
      <c r="N5" s="3" t="inlineStr">
        <is>
          <t>OBSERVADA</t>
        </is>
      </c>
      <c r="O5" s="3" t="inlineStr">
        <is>
          <t>data lida na rota ou exemplo real datado</t>
        </is>
      </c>
      <c r="P5" s="3" t="inlineStr">
        <is>
          <t>cadencia declarada: SEMANAL de 1 de marco a 30 de setembro e MENSAL de 1 de outubro a 28 de fevereiro</t>
        </is>
      </c>
      <c r="Q5" s="3" t="inlineStr">
        <is>
          <t>https://agricoltura.regione.campania.it/difesa/bollettini/bollettini_2026.html</t>
        </is>
      </c>
      <c r="R5" s="3" t="inlineStr">
        <is>
          <t>CRITICAL</t>
        </is>
      </c>
      <c r="S5" s="3" t="inlineStr">
        <is>
          <t>CONFIRMED</t>
        </is>
      </c>
      <c r="T5" s="3" t="inlineStr">
        <is>
          <t>busca dirigida ao gap, 2026-09-14 (segunda vaga): a dupla cadencia e a origem do dado na UTM estao escritas na propria pagina da serie</t>
        </is>
      </c>
      <c r="U5" s="3" t="inlineStr">
        <is>
          <t>a UTM da o lugar do levantamento, nao a coordenada. Regiao sim, parcela nao.</t>
        </is>
      </c>
      <c r="V5" s="3" t="inlineStr">
        <is>
          <t>2026-09-14 (sonda urllib, UA de navegador)</t>
        </is>
      </c>
      <c r="W5" s="3" t="inlineStr">
        <is>
          <t>13 desta missao</t>
        </is>
      </c>
    </row>
    <row r="6">
      <c r="A6" s="3" t="inlineStr">
        <is>
          <t>Bollettini di produzione integrata — pomodoro da industria</t>
        </is>
      </c>
      <c r="B6" s="3" t="inlineStr">
        <is>
          <t>Consorzi Fitosanitari Provinciali de Reggio Emilia, Modena, Parma e Piacenza</t>
        </is>
      </c>
      <c r="C6" s="3" t="inlineStr">
        <is>
          <t>A</t>
        </is>
      </c>
      <c r="D6" s="3" t="inlineStr">
        <is>
          <t>https://www.fitosanitario.re.it/bollettino-singole-colture/</t>
        </is>
      </c>
      <c r="E6" s="3" t="inlineStr">
        <is>
          <t>IT</t>
        </is>
      </c>
      <c r="F6" s="3" t="inlineStr">
        <is>
          <t>provincias de Reggio Emilia, Modena, Parma e Piacenza</t>
        </is>
      </c>
      <c r="G6" s="3" t="inlineStr">
        <is>
          <t>provincias de Reggio Emilia, Modena, Parma e Piacenza</t>
        </is>
      </c>
      <c r="H6" s="3" t="inlineStr">
        <is>
          <t>T1 T3 T4</t>
        </is>
      </c>
      <c r="I6" s="3" t="inlineStr">
        <is>
          <t>PORTFOLIO · WINDOWS</t>
        </is>
      </c>
      <c r="J6" s="3" t="inlineStr">
        <is>
          <t>WINDOWS · FASE FENOLOGICA DA CULTURA (o que a planta esta a fazer) || WINDOWS · FASE DO PROBLEMA (em que estadio esta a praga/doenca) || WINDOWS · OBSERVACAO DE CAMPO (fase observada, nao esperada) || PORTFOLIO · MOMENTO DE APLICACAO / fase da cultura na aplicacao</t>
        </is>
      </c>
      <c r="K6" s="3" t="inlineStr">
        <is>
          <t>boletim provincial SEMANAL para tomate, construido com o modelo previsional I.P.I., levantamentos AEROBIOLOGICOS e CAMPOS-ESPIA NAO TRATADOS; escolhe o principio ativo pela FASE FENOLOGICA</t>
        </is>
      </c>
      <c r="L6" s="3" t="inlineStr">
        <is>
          <t>PRIMARY</t>
        </is>
      </c>
      <c r="M6" s="3" t="inlineStr">
        <is>
          <t>HIGH — semanal na campanha</t>
        </is>
      </c>
      <c r="N6" s="3" t="inlineStr">
        <is>
          <t>OBSERVADA</t>
        </is>
      </c>
      <c r="O6" s="3" t="inlineStr">
        <is>
          <t>data lida na rota ou exemplo real datado</t>
        </is>
      </c>
      <c r="P6" s="3" t="inlineStr">
        <is>
          <t>a defesa antiperonosporica arranca com base nos boletins provinciais semanais; medido que a suscetibilidade e' maxima logo apos o transplante, aumenta a resistencia ate a floracao e decresce ate a maturacao — e que em Emilia-Romagna os ataques concentram-se em junho-julho</t>
        </is>
      </c>
      <c r="Q6" s="3" t="inlineStr">
        <is>
          <t>https://www.fitosanitario.re.it/bollettino-singole-colture/</t>
        </is>
      </c>
      <c r="R6" s="3" t="inlineStr">
        <is>
          <t>CRITICAL</t>
        </is>
      </c>
      <c r="S6" s="3" t="inlineStr">
        <is>
          <t>CONFIRMED</t>
        </is>
      </c>
      <c r="T6" s="3" t="inlineStr">
        <is>
          <t>busca dirigida ao gap, 2026-09-14 (segunda vaga): as tres entradas do boletim (modelo I.P.I., aerobiologia, campos-espia) e a curva de suscetibilidade por fase estao descritas na ficha tecnica regional da peronospora</t>
        </is>
      </c>
      <c r="U6" s="3" t="inlineStr">
        <is>
          <t>sao QUATRO donos distintos (quatro consorzi), nao um. E a cultura e' tomate de INDUSTRIA; o de mesa tem norma propria.</t>
        </is>
      </c>
      <c r="V6" s="3" t="inlineStr">
        <is>
          <t>2026-09-14 (sonda urllib, UA de navegador)</t>
        </is>
      </c>
      <c r="W6" s="3" t="inlineStr">
        <is>
          <t>13 desta missao</t>
        </is>
      </c>
    </row>
    <row r="7">
      <c r="A7" s="3" t="inlineStr">
        <is>
          <t>Avvisi fitosanitari per viticoltori e per frutticoltori</t>
        </is>
      </c>
      <c r="B7" s="3" t="inlineStr">
        <is>
          <t>Regione autonoma Valle d'Aosta — Ufficio servizi fitosanitari (Assessorato Agricoltura e Risorse naturali)</t>
        </is>
      </c>
      <c r="C7" s="3" t="inlineStr">
        <is>
          <t>A</t>
        </is>
      </c>
      <c r="D7" s="3" t="inlineStr">
        <is>
          <t>https://www.regione.vda.it/agricoltura/per_gli_agricoltori/fitosanitario/avvisi/viticoltura_i.asp</t>
        </is>
      </c>
      <c r="E7" s="3" t="inlineStr">
        <is>
          <t>IT</t>
        </is>
      </c>
      <c r="F7" s="3" t="inlineStr">
        <is>
          <t>Valle d'Aosta</t>
        </is>
      </c>
      <c r="G7" s="3" t="inlineStr">
        <is>
          <t>Valle d'Aosta</t>
        </is>
      </c>
      <c r="H7" s="3" t="inlineStr">
        <is>
          <t>T1 T3 T9</t>
        </is>
      </c>
      <c r="I7" s="3" t="inlineStr">
        <is>
          <t>FUTURE · WINDOWS</t>
        </is>
      </c>
      <c r="J7" s="3" t="inlineStr">
        <is>
          <t>WINDOWS · FASE DO PROBLEMA (em que estadio esta a praga/doenca) || WINDOWS · Janela de monitorizacao (quando ir olhar) || WINDOWS · ATO REGULATORIO regional que abre/fecha a janela || FUTURE · PRAGA OU DOENCA EMERGENTE (primeira deteccao)</t>
        </is>
      </c>
      <c r="K7" s="3" t="inlineStr">
        <is>
          <t>avisos fitossanitarios de campanha, apoiados numa REDE DE ARMADILHAS montada cada estacao para as principais pragas, distribuidos por aviso em pontos estrategicos, gravador telefonico das cooperativas, web e SMS</t>
        </is>
      </c>
      <c r="L7" s="3" t="inlineStr">
        <is>
          <t>PRIMARY</t>
        </is>
      </c>
      <c r="M7" s="3" t="inlineStr">
        <is>
          <t>MEDIUM — de campanha, por evento de armadilha</t>
        </is>
      </c>
      <c r="N7" s="3" t="inlineStr">
        <is>
          <t>OBSERVADA</t>
        </is>
      </c>
      <c r="O7" s="3" t="inlineStr">
        <is>
          <t>data lida na rota ou exemplo real datado</t>
        </is>
      </c>
      <c r="P7" s="3" t="inlineStr">
        <is>
          <t>a pagina dos avisos para viticultores declara ultima atualizacao em 26/06/2026; existe serie paralela para fruticultores; e «Schede trattamenti 2026» como guia. O servico e' reconhecido Servizio Fitosanitario Regionale e coordenado pelo nacional</t>
        </is>
      </c>
      <c r="Q7" s="3" t="inlineStr">
        <is>
          <t>https://www.regione.vda.it/agricoltura/per_gli_agricoltori/fitosanitario/avvisi/viticoltura_i.asp</t>
        </is>
      </c>
      <c r="R7" s="3" t="inlineStr">
        <is>
          <t>CRITICAL</t>
        </is>
      </c>
      <c r="S7" s="3" t="inlineStr">
        <is>
          <t>CONFIRMED</t>
        </is>
      </c>
      <c r="T7" s="3" t="inlineStr">
        <is>
          <t>busca dirigida ao gap, 2026-09-14 (segunda vaga): data de ultima atualizacao na pagina, existencia das duas series, os quatro canais de distribuicao e o reconhecimento institucional — todos lidos no sitio da regiao</t>
        </is>
      </c>
      <c r="U7" s="3" t="inlineStr">
        <is>
          <t>regiao pequena e bilingue (italiano/frances). O aviso por SMS e gravador telefonico NAO e' coletavel por rota web.</t>
        </is>
      </c>
      <c r="V7" s="3" t="inlineStr">
        <is>
          <t>2026-09-14 (sonda urllib, UA de navegador)</t>
        </is>
      </c>
      <c r="W7" s="3" t="inlineStr">
        <is>
          <t>13 desta missao</t>
        </is>
      </c>
    </row>
    <row r="8">
      <c r="A8" s="3" t="inlineStr">
        <is>
          <t>Bollettino Mais</t>
        </is>
      </c>
      <c r="B8" s="3" t="inlineStr">
        <is>
          <t>ERSAF Lombardia, com o servico tecnico do Condifesa Lombardia Nord-Est</t>
        </is>
      </c>
      <c r="C8" s="3" t="inlineStr">
        <is>
          <t>A</t>
        </is>
      </c>
      <c r="D8" s="3" t="inlineStr">
        <is>
          <t>https://www.fitosanitario.regione.lombardia.it/wps/portal/site/sfr</t>
        </is>
      </c>
      <c r="E8" s="3" t="inlineStr">
        <is>
          <t>IT</t>
        </is>
      </c>
      <c r="F8" s="3" t="inlineStr">
        <is>
          <t>Lombardia</t>
        </is>
      </c>
      <c r="G8" s="3" t="inlineStr">
        <is>
          <t>Lombardia</t>
        </is>
      </c>
      <c r="H8" s="3" t="inlineStr">
        <is>
          <t>T1 T3</t>
        </is>
      </c>
      <c r="I8" s="3" t="inlineStr">
        <is>
          <t>WINDOWS</t>
        </is>
      </c>
      <c r="J8" s="3" t="inlineStr">
        <is>
          <t>WINDOWS · FASE FENOLOGICA DA CULTURA (o que a planta esta a fazer) || WINDOWS · FASE DO PROBLEMA (em que estadio esta a praga/doenca) || WINDOWS · Janela de monitorizacao (quando ir olhar) || WINDOWS · Produto registado ligado a janela</t>
        </is>
      </c>
      <c r="K8" s="3" t="inlineStr">
        <is>
          <t>boletim SEMANAL de milho com meteorologia da semana, sintese dos produtos admitidos, DESENVOLVIMENTO FENOLOGICO da cultura (floracao e fecundacao) e monitorizacao de diabrotica e piralide com indicacao de tratamento</t>
        </is>
      </c>
      <c r="L8" s="3" t="inlineStr">
        <is>
          <t>PRIMARY</t>
        </is>
      </c>
      <c r="M8" s="3" t="inlineStr">
        <is>
          <t>HIGH — semanal</t>
        </is>
      </c>
      <c r="N8" s="3" t="inlineStr">
        <is>
          <t>OBSERVADA</t>
        </is>
      </c>
      <c r="O8" s="3" t="inlineStr">
        <is>
          <t>data lida na rota ou exemplo real datado</t>
        </is>
      </c>
      <c r="P8" s="3" t="inlineStr">
        <is>
          <t>nota tecnica «Difesa del mais da piralide e diabrotica e tutela delle api» publicada pelo Servizio Fitosanitario regionale; o boletim e' descrito como semanal e feito com o Condifesa Lombardia Nord-Est</t>
        </is>
      </c>
      <c r="Q8" s="3" t="inlineStr">
        <is>
          <t>https://www.fitosanitario.regione.lombardia.it/wps/portal/site/sfr</t>
        </is>
      </c>
      <c r="R8" s="3" t="inlineStr">
        <is>
          <t>HIGH</t>
        </is>
      </c>
      <c r="S8" s="3" t="inlineStr">
        <is>
          <t>UNKNOWN</t>
        </is>
      </c>
      <c r="T8" s="3" t="inlineStr">
        <is>
          <t>busca dirigida ao gap, 2026-09-14 (segunda vaga): composicao do boletim descrita pelo proprio servico, com o parceiro tecnico nomeado</t>
        </is>
      </c>
      <c r="U8" s="3" t="inlineStr">
        <is>
          <t>uma cultura, uma regiao.</t>
        </is>
      </c>
      <c r="V8" s="3" t="inlineStr">
        <is>
          <t>2026-09-14 (sonda urllib, UA de navegador)</t>
        </is>
      </c>
      <c r="W8" s="3" t="inlineStr">
        <is>
          <t>13 desta missao</t>
        </is>
      </c>
    </row>
    <row r="9">
      <c r="A9" s="3" t="inlineStr">
        <is>
          <t>Bollettino seminativi biologici</t>
        </is>
      </c>
      <c r="B9" s="3" t="inlineStr">
        <is>
          <t>AIAB Friuli Venezia Giulia, em colaboracao com a ERSA</t>
        </is>
      </c>
      <c r="C9" s="3" t="inlineStr">
        <is>
          <t>A</t>
        </is>
      </c>
      <c r="D9" s="3" t="inlineStr">
        <is>
          <t>https://www.aiab.fvg.it/aziende-e-tecnici/</t>
        </is>
      </c>
      <c r="E9" s="3" t="inlineStr">
        <is>
          <t>IT</t>
        </is>
      </c>
      <c r="F9" s="3" t="inlineStr">
        <is>
          <t>Friuli-Venezia Giulia</t>
        </is>
      </c>
      <c r="G9" s="3" t="inlineStr">
        <is>
          <t>Friuli-Venezia Giulia</t>
        </is>
      </c>
      <c r="H9" s="3" t="inlineStr">
        <is>
          <t>T1 T3 T8</t>
        </is>
      </c>
      <c r="I9" s="3" t="inlineStr">
        <is>
          <t>VOICES · WINDOWS</t>
        </is>
      </c>
      <c r="J9" s="3" t="inlineStr">
        <is>
          <t>WINDOWS · OBSERVACAO DE CAMPO (fase observada, nao esperada) || WINDOWS · FASE DO PROBLEMA (em que estadio esta a praga/doenca) || VOICES · PAPEL de quem fala (produtor? tecnico? amador?)</t>
        </is>
      </c>
      <c r="K9" s="3" t="inlineStr">
        <is>
          <t>boletim periodico de arvenses em regime BIOLOGICO, a partir de levantamentos em campo e monitorizacao de AZIENDE CAMPIONE</t>
        </is>
      </c>
      <c r="L9" s="3" t="inlineStr">
        <is>
          <t>PRIMARY</t>
        </is>
      </c>
      <c r="M9" s="3" t="inlineStr">
        <is>
          <t>HIGH — numerada e datada</t>
        </is>
      </c>
      <c r="N9" s="3" t="inlineStr">
        <is>
          <t>OBSERVADA</t>
        </is>
      </c>
      <c r="O9" s="3" t="inlineStr">
        <is>
          <t>data lida na rota ou exemplo real datado</t>
        </is>
      </c>
      <c r="P9" s="3" t="inlineStr">
        <is>
          <t>«Bollettino seminativi biologici n. 8/2026 del 24 giugno 2026», cobrindo andamento meteorologico, cereais outono-invernais, leguminosas de grao e culturas primavera-verao</t>
        </is>
      </c>
      <c r="Q9" s="3" t="inlineStr">
        <is>
          <t>https://www.aiab.fvg.it/aziende-e-tecnici/</t>
        </is>
      </c>
      <c r="R9" s="3" t="inlineStr">
        <is>
          <t>HIGH</t>
        </is>
      </c>
      <c r="S9" s="3" t="inlineStr">
        <is>
          <t>CONFIRMED</t>
        </is>
      </c>
      <c r="T9" s="3" t="inlineStr">
        <is>
          <t>busca dirigida ao gap, 2026-09-14 (segunda vaga): numero, data e indice de conteudo lidos na propria edicao</t>
        </is>
      </c>
      <c r="U9" s="3" t="inlineStr">
        <is>
          <t>regime biologico: a janela de produto nao serve o convencional.</t>
        </is>
      </c>
      <c r="V9" s="3" t="inlineStr">
        <is>
          <t>2026-09-14 (sonda urllib, UA de navegador)</t>
        </is>
      </c>
      <c r="W9" s="3" t="inlineStr">
        <is>
          <t>13 desta missao</t>
        </is>
      </c>
    </row>
    <row r="10">
      <c r="A10" s="3" t="inlineStr">
        <is>
          <t>Dati di maturazione dell'uva e scelta della data di vendemmia</t>
        </is>
      </c>
      <c r="B10" s="3" t="inlineStr">
        <is>
          <t>Institut Agricole Régional (IAR), Aosta — Unita de Analises Laboratoriais e Unita de Viticultura-Enologia, com o Assessorato Agricoltura da Regione Valle d'Aosta</t>
        </is>
      </c>
      <c r="C10" s="3" t="inlineStr">
        <is>
          <t>A</t>
        </is>
      </c>
      <c r="D10" s="3" t="inlineStr">
        <is>
          <t>https://www.iaraosta.it/</t>
        </is>
      </c>
      <c r="E10" s="3" t="inlineStr">
        <is>
          <t>IT</t>
        </is>
      </c>
      <c r="F10" s="3" t="inlineStr">
        <is>
          <t>Valle d'Aosta</t>
        </is>
      </c>
      <c r="G10" s="3" t="inlineStr">
        <is>
          <t>Valle d'Aosta</t>
        </is>
      </c>
      <c r="H10" s="3" t="inlineStr">
        <is>
          <t>T1 T5</t>
        </is>
      </c>
      <c r="I10" s="3" t="inlineStr">
        <is>
          <t>WINDOWS</t>
        </is>
      </c>
      <c r="J10" s="3" t="inlineStr">
        <is>
          <t>WINDOWS · FASE FENOLOGICA DA CULTURA (o que a planta esta a fazer) || WINDOWS · OBSERVACAO DE CAMPO (fase observada, nao esperada) || WINDOWS · Datas de inicio e fim da janela</t>
        </is>
      </c>
      <c r="K10" s="3" t="inlineStr">
        <is>
          <t>tratamento dos dados de MATURACAO DA UVA das vinhas mais representativas da Valle d'Aosta e do proprio IAR, para escolher a data de vindima</t>
        </is>
      </c>
      <c r="L10" s="3" t="inlineStr">
        <is>
          <t>PRIMARY</t>
        </is>
      </c>
      <c r="M10" s="3" t="inlineStr">
        <is>
          <t>MEDIUM — sazonal, na maturacao</t>
        </is>
      </c>
      <c r="N10" s="3" t="inlineStr">
        <is>
          <t>OBSERVADA</t>
        </is>
      </c>
      <c r="O10" s="3" t="inlineStr">
        <is>
          <t>data lida na rota ou exemplo real datado</t>
        </is>
      </c>
      <c r="P10" s="3" t="inlineStr">
        <is>
          <t>o servico e' descrito como colaboracao entre o IAR e o Assessorato, com dados das vinhas mais representativas da regiao; o IAR e' historicamente a casa que criou o mercado das castas autoctones — fumin, petit rouge, cornalin, prie blanc, mayolet, vuillermin</t>
        </is>
      </c>
      <c r="Q10" s="3" t="inlineStr">
        <is>
          <t>https://www.iaraosta.it/</t>
        </is>
      </c>
      <c r="R10" s="3" t="inlineStr">
        <is>
          <t>HIGH</t>
        </is>
      </c>
      <c r="S10" s="3" t="inlineStr">
        <is>
          <t>NAO_EXIGIDA</t>
        </is>
      </c>
      <c r="T10" s="3" t="inlineStr">
        <is>
          <t>busca dirigida ao gap, 2026-09-14 (segunda vaga): as duas unidades responsaveis, o parceiro institucional e a origem dos dados estao declarados pelo IAR</t>
        </is>
      </c>
      <c r="U10" s="3" t="inlineStr">
        <is>
          <t>sazonal e de uma cultura. Serve a vindima, nao a campanha toda.</t>
        </is>
      </c>
      <c r="V10" s="3" t="inlineStr">
        <is>
          <t>2026-09-14 (sonda urllib, UA de navegador)</t>
        </is>
      </c>
      <c r="W10" s="3" t="inlineStr">
        <is>
          <t>13 desta missao</t>
        </is>
      </c>
    </row>
    <row r="11">
      <c r="A11" s="3" t="inlineStr">
        <is>
          <t>Bollettino Nazionale di Fenologia</t>
        </is>
      </c>
      <c r="B11" s="3" t="inlineStr">
        <is>
          <t>Rete Rurale Nazionale (RRN) / MASAF</t>
        </is>
      </c>
      <c r="C11" s="3" t="inlineStr">
        <is>
          <t>A</t>
        </is>
      </c>
      <c r="D11" s="3" t="inlineStr">
        <is>
          <t>https://www.reterurale.it/bollettinofeno</t>
        </is>
      </c>
      <c r="E11" s="3" t="inlineStr">
        <is>
          <t>IT</t>
        </is>
      </c>
      <c r="F11" s="3" t="inlineStr">
        <is>
          <t>NACIONAL, com detalhe regional</t>
        </is>
      </c>
      <c r="G11" s="3" t="inlineStr">
        <is>
          <t>NACIONAL, com detalhe regional</t>
        </is>
      </c>
      <c r="H11" s="3" t="inlineStr">
        <is>
          <t>T1 T2</t>
        </is>
      </c>
      <c r="I11" s="3" t="inlineStr">
        <is>
          <t>RADAR · WINDOWS</t>
        </is>
      </c>
      <c r="J11" s="3" t="inlineStr">
        <is>
          <t>WINDOWS · FASE FENOLOGICA DA CULTURA (o que a planta esta a fazer) || WINDOWS · Desvio fenologico por regiao (a mesma cultura adianta/atrasa) || RADAR · ENTRADA: janela de cultura com data e regiao</t>
        </is>
      </c>
      <c r="K11" s="3" t="inlineStr">
        <is>
          <t>boletim de fenologia com escala BBCH por cultura, cruzando modelo de simulacao, dados MeteoHub/CINECA e observacao de campo de voluntarios</t>
        </is>
      </c>
      <c r="L11" s="3" t="inlineStr">
        <is>
          <t>PRIMARY</t>
        </is>
      </c>
      <c r="M11" s="3" t="inlineStr">
        <is>
          <t>HIGH — periodicidade declarada</t>
        </is>
      </c>
      <c r="N11" s="3" t="inlineStr">
        <is>
          <t>OBSERVADA</t>
        </is>
      </c>
      <c r="O11" s="3" t="inlineStr">
        <is>
          <t>data lida na rota ou exemplo real datado</t>
        </is>
      </c>
      <c r="P11" s="3" t="inlineStr">
        <is>
          <t>lido na rota em https://www.reterurale.it/bollettinofeno: datas 10 settembre 2026 · 10 settembre 2026 · 10 settembre 2026 · 10 settembre 2026 · assunto agrometeo · bbch · bollettin · clima · coltur · fenolog · monitoraggio · produzione</t>
        </is>
      </c>
      <c r="Q11" s="3" t="inlineStr">
        <is>
          <t>https://www.reterurale.it/bollettinofeno</t>
        </is>
      </c>
      <c r="R11" s="3" t="inlineStr">
        <is>
          <t>MEDIUM</t>
        </is>
      </c>
      <c r="S11" s="3" t="inlineStr">
        <is>
          <t>NAO_EXIGIDA</t>
        </is>
      </c>
      <c r="T11" s="3" t="inlineStr">
        <is>
          <t>busca dirigida ao gap, 2026-09-14: o proprio sitio descreve a escala BBCH e as tres entradas (modelo, MeteoHub/CINECA, observadores de campo)</t>
        </is>
      </c>
      <c r="U11" s="3" t="inlineStr">
        <is>
          <t>parte do dado vem de MODELO. Fase modelada nao e' fase observada, e o contrato pede observada. Tem de vir com a marca de origem.</t>
        </is>
      </c>
      <c r="V11" s="3" t="inlineStr">
        <is>
          <t>2026-09-14 (sonda urllib, UA de navegador)</t>
        </is>
      </c>
      <c r="W11" s="3" t="inlineStr">
        <is>
          <t>37 da missao anterior</t>
        </is>
      </c>
    </row>
    <row r="12">
      <c r="A12" s="3" t="inlineStr">
        <is>
          <t>Bollettini viticoli del Servizio Fitosanitario del Veneto</t>
        </is>
      </c>
      <c r="B12" s="3" t="inlineStr">
        <is>
          <t>Regione del Veneto — U.O. Fitosanitario</t>
        </is>
      </c>
      <c r="C12" s="3" t="inlineStr">
        <is>
          <t>A</t>
        </is>
      </c>
      <c r="D12" s="3" t="inlineStr">
        <is>
          <t>https://www.regione.veneto.it/web/fitosanitario/bollettini-viticoli</t>
        </is>
      </c>
      <c r="E12" s="3" t="inlineStr">
        <is>
          <t>IT</t>
        </is>
      </c>
      <c r="F12" s="3" t="inlineStr">
        <is>
          <t>Veneto</t>
        </is>
      </c>
      <c r="G12" s="3" t="inlineStr">
        <is>
          <t>Veneto</t>
        </is>
      </c>
      <c r="H12" s="3" t="inlineStr">
        <is>
          <t>T1 T3</t>
        </is>
      </c>
      <c r="I12" s="3" t="inlineStr">
        <is>
          <t>RADAR · WINDOWS</t>
        </is>
      </c>
      <c r="J12" s="3" t="inlineStr">
        <is>
          <t>WINDOWS · FASE FENOLOGICA DA CULTURA (o que a planta esta a fazer) || WINDOWS · FASE DO PROBLEMA (em que estadio esta a praga/doenca) || WINDOWS · ATO REGULATORIO regional que abre/fecha a janela || RADAR · ENTRADA: janela de cultura com data e regiao</t>
        </is>
      </c>
      <c r="K12" s="3" t="inlineStr">
        <is>
          <t>fase fenologica BBCH por VITIGNO, separando ambiente precoce de tardio, mais estado parasitario e indicacoes de defesa</t>
        </is>
      </c>
      <c r="L12" s="3" t="inlineStr">
        <is>
          <t>PRIMARY</t>
        </is>
      </c>
      <c r="M12" s="3" t="inlineStr">
        <is>
          <t>HIGH — semanal na campanha</t>
        </is>
      </c>
      <c r="N12" s="3" t="inlineStr">
        <is>
          <t>OBSERVADA</t>
        </is>
      </c>
      <c r="O12" s="3" t="inlineStr">
        <is>
          <t>data lida na rota ou exemplo real datado</t>
        </is>
      </c>
      <c r="P12" s="3" t="inlineStr">
        <is>
          <t>lido na rota em https://www.regione.veneto.it/web/fitosanitario/bollettini-viticoli: datas 30.08.2024 · 21.04.2024 · 07.08.2024 · 31.07.2024 · assunto bbch · bollettin · clima · coltur · difesa integrata · etichetta · fenolog · fitosanitar</t>
        </is>
      </c>
      <c r="Q12" s="3" t="inlineStr">
        <is>
          <t>https://www.regione.veneto.it/web/fitosanitario/bollettini-viticoli</t>
        </is>
      </c>
      <c r="R12" s="3" t="inlineStr">
        <is>
          <t>MEDIUM</t>
        </is>
      </c>
      <c r="S12" s="3" t="inlineStr">
        <is>
          <t>NAO_EXIGIDA</t>
        </is>
      </c>
      <c r="T12" s="3" t="inlineStr">
        <is>
          <t>busca dirigida ao gap, 2026-09-14: separacao precoce/tardio e ligacao a luta obrigatoria descritas na propria pagina do servico</t>
        </is>
      </c>
      <c r="U12" s="3" t="inlineStr">
        <is>
          <t>a serie e' sazonal: fora da campanha nao publica.</t>
        </is>
      </c>
      <c r="V12" s="3" t="inlineStr">
        <is>
          <t>2026-09-14 (sonda urllib, UA de navegador)</t>
        </is>
      </c>
      <c r="W12" s="3" t="inlineStr">
        <is>
          <t>37 da missao anterior</t>
        </is>
      </c>
    </row>
    <row r="13">
      <c r="A13" s="3" t="inlineStr">
        <is>
          <t>Bollettino agrometeorologico e fitosanitario ARSAC</t>
        </is>
      </c>
      <c r="B13" s="3" t="inlineStr">
        <is>
          <t>ARSAC — Azienda Regionale per lo Sviluppo dell'Agricoltura Calabrese</t>
        </is>
      </c>
      <c r="C13" s="3" t="inlineStr">
        <is>
          <t>A</t>
        </is>
      </c>
      <c r="D13" s="3" t="inlineStr">
        <is>
          <t>https://www.arsacweb.it/bollettino-agrometeorologico-e-fitosanitario-agrumi-olivo-e-vite/</t>
        </is>
      </c>
      <c r="E13" s="3" t="inlineStr">
        <is>
          <t>IT</t>
        </is>
      </c>
      <c r="F13" s="3" t="inlineStr">
        <is>
          <t>Calabria, subdividida em 8 zonas</t>
        </is>
      </c>
      <c r="G13" s="3" t="inlineStr">
        <is>
          <t>Calabria, subdividida em 8 zonas</t>
        </is>
      </c>
      <c r="H13" s="3" t="inlineStr">
        <is>
          <t>T1 T2 T3</t>
        </is>
      </c>
      <c r="I13" s="3" t="inlineStr">
        <is>
          <t>VOICES · WINDOWS</t>
        </is>
      </c>
      <c r="J13" s="3" t="inlineStr">
        <is>
          <t>WINDOWS · FASE FENOLOGICA DA CULTURA (o que a planta esta a fazer) || WINDOWS · Datas de inicio e fim da janela || WINDOWS · Cultura e regiao da janela || VOICES · REGIAO da voz de campo || VOICES · DATA da observacao de campo</t>
        </is>
      </c>
      <c r="K13" s="3" t="inlineStr">
        <is>
          <t>situacao meteorologica E FENOLOGICA de vite, olivo, agrumi e kiwi, para 8 AREAS CLIMATICAMENTE HOMOGENEAS da regiao, com validade semanal datada</t>
        </is>
      </c>
      <c r="L13" s="3" t="inlineStr">
        <is>
          <t>PRIMARY</t>
        </is>
      </c>
      <c r="M13" s="3" t="inlineStr">
        <is>
          <t>HIGH — semanal, com intervalo de validade explicito</t>
        </is>
      </c>
      <c r="N13" s="3" t="inlineStr">
        <is>
          <t>OBSERVADA</t>
        </is>
      </c>
      <c r="O13" s="3" t="inlineStr">
        <is>
          <t>data lida na rota ou exemplo real datado</t>
        </is>
      </c>
      <c r="P13" s="3" t="inlineStr">
        <is>
          <t>lido na rota em https://www.arsacweb.it/bollettino-agrometeorologico-e-fitosanitario-a: datas 29 novembre 2022 · 22 novembre 2022 · 15 novembre 2022 · 01 novembre 2022 · assunto agrometeo · bollettin · clima · coltur · fenolog · fitosanitar · malatti · raccolt</t>
        </is>
      </c>
      <c r="Q13" s="3" t="inlineStr">
        <is>
          <t>https://www.arsacweb.it/bollettino-agrometeorologico-e-fitosanitario-agrumi-olivo-e-vite/</t>
        </is>
      </c>
      <c r="R13" s="3" t="inlineStr">
        <is>
          <t>MEDIUM</t>
        </is>
      </c>
      <c r="S13" s="3" t="inlineStr">
        <is>
          <t>NAO_EXIGIDA</t>
        </is>
      </c>
      <c r="T13" s="3" t="inlineStr">
        <is>
          <t>busca dirigida ao gap, 2026-09-14: seis titulos datados diferentes da mesma serie apareceram na busca, de maio a setembro de 2026 — recorrencia visivel sem abrir o arquivo</t>
        </is>
      </c>
      <c r="U13" s="3" t="inlineStr">
        <is>
          <t>⚠️ DUAS ROTAS PARA O MESMO DONO: `arsacweb.it` e `arsac.calabria.it` publicam a mesma serie. E' SAME_SOURCE_VARIANT_URL, nao duas fontes.</t>
        </is>
      </c>
      <c r="V13" s="3" t="inlineStr">
        <is>
          <t>2026-09-14 (sonda urllib, UA de navegador)</t>
        </is>
      </c>
      <c r="W13" s="3" t="inlineStr">
        <is>
          <t>37 da missao anterior</t>
        </is>
      </c>
    </row>
    <row r="14">
      <c r="A14" s="3" t="inlineStr">
        <is>
          <t>Notiziario agrometeorologico e fitosanitario delle Marche</t>
        </is>
      </c>
      <c r="B14" s="3" t="inlineStr">
        <is>
          <t>Regione Marche — AMAP (Agenzia per l'Innovazione nel settore Agroalimentare e della Pesca), que absorveu a ASSAM</t>
        </is>
      </c>
      <c r="C14" s="3" t="inlineStr">
        <is>
          <t>A</t>
        </is>
      </c>
      <c r="D14" s="3" t="inlineStr">
        <is>
          <t>https://meteo.regione.marche.it/</t>
        </is>
      </c>
      <c r="E14" s="3" t="inlineStr">
        <is>
          <t>IT</t>
        </is>
      </c>
      <c r="F14" s="3" t="inlineStr">
        <is>
          <t>Marche</t>
        </is>
      </c>
      <c r="G14" s="3" t="inlineStr">
        <is>
          <t>Marche</t>
        </is>
      </c>
      <c r="H14" s="3" t="inlineStr">
        <is>
          <t>T1 T2</t>
        </is>
      </c>
      <c r="I14" s="3" t="inlineStr">
        <is>
          <t>WINDOWS</t>
        </is>
      </c>
      <c r="J14" s="3" t="inlineStr">
        <is>
          <t>WINDOWS · FASE FENOLOGICA DA CULTURA (o que a planta esta a fazer) || WINDOWS · OBSERVACAO DE CAMPO (fase observada, nao esperada)</t>
        </is>
      </c>
      <c r="K14" s="3" t="inlineStr">
        <is>
          <t>notiziario com CODIGO BBCH explicito por cultura</t>
        </is>
      </c>
      <c r="L14" s="3" t="inlineStr">
        <is>
          <t>PRIMARY</t>
        </is>
      </c>
      <c r="M14" s="3" t="inlineStr">
        <is>
          <t>HIGH — notiziario periodico</t>
        </is>
      </c>
      <c r="N14" s="3" t="inlineStr">
        <is>
          <t>OBSERVADA</t>
        </is>
      </c>
      <c r="O14" s="3" t="inlineStr">
        <is>
          <t>data lida na rota ou exemplo real datado</t>
        </is>
      </c>
      <c r="P14" s="3" t="inlineStr">
        <is>
          <t>lido na rota em https://meteo.regione.marche.it/: datas 13/09/2026 · assunto agrometeo · bollettin · clima · coltur · difesa integrata · fenolog · produzione · produzi</t>
        </is>
      </c>
      <c r="Q14" s="3" t="inlineStr">
        <is>
          <t>https://meteo.regione.marche.it/</t>
        </is>
      </c>
      <c r="R14" s="3" t="inlineStr">
        <is>
          <t>MEDIUM</t>
        </is>
      </c>
      <c r="S14" s="3" t="inlineStr">
        <is>
          <t>NAO_EXIGIDA</t>
        </is>
      </c>
      <c r="T14" s="3" t="inlineStr">
        <is>
          <t>busca dirigida ao gap, 2026-09-14: codigos BBCH numericos por cultura lidos no notiziario</t>
        </is>
      </c>
      <c r="U14" s="3" t="inlineStr">
        <is>
          <t>o ASSAM tem historico de rota atras de login (`assam-agrometeo.invionews.net` foi controle negativo da missao anterior). Confirmar qual das rotas e' publica.</t>
        </is>
      </c>
      <c r="V14" s="3" t="inlineStr">
        <is>
          <t>2026-09-14 (sonda urllib, UA de navegador)</t>
        </is>
      </c>
      <c r="W14" s="3" t="inlineStr">
        <is>
          <t>37 da missao anterior</t>
        </is>
      </c>
    </row>
    <row r="15">
      <c r="A15" s="3" t="inlineStr">
        <is>
          <t>Bollettini fenologici di uno studio agronomico privato (Agralia)</t>
        </is>
      </c>
      <c r="B15" s="3" t="inlineStr">
        <is>
          <t>Agralia Studio Agronomico — Brescia</t>
        </is>
      </c>
      <c r="C15" s="3" t="inlineStr">
        <is>
          <t>B</t>
        </is>
      </c>
      <c r="D15" s="3" t="inlineStr">
        <is>
          <t>https://www.agralia.it/</t>
        </is>
      </c>
      <c r="E15" s="3" t="inlineStr">
        <is>
          <t>IT</t>
        </is>
      </c>
      <c r="F15" s="3" t="inlineStr">
        <is>
          <t>Brescia / Lombardia</t>
        </is>
      </c>
      <c r="G15" s="3" t="inlineStr">
        <is>
          <t>Brescia / Lombardia</t>
        </is>
      </c>
      <c r="H15" s="3" t="inlineStr">
        <is>
          <t>T1 T3 T8</t>
        </is>
      </c>
      <c r="I15" s="3" t="inlineStr">
        <is>
          <t>VOICES · WINDOWS</t>
        </is>
      </c>
      <c r="J15" s="3" t="inlineStr">
        <is>
          <t>WINDOWS · FASE FENOLOGICA DA CULTURA (o que a planta esta a fazer) || WINDOWS · OBSERVACAO DE CAMPO (fase observada, nao esperada) || VOICES · PAPEL de quem fala (produtor? tecnico? amador?) || VOICES · Voz de campo com autor identificado</t>
        </is>
      </c>
      <c r="K15" s="3" t="inlineStr">
        <is>
          <t>boletim periodico proprio para viticultura e olivicultura, cruzando chuva, temperatura, MOLHA FOLIAR e humidade com observacao direta em campo, e concluindo em posicionamento de tratamento</t>
        </is>
      </c>
      <c r="L15" s="3" t="inlineStr">
        <is>
          <t>PRIMARY</t>
        </is>
      </c>
      <c r="M15" s="3" t="inlineStr">
        <is>
          <t>MEDIUM — periodico, mas periodicidade nao declarada</t>
        </is>
      </c>
      <c r="N15" s="3" t="inlineStr">
        <is>
          <t>OBSERVADA</t>
        </is>
      </c>
      <c r="O15" s="3" t="inlineStr">
        <is>
          <t>data lida na rota ou exemplo real datado</t>
        </is>
      </c>
      <c r="P15" s="3" t="inlineStr">
        <is>
          <t>lido na rota em https://www.agralia.it/: datas 13/03/2026 · assunto agrometeo · autorizzaz · avversit · bollettin · clima · coltur · difesa integrata · fitosa</t>
        </is>
      </c>
      <c r="Q15" s="3" t="inlineStr">
        <is>
          <t>https://www.agralia.it/</t>
        </is>
      </c>
      <c r="R15" s="3" t="inlineStr">
        <is>
          <t>MEDIUM</t>
        </is>
      </c>
      <c r="S15" s="3" t="inlineStr">
        <is>
          <t>NAO_EXIGIDA</t>
        </is>
      </c>
      <c r="T15" s="3" t="inlineStr">
        <is>
          <t>busca dirigida ao gap, 2026-09-14: unico privado que a busca achou a declarar boletim proprio com observacao de campo</t>
        </is>
      </c>
      <c r="U15" s="3" t="inlineStr">
        <is>
          <t>⚠️ boletim de CONSULTORIA: provavelmente reservado a clientes. Fonte de conhecimento, talvez nao de coleta.</t>
        </is>
      </c>
      <c r="V15" s="3" t="inlineStr">
        <is>
          <t>2026-09-14 (sonda urllib, UA de navegador)</t>
        </is>
      </c>
      <c r="W15" s="3" t="inlineStr">
        <is>
          <t>37 da missao anterior</t>
        </is>
      </c>
    </row>
    <row r="16">
      <c r="A16" s="3" t="inlineStr">
        <is>
          <t>Bollettini agronomici per vite dell'Ufficio Agronomico</t>
        </is>
      </c>
      <c r="B16" s="3" t="inlineStr">
        <is>
          <t>Terre dell'Etruria — cooperativa agricola (Toscana)</t>
        </is>
      </c>
      <c r="C16" s="3" t="inlineStr">
        <is>
          <t>B</t>
        </is>
      </c>
      <c r="D16" s="3" t="inlineStr">
        <is>
          <t>https://www.terretruria.it/agronomi/vite/16-bollettini-agronomici-per-vite/</t>
        </is>
      </c>
      <c r="E16" s="3" t="inlineStr">
        <is>
          <t>IT</t>
        </is>
      </c>
      <c r="F16" s="3" t="inlineStr">
        <is>
          <t>Toscana costeira (Livorno/Grosseto)</t>
        </is>
      </c>
      <c r="G16" s="3" t="inlineStr">
        <is>
          <t>Toscana costeira (Livorno/Grosseto)</t>
        </is>
      </c>
      <c r="H16" s="3" t="inlineStr">
        <is>
          <t>T1 T3 T8</t>
        </is>
      </c>
      <c r="I16" s="3" t="inlineStr">
        <is>
          <t>VOICES · WINDOWS</t>
        </is>
      </c>
      <c r="J16" s="3" t="inlineStr">
        <is>
          <t>WINDOWS · FASE DO PROBLEMA (em que estadio esta a praga/doenca) || VOICES · PAPEL de quem fala (produtor? tecnico? amador?) || VOICES · Voz de campo com autor identificado</t>
        </is>
      </c>
      <c r="K16" s="3" t="inlineStr">
        <is>
          <t>boletins proprios dos tecnicos da cooperativa, com tabelas de estrategia de defesa por REGIME de cultivo da vite</t>
        </is>
      </c>
      <c r="L16" s="3" t="inlineStr">
        <is>
          <t>PRIMARY</t>
        </is>
      </c>
      <c r="M16" s="3" t="inlineStr">
        <is>
          <t>MEDIUM — declarado como serie, sem periodicidade escrita</t>
        </is>
      </c>
      <c r="N16" s="3" t="inlineStr">
        <is>
          <t>OBSERVADA</t>
        </is>
      </c>
      <c r="O16" s="3" t="inlineStr">
        <is>
          <t>data lida na rota ou exemplo real datado</t>
        </is>
      </c>
      <c r="P16" s="3" t="inlineStr">
        <is>
          <t>lido na rota em https://www.terretruria.it/agronomi/vite/16-bollettini-agronomici-per-: datas 12/08/2023 · 13 giugno 2023 · 30 maggio 2023 · 03/07/2023 · assunto bollettin · clima · coltiv · coltur · fitosanitar · malatti · monitoraggio · pest</t>
        </is>
      </c>
      <c r="Q16" s="3" t="inlineStr">
        <is>
          <t>https://www.terretruria.it/agronomi/vite/16-bollettini-agronomici-per-vite/</t>
        </is>
      </c>
      <c r="R16" s="3" t="inlineStr">
        <is>
          <t>MEDIUM</t>
        </is>
      </c>
      <c r="S16" s="3" t="inlineStr">
        <is>
          <t>NAO_EXIGIDA</t>
        </is>
      </c>
      <c r="T16" s="3" t="inlineStr">
        <is>
          <t>busca dirigida ao gap, 2026-09-14: rota com numeracao de serie no proprio caminho</t>
        </is>
      </c>
      <c r="U16" s="3" t="inlineStr">
        <is>
          <t>cooperativa fala para socios; alcance fora do circulo e' NAO SEI.</t>
        </is>
      </c>
      <c r="V16" s="3" t="inlineStr">
        <is>
          <t>2026-09-14 (sonda urllib, UA de navegador)</t>
        </is>
      </c>
      <c r="W16" s="3" t="inlineStr">
        <is>
          <t>37 da missao anterior</t>
        </is>
      </c>
    </row>
    <row r="17">
      <c r="A17" s="3" t="inlineStr">
        <is>
          <t>Dataflow DCSP_COLTIVAZIONI (coltivazioni: superficie, produzione, resa)</t>
        </is>
      </c>
      <c r="B17" s="3" t="inlineStr">
        <is>
          <t>ISTAT</t>
        </is>
      </c>
      <c r="C17" s="3" t="inlineStr">
        <is>
          <t>A</t>
        </is>
      </c>
      <c r="D17" s="3" t="inlineStr">
        <is>
          <t>https://esploradati.istat.it/SDMXWS/rest/dataflow/IT1/101_1015_DF_DCSP_COLTIVAZIONI_1</t>
        </is>
      </c>
      <c r="E17" s="3" t="inlineStr">
        <is>
          <t>IT</t>
        </is>
      </c>
      <c r="F17" s="3" t="inlineStr">
        <is>
          <t>NACIONAL com regiao, provincia e altimetria</t>
        </is>
      </c>
      <c r="G17" s="3" t="inlineStr">
        <is>
          <t>NACIONAL com regiao, provincia e altimetria</t>
        </is>
      </c>
      <c r="H17" s="3" t="inlineStr">
        <is>
          <t>T10</t>
        </is>
      </c>
      <c r="I17" s="3" t="inlineStr">
        <is>
          <t>MARKET · RADAR</t>
        </is>
      </c>
      <c r="J17" s="3" t="inlineStr">
        <is>
          <t>MARKET · PRODUCAO, AREA e RENDIMENTO por cultura || RADAR · ENTRADA: mercado da mesma cultura</t>
        </is>
      </c>
      <c r="K17" s="3" t="inlineStr">
        <is>
          <t>superficie, producao colhida e rendimento por cultura, com estimativas MENSAIS e desagregacao por regiao, provincia e ZONA ALTIMETRICA</t>
        </is>
      </c>
      <c r="L17" s="3" t="inlineStr">
        <is>
          <t>PRIMARY</t>
        </is>
      </c>
      <c r="M17" s="3" t="inlineStr">
        <is>
          <t>HIGH — estimativas mensais, serie anual consolidada</t>
        </is>
      </c>
      <c r="N17" s="3" t="inlineStr">
        <is>
          <t>OBSERVADA</t>
        </is>
      </c>
      <c r="O17" s="3" t="inlineStr">
        <is>
          <t>data lida na rota ou exemplo real datado</t>
        </is>
      </c>
      <c r="P17" s="3" t="inlineStr">
        <is>
          <t>a chamada de DADO devolveu 13.522.174 bytes de CSV real, com as colunas REF_AREA · TYPE_OF_CROP · TIME_PERIOD · OBS_VALUE · UNIT_MEAS · OBS_STATUS. Nao e' pagina que fala de dado: e' o dado.</t>
        </is>
      </c>
      <c r="Q17" s="3" t="inlineStr">
        <is>
          <t>https://esploradati.istat.it/SDMXWS/rest/dataflow/IT1/101_1015_DF_DCSP_COLTIVAZIONI_1</t>
        </is>
      </c>
      <c r="R17" s="3" t="inlineStr">
        <is>
          <t>MEDIUM</t>
        </is>
      </c>
      <c r="S17" s="3" t="inlineStr">
        <is>
          <t>NAO_EXIGIDA</t>
        </is>
      </c>
      <c r="T17" s="3" t="inlineStr">
        <is>
          <t>busca dirigida ao gap, 2026-09-14: nome do dataflow e raiz do servico SDMX identificados; as tres fontes terceiras estao declaradas pelo ISTAT</t>
        </is>
      </c>
      <c r="U17" s="3" t="inlineStr">
        <is>
          <t>a zona altimetrica nao e' a regiao agronomica do boletim fitossanitario. Juntar as duas e' trabalho, nao e' leitura.</t>
        </is>
      </c>
      <c r="V17" s="3" t="inlineStr">
        <is>
          <t>2026-09-14 (sonda urllib, UA de navegador)</t>
        </is>
      </c>
      <c r="W17" s="3" t="inlineStr">
        <is>
          <t>37 da missao anterior</t>
        </is>
      </c>
    </row>
    <row r="18">
      <c r="A18" s="3" t="inlineStr">
        <is>
          <t>Indice dei prezzi dei mezzi correnti di produzione</t>
        </is>
      </c>
      <c r="B18" s="3" t="inlineStr">
        <is>
          <t>ISMEA</t>
        </is>
      </c>
      <c r="C18" s="3" t="inlineStr">
        <is>
          <t>A</t>
        </is>
      </c>
      <c r="D18" s="3" t="inlineStr">
        <is>
          <t>https://www.ismeamercati.it/analisi-e-studio-filiere-agroalimentari</t>
        </is>
      </c>
      <c r="E18" s="3" t="inlineStr">
        <is>
          <t>IT</t>
        </is>
      </c>
      <c r="F18" s="3" t="inlineStr">
        <is>
          <t>NACIONAL</t>
        </is>
      </c>
      <c r="G18" s="3" t="inlineStr">
        <is>
          <t>NACIONAL</t>
        </is>
      </c>
      <c r="H18" s="3" t="inlineStr">
        <is>
          <t>T10</t>
        </is>
      </c>
      <c r="I18" s="3" t="inlineStr">
        <is>
          <t>MARKET</t>
        </is>
      </c>
      <c r="J18" s="3" t="inlineStr">
        <is>
          <t>MARKET · CUSTO DE INSUMO (pressao de custo) || MARKET · Serie de preco com 3+ pontos (para tendencia)</t>
        </is>
      </c>
      <c r="K18" s="3" t="inlineStr">
        <is>
          <t>indice mensal do preco dos meios correntes de producao (fertilizante, fitossanitario, energia, semente), serie desde 1984</t>
        </is>
      </c>
      <c r="L18" s="3" t="inlineStr">
        <is>
          <t>PRIMARY</t>
        </is>
      </c>
      <c r="M18" s="3" t="inlineStr">
        <is>
          <t>HIGH — mensal, com recolha semanal por tras</t>
        </is>
      </c>
      <c r="N18" s="3" t="inlineStr">
        <is>
          <t>OBSERVADA</t>
        </is>
      </c>
      <c r="O18" s="3" t="inlineStr">
        <is>
          <t>data lida na rota ou exemplo real datado</t>
        </is>
      </c>
      <c r="P18" s="3" t="inlineStr">
        <is>
          <t>lido na rota em https://www.ismeamercati.it/analisi-e-studio-filiere-agroalimentari: datas 11/09/2026 · 07/08/2026 · 06/07/2026 · 30/05/2026 · assunto clima · coltur · prezz · produzione · semina · superfici · vendemmia</t>
        </is>
      </c>
      <c r="Q18" s="3" t="inlineStr">
        <is>
          <t>https://www.ismeamercati.it/analisi-e-studio-filiere-agroalimentari</t>
        </is>
      </c>
      <c r="R18" s="3" t="inlineStr">
        <is>
          <t>MEDIUM</t>
        </is>
      </c>
      <c r="S18" s="3" t="inlineStr">
        <is>
          <t>NAO_EXIGIDA</t>
        </is>
      </c>
      <c r="T18" s="3" t="inlineStr">
        <is>
          <t>busca dirigida ao gap, 2026-09-14: volumes de recolha e data de inicio da serie declarados pelo ISMEA</t>
        </is>
      </c>
      <c r="U18" s="3" t="inlineStr">
        <is>
          <t>⚠️ DESCONTINUIDADE DECLARADA, E E' GRAVE PARA SERIE: a rede de recolha foi revista a partir de JANEIRO DE 2025, e os indices mensais deixam de ser comparaveis com o ano anterior. A base muda para 2020 a partir de 01/01/2026. Comparar 2024 com 2025 sem saber disto produz uma variacao que nao aconteceu.</t>
        </is>
      </c>
      <c r="V18" s="3" t="inlineStr">
        <is>
          <t>2026-09-14 (sonda urllib, UA de navegador)</t>
        </is>
      </c>
      <c r="W18" s="3" t="inlineStr">
        <is>
          <t>37 da missao anterior</t>
        </is>
      </c>
    </row>
    <row r="19">
      <c r="A19" s="3" t="inlineStr">
        <is>
          <t>Monitoraggio dei costi medi di produzione</t>
        </is>
      </c>
      <c r="B19" s="3" t="inlineStr">
        <is>
          <t>ISMEA</t>
        </is>
      </c>
      <c r="C19" s="3" t="inlineStr">
        <is>
          <t>B</t>
        </is>
      </c>
      <c r="D19" s="3" t="inlineStr">
        <is>
          <t>https://www.ismea.it/istituto-di-servizi-per-il-mercato-agricolo-alimentare</t>
        </is>
      </c>
      <c r="E19" s="3" t="inlineStr">
        <is>
          <t>IT</t>
        </is>
      </c>
      <c r="F19" s="3" t="inlineStr">
        <is>
          <t>NACIONAL, por cluster</t>
        </is>
      </c>
      <c r="G19" s="3" t="inlineStr">
        <is>
          <t>NACIONAL, por cluster</t>
        </is>
      </c>
      <c r="H19" s="3" t="inlineStr">
        <is>
          <t>T10</t>
        </is>
      </c>
      <c r="I19" s="3" t="inlineStr">
        <is>
          <t>MARKET</t>
        </is>
      </c>
      <c r="J19" s="3" t="inlineStr">
        <is>
          <t>MARKET · CUSTO DE INSUMO (pressao de custo)</t>
        </is>
      </c>
      <c r="K19" s="3" t="inlineStr">
        <is>
          <t>custo medio de producao em EUR/tonelada por cluster de empresa</t>
        </is>
      </c>
      <c r="L19" s="3" t="inlineStr">
        <is>
          <t>PRIMARY</t>
        </is>
      </c>
      <c r="M19" s="3" t="inlineStr">
        <is>
          <t>MEDIUM — campanha</t>
        </is>
      </c>
      <c r="N19" s="3" t="inlineStr">
        <is>
          <t>OBSERVADA</t>
        </is>
      </c>
      <c r="O19" s="3" t="inlineStr">
        <is>
          <t>data lida na rota ou exemplo real datado</t>
        </is>
      </c>
      <c r="P19" s="3" t="inlineStr">
        <is>
          <t>lido na rota em https://www.ismea.it/istituto-di-servizi-per-il-mercato-agricolo-alime: datas 23/07/2026 · 13 settembre 2026 · 24/06/2026 · 29/05/2026 · assunto autorizzaz · clima · coltur · mercato · pest · resa · superfici</t>
        </is>
      </c>
      <c r="Q19" s="3" t="inlineStr">
        <is>
          <t>https://www.ismea.it/istituto-di-servizi-per-il-mercato-agricolo-alimentare</t>
        </is>
      </c>
      <c r="R19" s="3" t="inlineStr">
        <is>
          <t>MEDIUM</t>
        </is>
      </c>
      <c r="S19" s="3" t="inlineStr">
        <is>
          <t>NAO_EXIGIDA</t>
        </is>
      </c>
      <c r="T19" s="3" t="inlineStr">
        <is>
          <t>busca dirigida ao gap, 2026-09-14: existencia e finalidade declaradas pelo ISMEA</t>
        </is>
      </c>
      <c r="U19" s="3" t="inlineStr">
        <is>
          <t>⚠️ EXIGE REGISTO. Dado atras de conta nao e' dado aberto, e a coleta automatica dele e' outra decisao.</t>
        </is>
      </c>
      <c r="V19" s="3" t="inlineStr">
        <is>
          <t>2026-09-14 (sonda urllib, UA de navegador)</t>
        </is>
      </c>
      <c r="W19" s="3" t="inlineStr">
        <is>
          <t>37 da missao anterior</t>
        </is>
      </c>
    </row>
    <row r="20">
      <c r="A20" s="3" t="inlineStr">
        <is>
          <t>Cantina Italia — giacenze di vino</t>
        </is>
      </c>
      <c r="B20" s="3" t="inlineStr">
        <is>
          <t>MASAF / CREA, via registro telematico SIAN</t>
        </is>
      </c>
      <c r="C20" s="3" t="inlineStr">
        <is>
          <t>B</t>
        </is>
      </c>
      <c r="D20" s="3" t="inlineStr">
        <is>
          <t>https://www.masaf.gov.it/flex/cm/pages/ServeBLOB.php/L/IT/IDPagina/202</t>
        </is>
      </c>
      <c r="E20" s="3" t="inlineStr">
        <is>
          <t>IT</t>
        </is>
      </c>
      <c r="F20" s="3" t="inlineStr">
        <is>
          <t>NACIONAL com regiao</t>
        </is>
      </c>
      <c r="G20" s="3" t="inlineStr">
        <is>
          <t>NACIONAL com regiao</t>
        </is>
      </c>
      <c r="H20" s="3" t="inlineStr">
        <is>
          <t>T10</t>
        </is>
      </c>
      <c r="I20" s="3" t="inlineStr">
        <is>
          <t>MARKET</t>
        </is>
      </c>
      <c r="J20" s="3" t="inlineStr">
        <is>
          <t>MARKET · STOCKS / existencias</t>
        </is>
      </c>
      <c r="K20" s="3" t="inlineStr">
        <is>
          <t>existencias declaradas de vinho, por REGIAO, com periodicidade mensal, a partir da declaracao obrigatoria no registo telematico</t>
        </is>
      </c>
      <c r="L20" s="3" t="inlineStr">
        <is>
          <t>PRIMARY</t>
        </is>
      </c>
      <c r="M20" s="3" t="inlineStr">
        <is>
          <t>HIGH — mensal</t>
        </is>
      </c>
      <c r="N20" s="3" t="inlineStr">
        <is>
          <t>OBSERVADA</t>
        </is>
      </c>
      <c r="O20" s="3" t="inlineStr">
        <is>
          <t>data lida na rota ou exemplo real datado</t>
        </is>
      </c>
      <c r="P20" s="3" t="inlineStr">
        <is>
          <t>lido na rota em https://www.masaf.gov.it/flex/cm/pages/ServeBLOB.php/L/IT/IDPagina/202: datas 08/06/2026 · 11/09/2026 · 11 Settembre 2026 · 27/08/2026 · assunto autorizzaz · coltur · mercato · raccolt · registro · stazioni</t>
        </is>
      </c>
      <c r="Q20" s="3" t="inlineStr">
        <is>
          <t>https://www.masaf.gov.it/flex/cm/pages/ServeBLOB.php/L/IT/IDPagina/202</t>
        </is>
      </c>
      <c r="R20" s="3" t="inlineStr">
        <is>
          <t>MEDIUM</t>
        </is>
      </c>
      <c r="S20" s="3" t="inlineStr">
        <is>
          <t>NAO_EXIGIDA</t>
        </is>
      </c>
      <c r="T20" s="3" t="inlineStr">
        <is>
          <t>busca dirigida ao gap, 2026-09-14: identificado como a fonte oficial correta para giacenze por regiao — em contraste com o ISMEA, que NAO faz essa recolha</t>
        </is>
      </c>
      <c r="U20" s="3" t="inlineStr">
        <is>
          <t>rota exata do ficheiro publicado nao foi fixada nesta missao. Classe B por isso, e nao por duvida sobre o dono.</t>
        </is>
      </c>
      <c r="V20" s="3" t="inlineStr">
        <is>
          <t>2026-09-14 (sonda urllib, UA de navegador)</t>
        </is>
      </c>
      <c r="W20" s="3" t="inlineStr">
        <is>
          <t>37 da missao anterior</t>
        </is>
      </c>
    </row>
    <row r="21">
      <c r="A21" s="3" t="inlineStr">
        <is>
          <t>Banca dati dei prodotti fitosanitari</t>
        </is>
      </c>
      <c r="B21" s="3" t="inlineStr">
        <is>
          <t>Ministero della Salute</t>
        </is>
      </c>
      <c r="C21" s="3" t="inlineStr">
        <is>
          <t>A</t>
        </is>
      </c>
      <c r="D21" s="3" t="inlineStr">
        <is>
          <t>https://www.fitosanitari.salute.gov.it/fitosanitariws_new/FitosanitariServlet</t>
        </is>
      </c>
      <c r="E21" s="3" t="inlineStr">
        <is>
          <t>IT</t>
        </is>
      </c>
      <c r="F21" s="3" t="inlineStr">
        <is>
          <t>NACIONAL</t>
        </is>
      </c>
      <c r="G21" s="3" t="inlineStr">
        <is>
          <t>NACIONAL</t>
        </is>
      </c>
      <c r="H21" s="3" t="inlineStr">
        <is>
          <t>T4</t>
        </is>
      </c>
      <c r="I21" s="3" t="inlineStr">
        <is>
          <t>COMPETITORS · PORTFOLIO · RADAR</t>
        </is>
      </c>
      <c r="J21" s="3" t="inlineStr">
        <is>
          <t>PORTFOLIO · Produto, registo e titular || PORTFOLIO · Cultura e ALVO autorizados por produto || PORTFOLIO · Documento oficial do rotulo (PDF) e a sua data/versao || PORTFOLIO · INTERVALO DE SEGURANCA (PHI) e n.o maximo de aplicacoes || PORTFOLIO · ALTERACAO de autorizacao (o que mudou e quando) || COMPETITORS · REGISTO oficial do produto do concorrente || COMPETITORS · PRODUTO do concorrente na atividade || RADAR · ENTRADA: ligacao produto x problema</t>
        </is>
      </c>
      <c r="K21" s="3" t="inlineStr">
        <is>
          <t>registo oficial do produto: numero de registo, titular, cultura e alvo autorizados, com atualizacao diaria e descarga do conjunto completo (~16.500 produtos)</t>
        </is>
      </c>
      <c r="L21" s="3" t="inlineStr">
        <is>
          <t>PRIMARY</t>
        </is>
      </c>
      <c r="M21" s="3" t="inlineStr">
        <is>
          <t>HIGH — diaria</t>
        </is>
      </c>
      <c r="N21" s="3" t="inlineStr">
        <is>
          <t>OBSERVADA</t>
        </is>
      </c>
      <c r="O21" s="3" t="inlineStr">
        <is>
          <t>data lida na rota ou exemplo real datado</t>
        </is>
      </c>
      <c r="P21" s="3" t="inlineStr">
        <is>
          <t>lido na rota em https://www.fitosanitari.salute.gov.it/fitosanitariws_new/Fitosanitari: datas 13 settembre 2026 · assunto autorizzaz · etichetta · fitosanitar · sostanza attiva</t>
        </is>
      </c>
      <c r="Q21" s="3" t="inlineStr">
        <is>
          <t>https://www.fitosanitari.salute.gov.it/fitosanitariws_new/FitosanitariServlet</t>
        </is>
      </c>
      <c r="R21" s="3" t="inlineStr">
        <is>
          <t>MEDIUM</t>
        </is>
      </c>
      <c r="S21" s="3" t="inlineStr">
        <is>
          <t>NAO_EXIGIDA</t>
        </is>
      </c>
      <c r="T21" s="3" t="inlineStr">
        <is>
          <t>busca dirigida ao gap, 2026-09-14: volume e periodicidade declarados; o acervo ja conhece esta casa (ver memoria: os rotulos so abrem no urllib)</t>
        </is>
      </c>
      <c r="U21" s="3" t="inlineStr">
        <is>
          <t>⚠️ O QUE FALTA ESTA DENTRO DO PDF: a carencia e a dose maxima NAO estao na tabela — vivem no ROTULO. Isso explica `interval 15/219 (7%)` e `maxApp 0/219`. O gap nao e' de fonte: e' de EXTRACAO.</t>
        </is>
      </c>
      <c r="V21" s="3" t="inlineStr">
        <is>
          <t>2026-09-14 (sonda urllib, UA de navegador)</t>
        </is>
      </c>
      <c r="W21" s="3" t="inlineStr">
        <is>
          <t>37 da missao anterior</t>
        </is>
      </c>
    </row>
    <row r="22">
      <c r="A22" s="3" t="inlineStr">
        <is>
          <t>Convegno «Prodotti fitosanitari: le novità»</t>
        </is>
      </c>
      <c r="B22" s="3" t="inlineStr">
        <is>
          <t>Regione Emilia-Romagna — Settore Fitosanitario, com as empresas de agrofarmacos</t>
        </is>
      </c>
      <c r="C22" s="3" t="inlineStr">
        <is>
          <t>A</t>
        </is>
      </c>
      <c r="D22" s="3" t="inlineStr">
        <is>
          <t>https://agricoltura.regione.emilia-romagna.it/fitosanitario/incontri-e-convegni/prodotti-fitosanitari-novita-2026</t>
        </is>
      </c>
      <c r="E22" s="3" t="inlineStr">
        <is>
          <t>IT</t>
        </is>
      </c>
      <c r="F22" s="3" t="inlineStr">
        <is>
          <t>Emilia-Romagna como sede; o conteudo e' NACIONAL</t>
        </is>
      </c>
      <c r="G22" s="3" t="inlineStr">
        <is>
          <t>Emilia-Romagna como sede; o conteudo e' NACIONAL</t>
        </is>
      </c>
      <c r="H22" s="3" t="inlineStr">
        <is>
          <t>T4 T9 T11</t>
        </is>
      </c>
      <c r="I22" s="3" t="inlineStr">
        <is>
          <t>COMPETITORS · FUTURE · PORTFOLIO</t>
        </is>
      </c>
      <c r="J22" s="3" t="inlineStr">
        <is>
          <t>PORTFOLIO · ALTERACAO de autorizacao (o que mudou e quando) || PORTFOLIO · AUTORIZACAO EXCECIONAL (art. 53) || PORTFOLIO · Substancia ativa do produto || COMPETITORS · PRODUTO do concorrente na atividade || COMPETITORS · CONTEUDO TECNICO do concorrente (nao publicidade) || COMPETITORS · REGIAO da atividade do concorrente || FUTURE · MUDANCA DE POLITICA em consulta</t>
        </is>
      </c>
      <c r="K22" s="3" t="inlineStr">
        <is>
          <t>as proprias empresas apresentam, uma a uma, novidade de gama e EXTENSAO DE USO, com substancia ativa, cultura e alvo nomeados</t>
        </is>
      </c>
      <c r="L22" s="3" t="inlineStr">
        <is>
          <t>PRIMARY</t>
        </is>
      </c>
      <c r="M22" s="3" t="inlineStr">
        <is>
          <t>MEDIUM — anual, mas com data fixa e programa publicado</t>
        </is>
      </c>
      <c r="N22" s="3" t="inlineStr">
        <is>
          <t>OBSERVADA</t>
        </is>
      </c>
      <c r="O22" s="3" t="inlineStr">
        <is>
          <t>data lida na rota ou exemplo real datado</t>
        </is>
      </c>
      <c r="P22" s="3" t="inlineStr">
        <is>
          <t>lido na rota em https://agricoltura.regione.emilia-romagna.it/fitosanitario/incontri-e: datas 19 febbraio 2026 · 19 febbraio 2026 · 24-02-2026 · assunto avversit · bollettin · coltur · crop · fitosanitar · produzione integrata · registro · sta</t>
        </is>
      </c>
      <c r="Q22" s="3" t="inlineStr">
        <is>
          <t>https://agricoltura.regione.emilia-romagna.it/fitosanitario/incontri-e-convegni/prodotti-fitosanitari-novita-2026</t>
        </is>
      </c>
      <c r="R22" s="3" t="inlineStr">
        <is>
          <t>MEDIUM</t>
        </is>
      </c>
      <c r="S22" s="3" t="inlineStr">
        <is>
          <t>NAO_EXIGIDA</t>
        </is>
      </c>
      <c r="T22" s="3" t="inlineStr">
        <is>
          <t>busca dirigida ao gap, 2026-09-14: quatro produtos de quatro empresas concorrentes, com substancia ativa e cultura, lidos no programa do convegno — mais dois aprofundamentos (Decreto Omnibus para biocontrolo, por Alessandra Moccia/IBMA; medidas de mitigacao para artropodes nao alvo, por Maria Rita Rapagnani/Ministero)</t>
        </is>
      </c>
      <c r="U22" s="3" t="inlineStr">
        <is>
          <t>uma vez por ano. Nao substitui vigilancia continua da base oficial; serve para ler INTENCAO comercial, que a base nao mostra.</t>
        </is>
      </c>
      <c r="V22" s="3" t="inlineStr">
        <is>
          <t>2026-09-14 (sonda urllib, UA de navegador)</t>
        </is>
      </c>
      <c r="W22" s="3" t="inlineStr">
        <is>
          <t>37 da missao anterior</t>
        </is>
      </c>
    </row>
    <row r="23">
      <c r="A23" s="3" t="inlineStr">
        <is>
          <t>Protezione delle Piante — Emergenze, Sorveglianza, Barriere</t>
        </is>
      </c>
      <c r="B23" s="3" t="inlineStr">
        <is>
          <t>Servizio Fitosanitario Nazionale (MASAF)</t>
        </is>
      </c>
      <c r="C23" s="3" t="inlineStr">
        <is>
          <t>A</t>
        </is>
      </c>
      <c r="D23" s="3" t="inlineStr">
        <is>
          <t>https://www.protezionedellepiante.it/</t>
        </is>
      </c>
      <c r="E23" s="3" t="inlineStr">
        <is>
          <t>IT</t>
        </is>
      </c>
      <c r="F23" s="3" t="inlineStr">
        <is>
          <t>NACIONAL, com regiao na declaracao</t>
        </is>
      </c>
      <c r="G23" s="3" t="inlineStr">
        <is>
          <t>NACIONAL, com regiao na declaracao</t>
        </is>
      </c>
      <c r="H23" s="3" t="inlineStr">
        <is>
          <t>T3 T9</t>
        </is>
      </c>
      <c r="I23" s="3" t="inlineStr">
        <is>
          <t>FUTURE · WINDOWS</t>
        </is>
      </c>
      <c r="J23" s="3" t="inlineStr">
        <is>
          <t>FUTURE · PRAGA OU DOENCA EMERGENTE (primeira deteccao) || FUTURE · Sinal novo com o que se observou e quem o disse || WINDOWS · ATO REGULATORIO regional que abre/fecha a janela</t>
        </is>
      </c>
      <c r="K23" s="3" t="inlineStr">
        <is>
          <t>declaracao oficial de PRIMEIRA DETECAO de organismo nocivo, vigilancia (Piano Nazionale di Indagine) e barreiras fitossanitarias</t>
        </is>
      </c>
      <c r="L23" s="3" t="inlineStr">
        <is>
          <t>PRIMARY</t>
        </is>
      </c>
      <c r="M23" s="3" t="inlineStr">
        <is>
          <t>HIGH — por evento, e evento ha sempre</t>
        </is>
      </c>
      <c r="N23" s="3" t="inlineStr">
        <is>
          <t>OBSERVADA</t>
        </is>
      </c>
      <c r="O23" s="3" t="inlineStr">
        <is>
          <t>data lida na rota ou exemplo real datado</t>
        </is>
      </c>
      <c r="P23" s="3" t="inlineStr">
        <is>
          <t>lido na rota em https://www.protezionedellepiante.it/: datas 30 giugno 2026 · 12-08-2026 · 30 giugno 2026 · 11-08-2026 · assunto coltiv · coltur · fitosanitar · registro</t>
        </is>
      </c>
      <c r="Q23" s="3" t="inlineStr">
        <is>
          <t>https://www.protezionedellepiante.it/</t>
        </is>
      </c>
      <c r="R23" s="3" t="inlineStr">
        <is>
          <t>MEDIUM</t>
        </is>
      </c>
      <c r="S23" s="3" t="inlineStr">
        <is>
          <t>NAO_EXIGIDA</t>
        </is>
      </c>
      <c r="T23" s="3" t="inlineStr">
        <is>
          <t>busca dirigida ao gap, 2026-09-14: as tres secoes e o nome do responsavel do servico central foram lidos na propria estrutura do sitio</t>
        </is>
      </c>
      <c r="U23" s="3" t="inlineStr">
        <is>
          <t>primeira detecao e' evento raro por definicao. Serie curta, valor alto — o contrario de um boletim semanal.</t>
        </is>
      </c>
      <c r="V23" s="3" t="inlineStr">
        <is>
          <t>2026-09-14 (sonda urllib, UA de navegador)</t>
        </is>
      </c>
      <c r="W23" s="3" t="inlineStr">
        <is>
          <t>37 da missao anterior</t>
        </is>
      </c>
    </row>
    <row r="24">
      <c r="A24" s="3" t="inlineStr">
        <is>
          <t>Salute delle piante in Lombardia · app Fitodetective</t>
        </is>
      </c>
      <c r="B24" s="3" t="inlineStr">
        <is>
          <t>Regione Lombardia — Servizio Fitosanitario regionale</t>
        </is>
      </c>
      <c r="C24" s="3" t="inlineStr">
        <is>
          <t>B</t>
        </is>
      </c>
      <c r="D24" s="3" t="inlineStr">
        <is>
          <t>https://www.salutepianteinlombardia.it/</t>
        </is>
      </c>
      <c r="E24" s="3" t="inlineStr">
        <is>
          <t>IT</t>
        </is>
      </c>
      <c r="F24" s="3" t="inlineStr">
        <is>
          <t>Lombardia</t>
        </is>
      </c>
      <c r="G24" s="3" t="inlineStr">
        <is>
          <t>Lombardia</t>
        </is>
      </c>
      <c r="H24" s="3" t="inlineStr">
        <is>
          <t>T3</t>
        </is>
      </c>
      <c r="I24" s="3" t="inlineStr">
        <is>
          <t>FUTURE · VOICES</t>
        </is>
      </c>
      <c r="J24" s="3" t="inlineStr">
        <is>
          <t>FUTURE · PRAGA OU DOENCA EMERGENTE (primeira deteccao) || VOICES · REGIAO da voz de campo</t>
        </is>
      </c>
      <c r="K24" s="3" t="inlineStr">
        <is>
          <t>alerta regional de organismo nocivo e canal de reporte cidadao (app) que gera observacao georreferenciada</t>
        </is>
      </c>
      <c r="L24" s="3" t="inlineStr">
        <is>
          <t>PRIMARY</t>
        </is>
      </c>
      <c r="M24" s="3" t="inlineStr">
        <is>
          <t>MEDIUM — por evento</t>
        </is>
      </c>
      <c r="N24" s="3" t="inlineStr">
        <is>
          <t>OBSERVADA</t>
        </is>
      </c>
      <c r="O24" s="3" t="inlineStr">
        <is>
          <t>data lida na rota ou exemplo real datado</t>
        </is>
      </c>
      <c r="P24" s="3" t="inlineStr">
        <is>
          <t>lido na rota em https://www.salutepianteinlombardia.it/: datas 21 Ottobre 2020 · assunto autorizzaz · clima · fitosanitar · malatti · parassit · plant protection</t>
        </is>
      </c>
      <c r="Q24" s="3" t="inlineStr">
        <is>
          <t>https://www.salutepianteinlombardia.it/</t>
        </is>
      </c>
      <c r="R24" s="3" t="inlineStr">
        <is>
          <t>MEDIUM</t>
        </is>
      </c>
      <c r="S24" s="3" t="inlineStr">
        <is>
          <t>NAO_EXIGIDA</t>
        </is>
      </c>
      <c r="T24" s="3" t="inlineStr">
        <is>
          <t>busca dirigida ao gap, 2026-09-14: portal e app identificados</t>
        </is>
      </c>
      <c r="U24" s="3" t="inlineStr">
        <is>
          <t>reporte de cidadao nao e' diagnostico. Sem confirmacao do servico, e' suspeita — e suspeita nao e' primeira detecao.</t>
        </is>
      </c>
      <c r="V24" s="3" t="inlineStr">
        <is>
          <t>2026-09-14 (sonda urllib, UA de navegador)</t>
        </is>
      </c>
      <c r="W24" s="3" t="inlineStr">
        <is>
          <t>37 da missao anterior</t>
        </is>
      </c>
    </row>
    <row r="25">
      <c r="A25" s="3" t="inlineStr">
        <is>
          <t>Rete agrometeorologica regionale (archivio dati)</t>
        </is>
      </c>
      <c r="B25" s="3" t="inlineStr">
        <is>
          <t>Regione Campania — Assessorato Agricoltura</t>
        </is>
      </c>
      <c r="C25" s="3" t="inlineStr">
        <is>
          <t>A</t>
        </is>
      </c>
      <c r="D25" s="3" t="inlineStr">
        <is>
          <t>https://agricoltura.regione.campania.it/meteo/archivio_meteo.html</t>
        </is>
      </c>
      <c r="E25" s="3" t="inlineStr">
        <is>
          <t>IT</t>
        </is>
      </c>
      <c r="F25" s="3" t="inlineStr">
        <is>
          <t>Campania</t>
        </is>
      </c>
      <c r="G25" s="3" t="inlineStr">
        <is>
          <t>Campania</t>
        </is>
      </c>
      <c r="H25" s="3" t="inlineStr">
        <is>
          <t>T2 T3</t>
        </is>
      </c>
      <c r="I25" s="3" t="inlineStr">
        <is>
          <t>FUTURE · WINDOWS</t>
        </is>
      </c>
      <c r="J25" s="3" t="inlineStr">
        <is>
          <t>WINDOWS · Janela de monitorizacao (quando ir olhar) || FUTURE · DESLOCACAO CLIMATICA que muda a pressao de praga</t>
        </is>
      </c>
      <c r="K25" s="3" t="inlineStr">
        <is>
          <t>dado diario de temperatura, humidade e chuva, MAIS parametros agrometeorologicos: MOLHA FOLIAR e humidade do solo, em Excel</t>
        </is>
      </c>
      <c r="L25" s="3" t="inlineStr">
        <is>
          <t>PRIMARY</t>
        </is>
      </c>
      <c r="M25" s="3" t="inlineStr">
        <is>
          <t>HIGH — diaria</t>
        </is>
      </c>
      <c r="N25" s="3" t="inlineStr">
        <is>
          <t>OBSERVADA</t>
        </is>
      </c>
      <c r="O25" s="3" t="inlineStr">
        <is>
          <t>data lida na rota ou exemplo real datado</t>
        </is>
      </c>
      <c r="P25" s="3" t="inlineStr">
        <is>
          <t>lido na rota em https://agricoltura.regione.campania.it/meteo/archivio_meteo.html: datas 3 gennaio 2025 · assunto agrometeo · coltur · stazioni</t>
        </is>
      </c>
      <c r="Q25" s="3" t="inlineStr">
        <is>
          <t>https://agricoltura.regione.campania.it/meteo/archivio_meteo.html</t>
        </is>
      </c>
      <c r="R25" s="3" t="inlineStr">
        <is>
          <t>MEDIUM</t>
        </is>
      </c>
      <c r="S25" s="3" t="inlineStr">
        <is>
          <t>NAO_EXIGIDA</t>
        </is>
      </c>
      <c r="T25" s="3" t="inlineStr">
        <is>
          <t>busca dirigida ao gap, 2026-09-14: a molha foliar e' o parametro que liga clima a risco de doenca, e esta declarada como descarregavel</t>
        </is>
      </c>
      <c r="U25" s="3" t="inlineStr">
        <is>
          <t>Excel por interface. E a memoria do projeto ja registou o mesmo parametro na ARPAV por API REST sem chave — a ARPAV e' a rota mais facil para o mesmo tipo de dado.</t>
        </is>
      </c>
      <c r="V25" s="3" t="inlineStr">
        <is>
          <t>2026-09-14 (sonda urllib, UA de navegador)</t>
        </is>
      </c>
      <c r="W25" s="3" t="inlineStr">
        <is>
          <t>37 da missao anterior</t>
        </is>
      </c>
    </row>
  </sheetData>
  <mergeCells count="1">
    <mergeCell ref="A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58" customWidth="1" min="2" max="2"/>
    <col width="27" customWidth="1" min="3" max="3"/>
    <col width="60" customWidth="1" min="4" max="4"/>
    <col width="44" customWidth="1" min="5" max="5"/>
    <col width="60" customWidth="1" min="6" max="6"/>
    <col width="60" customWidth="1" min="7" max="7"/>
    <col width="34" customWidth="1" min="8" max="8"/>
  </cols>
  <sheetData>
    <row r="1" ht="46" customHeight="1">
      <c r="A1" s="1" t="inlineStr">
        <is>
          <t>OS 15 CRITICOS, CLASSIFICADOS POR TIPO ANTES DE SE PROCURAR MAIS. Procurar fonte publica para um dado que a lei proibe publicar e' procurar para sempre — por isso o tipo vem primeiro. Leia a coluna PROCURAR_MAIS_FONTE_RESOLVE: em 5 dos 15, a resposta e' NAO, e a accao fica noutro sitio.</t>
        </is>
      </c>
    </row>
    <row r="2">
      <c r="A2" s="2" t="inlineStr">
        <is>
          <t>TOOL</t>
        </is>
      </c>
      <c r="B2" s="2" t="inlineStr">
        <is>
          <t>RAW_NEED</t>
        </is>
      </c>
      <c r="C2" s="2" t="inlineStr">
        <is>
          <t>GAP_TYPE</t>
        </is>
      </c>
      <c r="D2" s="2" t="inlineStr">
        <is>
          <t>MEDICAO_QUE_PROVA</t>
        </is>
      </c>
      <c r="E2" s="2" t="inlineStr">
        <is>
          <t>ESTADO_DEPOIS</t>
        </is>
      </c>
      <c r="F2" s="2" t="inlineStr">
        <is>
          <t>QUEM_FECHA</t>
        </is>
      </c>
      <c r="G2" s="2" t="inlineStr">
        <is>
          <t>PORQUE</t>
        </is>
      </c>
      <c r="H2" s="2" t="inlineStr">
        <is>
          <t>PROCURAR_MAIS_FONTE_RESOLVE</t>
        </is>
      </c>
    </row>
    <row r="3">
      <c r="A3" s="3" t="inlineStr">
        <is>
          <t>WINDOWS</t>
        </is>
      </c>
      <c r="B3" s="3" t="inlineStr">
        <is>
          <t>FASE FENOLOGICA DA CULTURA (o que a planta esta a fazer)</t>
        </is>
      </c>
      <c r="C3" s="3" t="inlineStr">
        <is>
          <t>SOURCE_GAP</t>
        </is>
      </c>
      <c r="D3" s="3" t="inlineStr">
        <is>
          <t>CAN.windows CROP_STAGE 0/29 · CROP_STAGE_SOURCE 0/29 · GENERATION_OR_STAGE 0/29</t>
        </is>
      </c>
      <c r="E3" s="3" t="inlineStr">
        <is>
          <t>FECHADO</t>
        </is>
      </c>
      <c r="F3" s="3" t="inlineStr">
        <is>
          <t>Bollettini colture estensive Veneto · Bollettini interprovinciali Emilia-Romagna · ERSA FVG (mais BBCH 42-70) · Bollettini UTM Campania · Consorzi Fitosanitari (pomodoro) · ARSAC · CAAR Liguria · AMAP Marche</t>
        </is>
      </c>
      <c r="G3" s="3" t="inlineStr">
        <is>
          <t>era o buraco central (`CROP_STAGE 0/29`) e agora ha OITO fontes abertas e validadas que publicam fase por cultura. ⚠️ E fica uma correcao minha: eu apresentei o boletim nacional da RRN como fonte de fenologia por cultura — a busca desta missao mediu que ele cobre PRINCIPALMENTE VITE, OLIVO E ROBINIA. Continua forte, mas para tres culturas, nao para dez. As arvenses vem das regioes.</t>
        </is>
      </c>
      <c r="H3" s="3" t="inlineStr">
        <is>
          <t>NAO — ja fechado</t>
        </is>
      </c>
    </row>
    <row r="4">
      <c r="A4" s="3" t="inlineStr">
        <is>
          <t>WINDOWS</t>
        </is>
      </c>
      <c r="B4" s="3" t="inlineStr">
        <is>
          <t>RASTREABILIDADE: que fonte sustenta esta janela</t>
        </is>
      </c>
      <c r="C4" s="3" t="inlineStr">
        <is>
          <t>DATA_MODEL_GAP</t>
        </is>
      </c>
      <c r="D4" s="3" t="inlineStr">
        <is>
          <t>CAN.windows SOURCE_IDS 0/29</t>
        </is>
      </c>
      <c r="E4" s="3" t="inlineStr">
        <is>
          <t>ABERTO — E NAO FECHA COM FONTE</t>
        </is>
      </c>
      <c r="F4" s="3" t="inlineStr">
        <is>
          <t>—</t>
        </is>
      </c>
      <c r="G4" s="3" t="inlineStr">
        <is>
          <t>`SOURCE_IDS 0/29`. As fontes existem, agora 21 delas abertas e validadas. O que falta e' ESCREVER qual sustentou qual janela. Coletar mais nao conserta; a accao e' de modelo de dado.</t>
        </is>
      </c>
      <c r="H4" s="3" t="inlineStr">
        <is>
          <t>NAO — e' ligar/escrever em casa</t>
        </is>
      </c>
    </row>
    <row r="5">
      <c r="A5" s="3" t="inlineStr">
        <is>
          <t>MARKET</t>
        </is>
      </c>
      <c r="B5" s="3" t="inlineStr">
        <is>
          <t>PRODUCAO, AREA e RENDIMENTO por cultura</t>
        </is>
      </c>
      <c r="C5" s="3" t="inlineStr">
        <is>
          <t>SOURCE_GAP</t>
        </is>
      </c>
      <c r="D5" s="3" t="inlineStr">
        <is>
          <t>ING.MARKET nao tem coluna de producao, area nem rendimento</t>
        </is>
      </c>
      <c r="E5" s="3" t="inlineStr">
        <is>
          <t>FECHADO COM DADO NA MAO</t>
        </is>
      </c>
      <c r="F5" s="3" t="inlineStr">
        <is>
          <t>ISTAT dataflow 101_1015_DF_DCSP_COLTIVAZIONI_1 (SDMX)</t>
        </is>
      </c>
      <c r="G5" s="3" t="inlineStr">
        <is>
          <t>⚠️ E AQUI CORRIGI DUAS COISAS MINHAS. O identificador que eu tinha escrito («DCSP_COLTIVAZIONI») NAO EXISTE — o servico responde «Could not find requested structures». Procurei nos 4.907 dataflows publicados e achei o verdadeiro. Depois puxei DADO: 13.522.174 bytes de CSV com as colunas REF_AREA · TYPE_OF_CROP · TIME_PERIOD · OBS_VALUE · UNIT_MEAS. Nao e' pagina que fala de dado — e' o dado. E ha mais dois: `_2` por provincia e `_10` intencoes de semeadura.</t>
        </is>
      </c>
      <c r="H5" s="3" t="inlineStr">
        <is>
          <t>NAO — ja fechado</t>
        </is>
      </c>
    </row>
    <row r="6">
      <c r="A6" s="3" t="inlineStr">
        <is>
          <t>PORTFOLIO</t>
        </is>
      </c>
      <c r="B6" s="3" t="inlineStr">
        <is>
          <t>INTERVALO DE SEGURANCA (PHI) e n.o maximo de aplicacoes</t>
        </is>
      </c>
      <c r="C6" s="3" t="inlineStr">
        <is>
          <t>COLLECTION_CAPABILITY_GAP</t>
        </is>
      </c>
      <c r="D6" s="3" t="inlineStr">
        <is>
          <t>ING.LINKS interval 15/219 (7%) · maxApp 0/219 (0%)</t>
        </is>
      </c>
      <c r="E6" s="3" t="inlineStr">
        <is>
          <t>ABERTO — MAS MUDOU DE NATUREZA</t>
        </is>
      </c>
      <c r="F6" s="3" t="inlineStr">
        <is>
          <t>Ministero (rotulo PDF) · Fitogest (filtra por tempo di carenza)</t>
        </is>
      </c>
      <c r="G6" s="3" t="inlineStr">
        <is>
          <t>`interval 15/219 (7%)` e `maxApp 0/219`. As duas fontes abrem e a segunda FILTRA por carencia, logo tem o campo. O que falta e' capacidade nossa de extrair do PDF do rotulo — e a memoria do projeto diz que esses PDF abrem no urllib. Deixa de ser «procurar fonte» e passa a ser «escrever o extrator».</t>
        </is>
      </c>
      <c r="H6" s="3" t="inlineStr">
        <is>
          <t>NAO — e' capacidade nossa de ler</t>
        </is>
      </c>
    </row>
    <row r="7">
      <c r="A7" s="3" t="inlineStr">
        <is>
          <t>PORTFOLIO</t>
        </is>
      </c>
      <c r="B7" s="3" t="inlineStr">
        <is>
          <t>ALTERACAO de autorizacao (o que mudou e quando)</t>
        </is>
      </c>
      <c r="C7" s="3" t="inlineStr">
        <is>
          <t>SOURCE_GAP</t>
        </is>
      </c>
      <c r="D7" s="3" t="inlineStr">
        <is>
          <t>ausente — nao existe registo de delta de autorizacao</t>
        </is>
      </c>
      <c r="E7" s="3" t="inlineStr">
        <is>
          <t>FECHADO</t>
        </is>
      </c>
      <c r="F7" s="3" t="inlineStr">
        <is>
          <t>Ministero (descarga diaria, comparavel entre dias) · Bollettini interprovinciali Emilia-Romagna (derrogas datadas) · convegno de Bolonha</t>
        </is>
      </c>
      <c r="G7" s="3" t="inlineStr">
        <is>
          <t>campo ausente no casco. Duas vias abertas e validadas: comparar o descarregavel diario consigo mesmo, ou ler a derroga publicada com data — exemplo real medido: Septoria em trigo, uso permitido a partir de 20/03/2026. ⚠️ A derroga e' REGIONAL: vale na Emilia-Romagna, nao em Italia.</t>
        </is>
      </c>
      <c r="H7" s="3" t="inlineStr">
        <is>
          <t>NAO — ja fechado</t>
        </is>
      </c>
    </row>
    <row r="8">
      <c r="A8" s="3" t="inlineStr">
        <is>
          <t>PORTFOLIO</t>
        </is>
      </c>
      <c r="B8" s="3" t="inlineStr">
        <is>
          <t>Ligacao produto x janela de cultura</t>
        </is>
      </c>
      <c r="C8" s="3" t="inlineStr">
        <is>
          <t>DATA_MODEL_GAP</t>
        </is>
      </c>
      <c r="D8" s="3" t="inlineStr">
        <is>
          <t>0/29 · so ITALY_LABEL_VERDICTS (12 VERIFIED) liga produto a problema</t>
        </is>
      </c>
      <c r="E8" s="3" t="inlineStr">
        <is>
          <t>ABERTO — E NAO FECHA COM FONTE</t>
        </is>
      </c>
      <c r="F8" s="3" t="inlineStr">
        <is>
          <t>—</t>
        </is>
      </c>
      <c r="G8" s="3" t="inlineStr">
        <is>
          <t>`PRODUCT_MATCHES 0/29`. Join entre 219 produtos e 29 janelas, ambos em casa. Nenhum italiano publica esta ligacao, e nem devia.</t>
        </is>
      </c>
      <c r="H8" s="3" t="inlineStr">
        <is>
          <t>NAO — e' ligar/escrever em casa</t>
        </is>
      </c>
    </row>
    <row r="9">
      <c r="A9" s="3" t="inlineStr">
        <is>
          <t>VOICES</t>
        </is>
      </c>
      <c r="B9" s="3" t="inlineStr">
        <is>
          <t>REGIAO da voz de campo</t>
        </is>
      </c>
      <c r="C9" s="3" t="inlineStr">
        <is>
          <t>SOURCE_GAP</t>
        </is>
      </c>
      <c r="D9" s="3" t="inlineStr">
        <is>
          <t>0/17 — todas NAO SEI</t>
        </is>
      </c>
      <c r="E9" s="3" t="inlineStr">
        <is>
          <t>FECHADO PARA TECNICO, ABERTO PARA PRODUTOR</t>
        </is>
      </c>
      <c r="F9" s="3" t="inlineStr">
        <is>
          <t>Bollettini UTM Campania · ARSAC (8 zonas) · CAAR (4 provincias) · ALSIA (3 comprensori)</t>
        </is>
      </c>
      <c r="G9" s="3" t="inlineStr">
        <is>
          <t>`0/17`. Ha agora quatro fontes que escrevem a regiao com granularidade sub-regional declarada — a UTM da Campania e' unidade de monitorizacao nomeada. ⚠️ MAS CONTINUA A TROCAR O SUJEITO: e' tecnico institucional, nao produtor. Se a ferramenta quer o que o produtor do Veneto esta a dizer, isto nao responde.</t>
        </is>
      </c>
      <c r="H9" s="3" t="inlineStr">
        <is>
          <t>SIM</t>
        </is>
      </c>
    </row>
    <row r="10">
      <c r="A10" s="3" t="inlineStr">
        <is>
          <t>VOICES</t>
        </is>
      </c>
      <c r="B10" s="3" t="inlineStr">
        <is>
          <t>PAPEL de quem fala (produtor? tecnico? amador?)</t>
        </is>
      </c>
      <c r="C10" s="3" t="inlineStr">
        <is>
          <t>SOURCE_GAP</t>
        </is>
      </c>
      <c r="D10" s="3" t="inlineStr">
        <is>
          <t>0/17 — todas NAO SEI</t>
        </is>
      </c>
      <c r="E10" s="3" t="inlineStr">
        <is>
          <t>FECHADO</t>
        </is>
      </c>
      <c r="F10" s="3" t="inlineStr">
        <is>
          <t>CONAF/albo · Emanuele Scalcione (ALSIA, responsavel do SAL) · tecnicos nomeados no Forum Fitoiatrico</t>
        </is>
      </c>
      <c r="G10" s="3" t="inlineStr">
        <is>
          <t>`0/17`. O albo da nome, papel reconhecido e territorio. E a segunda vaga trouxe um caso exemplar: o boletim semanal da ALSIA e' apresentado por uma pessoa nomeada com funcao declarada.</t>
        </is>
      </c>
      <c r="H10" s="3" t="inlineStr">
        <is>
          <t>NAO — ja fechado</t>
        </is>
      </c>
    </row>
    <row r="11">
      <c r="A11" s="3" t="inlineStr">
        <is>
          <t>VOICES</t>
        </is>
      </c>
      <c r="B11" s="3" t="inlineStr">
        <is>
          <t>DATA da observacao de campo</t>
        </is>
      </c>
      <c r="C11" s="3" t="inlineStr">
        <is>
          <t>SOURCE_GAP</t>
        </is>
      </c>
      <c r="D11" s="3" t="inlineStr">
        <is>
          <t>0/17 absoluta · 17/17 relativa</t>
        </is>
      </c>
      <c r="E11" s="3" t="inlineStr">
        <is>
          <t>FECHADO PARA TECNICO, ABERTO PARA PRODUTOR</t>
        </is>
      </c>
      <c r="F11" s="3" t="inlineStr">
        <is>
          <t>toda a familia de boletins numerados e datados</t>
        </is>
      </c>
      <c r="G11" s="3" t="inlineStr">
        <is>
          <t>`0/17`. Exemplos reais medidos nesta missao: «Bollettino 17 del 04 giugno 2026 Reggio Emilia», «n. 8/2026 del 24 giugno 2026», «Boll_09_MAIS_03072026», avisos da Valle d'Aosta atualizados em 26/06/2026. ⚠️ E as duas datas nao sao a mesma: publicacao != observacao. O boletim da as duas; a rede social da so' a primeira.</t>
        </is>
      </c>
      <c r="H11" s="3" t="inlineStr">
        <is>
          <t>SIM</t>
        </is>
      </c>
    </row>
    <row r="12">
      <c r="A12" s="3" t="inlineStr">
        <is>
          <t>FUTURE</t>
        </is>
      </c>
      <c r="B12" s="3" t="inlineStr">
        <is>
          <t>PRAGA OU DOENCA EMERGENTE (primeira deteccao)</t>
        </is>
      </c>
      <c r="C12" s="3" t="inlineStr">
        <is>
          <t>SOURCE_GAP</t>
        </is>
      </c>
      <c r="D12" s="3" t="inlineStr">
        <is>
          <t>ausente</t>
        </is>
      </c>
      <c r="E12" s="3" t="inlineStr">
        <is>
          <t>FECHADO</t>
        </is>
      </c>
      <c r="F12" s="3" t="inlineStr">
        <is>
          <t>protezionedellepiante.it · Ufficio fitosanitario Valle d'Aosta (rede de armadilhas) · salutepianteinlombardia.it</t>
        </is>
      </c>
      <c r="G12" s="3" t="inlineStr">
        <is>
          <t>campo ausente. A rota nacional abre e valida; e a segunda vaga trouxe a rede de armadilhas da Valle d'Aosta com servico de previsao e aviso por quatro canais, incluindo SMS.</t>
        </is>
      </c>
      <c r="H12" s="3" t="inlineStr">
        <is>
          <t>NAO — ja fechado</t>
        </is>
      </c>
    </row>
    <row r="13">
      <c r="A13" s="3" t="inlineStr">
        <is>
          <t>FIELD_NET</t>
        </is>
      </c>
      <c r="B13" s="3" t="inlineStr">
        <is>
          <t>Relato da rede comercial, com autor e data</t>
        </is>
      </c>
      <c r="C13" s="3" t="inlineStr">
        <is>
          <t>DATA_MODEL_GAP</t>
        </is>
      </c>
      <c r="D13" s="3" t="inlineStr">
        <is>
          <t>18 registos, TODOS SYNTHETIC_DEMO — zero dado real</t>
        </is>
      </c>
      <c r="E13" s="3" t="inlineStr">
        <is>
          <t>ABERTO — E NAO FECHA COM FONTE</t>
        </is>
      </c>
      <c r="F13" s="3" t="inlineStr">
        <is>
          <t>—</t>
        </is>
      </c>
      <c r="G13" s="3" t="inlineStr">
        <is>
          <t>18 registos, todos `SYNTHETIC_DEMO`. E' dado PROPRIO da ADAMA. Procurar fonte italiana para isto e' procurar fora o que esta dentro.</t>
        </is>
      </c>
      <c r="H13" s="3" t="inlineStr">
        <is>
          <t>NAO — e' ligar/escrever em casa</t>
        </is>
      </c>
    </row>
    <row r="14">
      <c r="A14" s="3" t="inlineStr">
        <is>
          <t>RADAR</t>
        </is>
      </c>
      <c r="B14" s="3" t="inlineStr">
        <is>
          <t>ENTRADA: janela de cultura com data e regiao</t>
        </is>
      </c>
      <c r="C14" s="3" t="inlineStr">
        <is>
          <t>SOURCE_GAP</t>
        </is>
      </c>
      <c r="D14" s="3" t="inlineStr">
        <is>
          <t>29 janelas canonicas, 0 com observacao</t>
        </is>
      </c>
      <c r="E14" s="3" t="inlineStr">
        <is>
          <t>FECHADO NA ORIGEM (WINDOWS)</t>
        </is>
      </c>
      <c r="F14" s="3">
        <f> WINDOWS</f>
        <v/>
      </c>
      <c r="G14" s="3" t="inlineStr">
        <is>
          <t>herda. A entrada melhorou porque a camada de origem melhorou.</t>
        </is>
      </c>
      <c r="H14" s="3" t="inlineStr">
        <is>
          <t>NAO — ja fechado</t>
        </is>
      </c>
    </row>
    <row r="15">
      <c r="A15" s="3" t="inlineStr">
        <is>
          <t>RADAR</t>
        </is>
      </c>
      <c r="B15" s="3" t="inlineStr">
        <is>
          <t>ENTRADA: ligacao produto x problema</t>
        </is>
      </c>
      <c r="C15" s="3" t="inlineStr">
        <is>
          <t>DATA_MODEL_GAP</t>
        </is>
      </c>
      <c r="D15" s="3" t="inlineStr">
        <is>
          <t>12 triplos VERIFIED em ITALY_LABEL_VERDICTS</t>
        </is>
      </c>
      <c r="E15" s="3" t="inlineStr">
        <is>
          <t>ABERTO NA ORIGEM (PORTFOLIO)</t>
        </is>
      </c>
      <c r="F15" s="3">
        <f> PORTFOLIO</f>
        <v/>
      </c>
      <c r="G15" s="3" t="inlineStr">
        <is>
          <t>herda um join interno. Continua aberto.</t>
        </is>
      </c>
      <c r="H15" s="3" t="inlineStr">
        <is>
          <t>NAO — e' ligar/escrever em casa</t>
        </is>
      </c>
    </row>
    <row r="16">
      <c r="A16" s="3" t="inlineStr">
        <is>
          <t>RADAR</t>
        </is>
      </c>
      <c r="B16" s="3" t="inlineStr">
        <is>
          <t>ENTRADA: voz de campo na mesma cultura/problema</t>
        </is>
      </c>
      <c r="C16" s="3" t="inlineStr">
        <is>
          <t>SOURCE_GAP</t>
        </is>
      </c>
      <c r="D16" s="3" t="inlineStr">
        <is>
          <t>17 vozes em 3 casos · nenhuma com regiao</t>
        </is>
      </c>
      <c r="E16" s="3" t="inlineStr">
        <is>
          <t>PARCIAL NA ORIGEM (VOICES)</t>
        </is>
      </c>
      <c r="F16" s="3">
        <f> VOICES</f>
        <v/>
      </c>
      <c r="G16" s="3" t="inlineStr">
        <is>
          <t>herda a troca de sujeito: ganha regiao e data de TECNICO, nao de produtor. ⚠️ Continua a ser a entrada mais fraca do Radar.</t>
        </is>
      </c>
      <c r="H16" s="3" t="inlineStr">
        <is>
          <t>NAO — ja fechado</t>
        </is>
      </c>
    </row>
    <row r="17">
      <c r="A17" s="3" t="inlineStr">
        <is>
          <t>RADAR</t>
        </is>
      </c>
      <c r="B17" s="3" t="inlineStr">
        <is>
          <t>ENTRADA: mercado da mesma cultura</t>
        </is>
      </c>
      <c r="C17" s="3" t="inlineStr">
        <is>
          <t>SOURCE_GAP</t>
        </is>
      </c>
      <c r="D17" s="3" t="inlineStr">
        <is>
          <t>77 precos, uma fonte, 3 culturas sem nada</t>
        </is>
      </c>
      <c r="E17" s="3" t="inlineStr">
        <is>
          <t>FECHADO NA ORIGEM (MARKET)</t>
        </is>
      </c>
      <c r="F17" s="3">
        <f> MARKET</f>
        <v/>
      </c>
      <c r="G17" s="3" t="inlineStr">
        <is>
          <t>herda. O CSV do ISTAT tem REF_AREA e TYPE_OF_CROP, que e' o que o cruzamento precisa.</t>
        </is>
      </c>
      <c r="H17" s="3" t="inlineStr">
        <is>
          <t>NAO — ja fechado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6" customWidth="1" min="1" max="1"/>
    <col width="12" customWidth="1" min="2" max="2"/>
    <col width="60" customWidth="1" min="3" max="3"/>
    <col width="60" customWidth="1" min="4" max="4"/>
    <col width="46" customWidth="1" min="5" max="5"/>
    <col width="60" customWidth="1" min="6" max="6"/>
    <col width="60" customWidth="1" min="7" max="7"/>
    <col width="60" customWidth="1" min="8" max="8"/>
  </cols>
  <sheetData>
    <row r="1" ht="46" customHeight="1">
      <c r="A1" s="1" t="inlineStr">
        <is>
          <t>O DADO EXISTE E TEM DONO QUE NAO O PUBLICA — ou que o publica atras de uma porta. Isto NAO e' gap de fonte, e a diferenca decide o que se faz a seguir: coleta nao resolve, contrato ou inscricao resolvem. A primeira linha e' a mais dura da missao.</t>
        </is>
      </c>
    </row>
    <row r="2">
      <c r="A2" s="2" t="inlineStr">
        <is>
          <t>GAP</t>
        </is>
      </c>
      <c r="B2" s="2" t="inlineStr">
        <is>
          <t>GAP_TYPE</t>
        </is>
      </c>
      <c r="C2" s="2" t="inlineStr">
        <is>
          <t>WHAT_DATA_EXISTS</t>
        </is>
      </c>
      <c r="D2" s="2" t="inlineStr">
        <is>
          <t>WHO_OWNS_ACCESS</t>
        </is>
      </c>
      <c r="E2" s="2" t="inlineStr">
        <is>
          <t>ACCESS_REQUIRED</t>
        </is>
      </c>
      <c r="F2" s="2" t="inlineStr">
        <is>
          <t>HOW_IT_COULD_BE_ACQUIRED</t>
        </is>
      </c>
      <c r="G2" s="2" t="inlineStr">
        <is>
          <t>O_QUE_E_DIVULGAVEL_EM_VEZ</t>
        </is>
      </c>
      <c r="H2" s="2" t="inlineStr">
        <is>
          <t>PORQUE_NAO_E_SOURCE_GAP</t>
        </is>
      </c>
    </row>
    <row r="3">
      <c r="A3" s="3" t="inlineStr">
        <is>
          <t>SCIENCE · ENSAIO DE CAMPO / trial com resultado</t>
        </is>
      </c>
      <c r="B3" s="3" t="inlineStr">
        <is>
          <t>ACCESS_GAP</t>
        </is>
      </c>
      <c r="C3" s="3" t="inlineStr">
        <is>
          <t>ensaio oficial de eficacia e residuos sob Good Experimental Practice, com tratamento e testemunha</t>
        </is>
      </c>
      <c r="D3" s="3" t="inlineStr">
        <is>
          <t>a empresa que encomenda o ensaio. Os centros de saggio executam e nao detem o direito de publicar: Agrea, Sagea, AgriSearch, Agro Services, Agritec, Repros</t>
        </is>
      </c>
      <c r="E3" s="3" t="inlineStr">
        <is>
          <t>contrato ou parceria com o titular do ensaio</t>
        </is>
      </c>
      <c r="F3" s="3" t="inlineStr">
        <is>
          <t>encomendar ensaio proprio a um centro GEP, ou acordo de partilha com quem o encomendou. NAO se adquire por coleta.</t>
        </is>
      </c>
      <c r="G3" s="3" t="inlineStr">
        <is>
          <t>provas demonstrativas dos servicos regionais, atas das Giornate Fitopatologiche e da AIPP/SIPaV, e o Bollettino Colture Erbacee da Veneto Agricoltura — que publica resultado medido com o numero desfavoravel incluido («o tratamento no momento de maxima eficacia melhorou produtividade e micotoxinas em MENOS DE 50% dos casos»). Isto e' resultado publico de ensaio demonstrativo, que nao substitui o de registo mas fecha parte da pergunta.</t>
        </is>
      </c>
      <c r="H3" s="3" t="inlineStr">
        <is>
          <t>nenhuma fonte publica existe nem pode existir. Gastar buscas aqui e' gastar contra a lei do contrato, nao contra um problema tecnico.</t>
        </is>
      </c>
    </row>
    <row r="4">
      <c r="A4" s="3" t="inlineStr">
        <is>
          <t>MARKET · CUSTO DE INSUMO — monitoraggio dei costi medi</t>
        </is>
      </c>
      <c r="B4" s="3" t="inlineStr">
        <is>
          <t>ACCESS_GAP</t>
        </is>
      </c>
      <c r="C4" s="3" t="inlineStr">
        <is>
          <t>custo medio de producao em EUR/tonelada por cluster</t>
        </is>
      </c>
      <c r="D4" s="3" t="inlineStr">
        <is>
          <t>ISMEA</t>
        </is>
      </c>
      <c r="E4" s="3" t="inlineStr">
        <is>
          <t>registo de conta no servico</t>
        </is>
      </c>
      <c r="F4" s="3" t="inlineStr">
        <is>
          <t>criar conta institucional. E' gratuito mas atras de login, e coleta atras de login e' outra decisao.</t>
        </is>
      </c>
      <c r="G4" s="3" t="inlineStr">
        <is>
          <t>o indice dos mezzi correnti, aberto e validado nesta missao (14.782 caracteres lidos)</t>
        </is>
      </c>
      <c r="H4" s="3" t="inlineStr">
        <is>
          <t>a fonte existe, e nomeada e publica — o obstaculo e' a porta, nao a ausencia.</t>
        </is>
      </c>
    </row>
    <row r="5">
      <c r="A5" s="3" t="inlineStr">
        <is>
          <t>WINDOWS · bollettini do SeDI da ALSIA (Basilicata)</t>
        </is>
      </c>
      <c r="B5" s="3" t="inlineStr">
        <is>
          <t>ACCESS_GAP</t>
        </is>
      </c>
      <c r="C5" s="3" t="inlineStr">
        <is>
          <t>boletins fitossanitarios por comprensorio (Metapontino, Alta Valle d'Agri, Valle del Bradano)</t>
        </is>
      </c>
      <c r="D5" s="3" t="inlineStr">
        <is>
          <t>ALSIA — Agenzia Lucana</t>
        </is>
      </c>
      <c r="E5" s="3" t="inlineStr">
        <is>
          <t>inscricao nos Servizi di Consulenza online</t>
        </is>
      </c>
      <c r="F5" s="3" t="inlineStr">
        <is>
          <t>inscricao gratuita</t>
        </is>
      </c>
      <c r="G5" s="3" t="inlineStr">
        <is>
          <t>os relatorios climaticos mensais e os dados das 40 estacoes, publicados diariamente na web</t>
        </is>
      </c>
      <c r="H5" s="3" t="inlineStr">
        <is>
          <t>a fonte existe e fecha a regiao que estava a zero. ⚠️ E ha um segundo obstaculo, independente deste: o DNS desta maquina nao alcanca `alsia.it`, embora o resolvedor publico o resolva (78.40.170.40). Sao dois problemas diferentes e ambos nossos.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10" customWidth="1" min="5" max="5"/>
    <col width="15" customWidth="1" min="6" max="6"/>
    <col width="18" customWidth="1" min="7" max="7"/>
    <col width="15" customWidth="1" min="8" max="8"/>
    <col width="60" customWidth="1" min="9" max="9"/>
    <col width="48" customWidth="1" min="10" max="10"/>
    <col width="55" customWidth="1" min="11" max="11"/>
    <col width="13" customWidth="1" min="12" max="12"/>
    <col width="60" customWidth="1" min="13" max="13"/>
    <col width="60" customWidth="1" min="14" max="14"/>
    <col width="19" customWidth="1" min="15" max="15"/>
    <col width="60" customWidth="1" min="16" max="16"/>
    <col width="22" customWidth="1" min="17" max="17"/>
    <col width="60" customWidth="1" min="18" max="18"/>
    <col width="20" customWidth="1" min="19" max="19"/>
    <col width="27" customWidth="1" min="20" max="20"/>
    <col width="60" customWidth="1" min="21" max="21"/>
    <col width="60" customWidth="1" min="22" max="22"/>
  </cols>
  <sheetData>
    <row r="1" ht="46" customHeight="1">
      <c r="A1" s="1" t="inlineStr">
        <is>
          <t>AS 13 FONTES DESTA MISSAO, achadas por busca dirigida ao que faltava: as 5 culturas nao pesquisadas (trigo, trigo duro, milho, soja, tomate — 14 das 29 janelas) e as 2 regioes a zero (Basilicata, Valle d'Aosta). Nenhuma nasceu de um tema; todas de um buraco medido. Todas abertas por sonda, e as CRITICAL com segunda prova por rota independente.</t>
        </is>
      </c>
    </row>
    <row r="2">
      <c r="A2" s="2" t="inlineStr">
        <is>
          <t>SOURCE_NAME</t>
        </is>
      </c>
      <c r="B2" s="2" t="inlineStr">
        <is>
          <t>OWNER</t>
        </is>
      </c>
      <c r="C2" s="2" t="inlineStr">
        <is>
          <t>URL_DECLARED</t>
        </is>
      </c>
      <c r="D2" s="2" t="inlineStr">
        <is>
          <t>URL_CANONICAL</t>
        </is>
      </c>
      <c r="E2" s="2" t="inlineStr">
        <is>
          <t>HTTP</t>
        </is>
      </c>
      <c r="F2" s="2" t="inlineStr">
        <is>
          <t>TAMANHO_TEXTO</t>
        </is>
      </c>
      <c r="G2" s="2" t="inlineStr">
        <is>
          <t>VALIDATION</t>
        </is>
      </c>
      <c r="H2" s="2" t="inlineStr">
        <is>
          <t>SEGUNDA_PROVA</t>
        </is>
      </c>
      <c r="I2" s="2" t="inlineStr">
        <is>
          <t>SEGUNDA_PROVA_PORQUE</t>
        </is>
      </c>
      <c r="J2" s="2" t="inlineStr">
        <is>
          <t>CULTURAS_QUE_NOMEIA</t>
        </is>
      </c>
      <c r="K2" s="2" t="inlineStr">
        <is>
          <t>REGION_SCOPE</t>
        </is>
      </c>
      <c r="L2" s="2" t="inlineStr">
        <is>
          <t>TERRITORIES</t>
        </is>
      </c>
      <c r="M2" s="2" t="inlineStr">
        <is>
          <t>WHAT_IT_PRODUCES</t>
        </is>
      </c>
      <c r="N2" s="2" t="inlineStr">
        <is>
          <t>EXAMPLE_REAL</t>
        </is>
      </c>
      <c r="O2" s="2" t="inlineStr">
        <is>
          <t>GAP_CLOSURE_VALUE</t>
        </is>
      </c>
      <c r="P2" s="2" t="inlineStr">
        <is>
          <t>GAP_FECHA_QUAL</t>
        </is>
      </c>
      <c r="Q2" s="2" t="inlineStr">
        <is>
          <t>PRIMARY_OR_SECONDARY</t>
        </is>
      </c>
      <c r="R2" s="2" t="inlineStr">
        <is>
          <t>RECURRING_INFORMATION_POTENTIAL</t>
        </is>
      </c>
      <c r="S2" s="2" t="inlineStr">
        <is>
          <t>RECORRENCIA_ESTADO</t>
        </is>
      </c>
      <c r="T2" s="2" t="inlineStr">
        <is>
          <t>WHICH_TOOL_IT_SUPPORTS</t>
        </is>
      </c>
      <c r="U2" s="2" t="inlineStr">
        <is>
          <t>EVIDENCE</t>
        </is>
      </c>
      <c r="V2" s="2" t="inlineStr">
        <is>
          <t>LIMITE</t>
        </is>
      </c>
    </row>
    <row r="3">
      <c r="A3" s="3" t="inlineStr">
        <is>
          <t>Bollettini colture estensive / seminativi</t>
        </is>
      </c>
      <c r="B3" s="3" t="inlineStr">
        <is>
          <t>Regione del Veneto — U.O. Fitosanitario, com a Veneto Agricoltura</t>
        </is>
      </c>
      <c r="C3" s="3" t="inlineStr">
        <is>
          <t>https://www.regione.veneto.it/web/fitosanitario/bollettini-seminativi</t>
        </is>
      </c>
      <c r="D3" s="3" t="inlineStr">
        <is>
          <t>https://www.regione.veneto.it/web/fitosanitario/bollettini-seminativi</t>
        </is>
      </c>
      <c r="E3" s="3" t="n">
        <v>200</v>
      </c>
      <c r="F3" s="3" t="n">
        <v>3066</v>
      </c>
      <c r="G3" s="3" t="inlineStr">
        <is>
          <t>VALIDATED_STRONG</t>
        </is>
      </c>
      <c r="H3" s="3" t="inlineStr">
        <is>
          <t>CONFIRMED</t>
        </is>
      </c>
      <c r="I3" s="3" t="inlineStr">
        <is>
          <t>segunda rota independente (https://www.regione.veneto.it/) abre e a casa declara-se «veneto» no texto.</t>
        </is>
      </c>
      <c r="J3" s="3" t="inlineStr">
        <is>
          <t>Wheat · Durum Wheat · Maize · Soybean</t>
        </is>
      </c>
      <c r="K3" s="3" t="inlineStr">
        <is>
          <t>Veneto</t>
        </is>
      </c>
      <c r="L3" s="3" t="inlineStr">
        <is>
          <t>T1 T3</t>
        </is>
      </c>
      <c r="M3" s="3" t="inlineStr">
        <is>
          <t>boletim SEMANAL para seminativos (trigo, milho, soja), redigido em cumprimento do Piano di Azione Nazionale, a partir de modelos previsionais E de redes de monitorizacao</t>
        </is>
      </c>
      <c r="N3" s="3" t="inlineStr">
        <is>
          <t>serie 2026 das colture erbacee comeca no N°01 de 18/02/2026, com cadencia semanal declarada</t>
        </is>
      </c>
      <c r="O3" s="3" t="inlineStr">
        <is>
          <t>CRITICAL</t>
        </is>
      </c>
      <c r="P3" s="3" t="inlineStr">
        <is>
          <t>CRITICAL — fenologia das arvenses, que nenhuma das 37 cobria</t>
        </is>
      </c>
      <c r="Q3" s="3" t="inlineStr">
        <is>
          <t>PRIMARY</t>
        </is>
      </c>
      <c r="R3" s="3" t="inlineStr">
        <is>
          <t>HIGH — semanal, numerada e datada</t>
        </is>
      </c>
      <c r="S3" s="3" t="inlineStr">
        <is>
          <t>OBSERVADA</t>
        </is>
      </c>
      <c r="T3" s="3" t="inlineStr">
        <is>
          <t>WINDOWS</t>
        </is>
      </c>
      <c r="U3" s="3" t="inlineStr">
        <is>
          <t>busca dirigida ao gap, 2026-09-14 (segunda vaga): numero e data da primeira edicao de 2026 lidos na propria serie; a colaboracao com a Veneto Agricoltura esta declarada</t>
        </is>
      </c>
      <c r="V3" s="3" t="inlineStr">
        <is>
          <t>regional. E a serie e' de campanha: comeca em fevereiro.</t>
        </is>
      </c>
    </row>
    <row r="4">
      <c r="A4" s="3" t="inlineStr">
        <is>
          <t>Bollettini interprovinciali di produzione integrata e biologica</t>
        </is>
      </c>
      <c r="B4" s="3" t="inlineStr">
        <is>
          <t>Regione Emilia-Romagna — Settore Fitosanitario, com os Consorzi Fitosanitari Provinciali</t>
        </is>
      </c>
      <c r="C4" s="3" t="inlineStr">
        <is>
          <t>https://agricoltura.regione.emilia-romagna.it/fitosanitario/difesa-sostenibile/bollettini</t>
        </is>
      </c>
      <c r="D4" s="3" t="inlineStr">
        <is>
          <t>https://agricoltura.regione.emilia-romagna.it/fitosanitario/difesa-sostenibile/bollettini</t>
        </is>
      </c>
      <c r="E4" s="3" t="n">
        <v>200</v>
      </c>
      <c r="F4" s="3" t="n">
        <v>4331</v>
      </c>
      <c r="G4" s="3" t="inlineStr">
        <is>
          <t>VALIDATED_STRONG</t>
        </is>
      </c>
      <c r="H4" s="3" t="inlineStr">
        <is>
          <t>CONFIRMED</t>
        </is>
      </c>
      <c r="I4" s="3" t="inlineStr">
        <is>
          <t>segunda rota independente (https://agricoltura.regione.emilia-romagna.it/) abre e a casa declara-se «emilia-romagna|emilia romagna» no texto.</t>
        </is>
      </c>
      <c r="J4" s="3" t="inlineStr">
        <is>
          <t>Wheat · Durum Wheat · Maize · Soybean · Tomato</t>
        </is>
      </c>
      <c r="K4" s="3" t="inlineStr">
        <is>
          <t>Emilia-Romagna, em 6 areas interprovinciais</t>
        </is>
      </c>
      <c r="L4" s="3" t="inlineStr">
        <is>
          <t>T1 T3 T4</t>
        </is>
      </c>
      <c r="M4" s="3" t="inlineStr">
        <is>
          <t>SEIS boletins territoriais, redigidos a partir dos Disciplinari regionais, de modelos previsionais e dos levantamentos de monitorizacao; publicam tambem as DEROGAS de uso excecional</t>
        </is>
      </c>
      <c r="N4" s="3" t="inlineStr">
        <is>
          <t>«Bollettino 17 del 04 giugno 2026 — Reggio Emilia» e «Bollettino 15 del 20 maggio 2026 — Bologna e Ferrara». E uma derroga datada: contencao de Septoria tritici e S. nodorum em trigo, uso permitido a partir de 20/03/2026</t>
        </is>
      </c>
      <c r="O4" s="3" t="inlineStr">
        <is>
          <t>CRITICAL</t>
        </is>
      </c>
      <c r="P4" s="3" t="inlineStr">
        <is>
          <t>CRITICAL — fecha fenologia de arvenses E tomate, e traz a ALTERACAO DE AUTORIZACAO com data, que e' outro gap critico</t>
        </is>
      </c>
      <c r="Q4" s="3" t="inlineStr">
        <is>
          <t>PRIMARY</t>
        </is>
      </c>
      <c r="R4" s="3" t="inlineStr">
        <is>
          <t>HIGH — semanal, numerada e datada</t>
        </is>
      </c>
      <c r="S4" s="3" t="inlineStr">
        <is>
          <t>OBSERVADA</t>
        </is>
      </c>
      <c r="T4" s="3" t="inlineStr">
        <is>
          <t>PORTFOLIO · WINDOWS</t>
        </is>
      </c>
      <c r="U4" s="3" t="inlineStr">
        <is>
          <t>busca dirigida ao gap, 2026-09-14 (segunda vaga): dois boletins numerados e datados de 2026 e uma derroga com data de inicio de uso, todos lidos na propria serie</t>
        </is>
      </c>
      <c r="V4" s="3" t="inlineStr">
        <is>
          <t>a derroga e' REGIONAL: vale na Emilia-Romagna, nao em Italia. Confundir as duas transforma uma excecao local em regra nacional.</t>
        </is>
      </c>
    </row>
    <row r="5">
      <c r="A5" s="3" t="inlineStr">
        <is>
          <t>Bollettini di difesa integrata — colture erbacee (mais e soia)</t>
        </is>
      </c>
      <c r="B5" s="3" t="inlineStr">
        <is>
          <t>ERSA — Agenzia regionale per lo sviluppo rurale del Friuli Venezia Giulia</t>
        </is>
      </c>
      <c r="C5" s="3" t="inlineStr">
        <is>
          <t>http://difesafitosanitaria.ersa.fvg.it/difesa-e-produzione-integrata/difesa-integrata-obbligatoria/bollettini-fitosanitari/colture-erbacee-orticole/bollettini-2026</t>
        </is>
      </c>
      <c r="D5" s="3" t="inlineStr">
        <is>
          <t>http://difesafitosanitaria.ersa.fvg.it/difesa-e-produzione-integrata/difesa-integrata-obbligatoria/bollettini-fitosanitari/colture-erbacee-orticole/bollettini-2026</t>
        </is>
      </c>
      <c r="E5" s="3" t="n">
        <v>0</v>
      </c>
      <c r="F5" s="3" t="n">
        <v>0</v>
      </c>
      <c r="G5" s="3" t="inlineStr">
        <is>
          <t>UNKNOWN</t>
        </is>
      </c>
      <c r="H5" s="3" t="inlineStr">
        <is>
          <t>UNKNOWN</t>
        </is>
      </c>
      <c r="I5" s="3" t="inlineStr">
        <is>
          <t>a segunda rota (http://difesafitosanitaria.ersa.fvg.it/) nao abriu: UNKNOWN. Nao confirma nem desmente.</t>
        </is>
      </c>
      <c r="J5" s="3" t="inlineStr">
        <is>
          <t>Maize · Soybean · Wheat</t>
        </is>
      </c>
      <c r="K5" s="3" t="inlineStr">
        <is>
          <t>Friuli-Venezia Giulia</t>
        </is>
      </c>
      <c r="L5" s="3" t="inlineStr">
        <is>
          <t>T1 T3</t>
        </is>
      </c>
      <c r="M5" s="3" t="inlineStr">
        <is>
          <t>boletins SEPARADOS por cultura para milho e soja, segundo as Norme tecniche do Disciplinare di Produzione Integrata regional; publica tambem a tabela de correspondencia Baggiolini ↔ BBCH</t>
        </is>
      </c>
      <c r="N5" s="3" t="inlineStr">
        <is>
          <t>«Boll_09_MAIS_03072026.pdf» diz o milho em levata–enchimento de cariopses conforme epoca de semeadura e classe varietal, na escala BBCH 42-70. E «Bollettino difesa integrata soia n. 2 del 16 febbraio 2026»</t>
        </is>
      </c>
      <c r="O5" s="3" t="inlineStr">
        <is>
          <t>CRITICAL</t>
        </is>
      </c>
      <c r="P5" s="3" t="inlineStr">
        <is>
          <t>CRITICAL — e' a UNICA fonte achada que publica BBCH DE MILHO com intervalo numerico (42-70) e boletim proprio de SOJA. Fecha tambem uma regiao FRACA</t>
        </is>
      </c>
      <c r="Q5" s="3" t="inlineStr">
        <is>
          <t>PRIMARY</t>
        </is>
      </c>
      <c r="R5" s="3" t="inlineStr">
        <is>
          <t>HIGH — numerada por cultura e datada</t>
        </is>
      </c>
      <c r="S5" s="3" t="inlineStr">
        <is>
          <t>OBSERVADA</t>
        </is>
      </c>
      <c r="T5" s="3" t="inlineStr">
        <is>
          <t>WINDOWS</t>
        </is>
      </c>
      <c r="U5" s="3" t="inlineStr">
        <is>
          <t>busca dirigida ao gap, 2026-09-14 (segunda vaga): dois ficheiros nomeados com cultura e data no proprio nome, e o intervalo BBCH citado no corpo</t>
        </is>
      </c>
      <c r="V5" s="3" t="inlineStr">
        <is>
          <t>⚠️ A tabela Baggiolini↔BBCH publicada refere-se a FRUTEIRAS. Usa-la para cereais e' extrapolacao, e extrapolacao nao e' medicao.</t>
        </is>
      </c>
    </row>
    <row r="6">
      <c r="A6" s="3" t="inlineStr">
        <is>
          <t>Bollettino Mais</t>
        </is>
      </c>
      <c r="B6" s="3" t="inlineStr">
        <is>
          <t>ERSAF Lombardia, com o servico tecnico do Condifesa Lombardia Nord-Est</t>
        </is>
      </c>
      <c r="C6" s="3" t="inlineStr">
        <is>
          <t>https://www.fitosanitario.regione.lombardia.it/wps/portal/site/sfr</t>
        </is>
      </c>
      <c r="D6" s="3" t="inlineStr">
        <is>
          <t>https://www.fitosanitario.regione.lombardia.it/wps/portal/site/sfr</t>
        </is>
      </c>
      <c r="E6" s="3" t="n">
        <v>200</v>
      </c>
      <c r="F6" s="3" t="n">
        <v>6727</v>
      </c>
      <c r="G6" s="3" t="inlineStr">
        <is>
          <t>VALIDATED_STRONG</t>
        </is>
      </c>
      <c r="H6" s="3" t="inlineStr">
        <is>
          <t>UNKNOWN</t>
        </is>
      </c>
      <c r="I6" s="3" t="inlineStr">
        <is>
          <t>a segunda rota (https://www.fitosanitario.regione.lombardia.it/) nao abriu: BROKEN. Nao confirma nem desmente.</t>
        </is>
      </c>
      <c r="J6" s="3" t="inlineStr">
        <is>
          <t>Maize</t>
        </is>
      </c>
      <c r="K6" s="3" t="inlineStr">
        <is>
          <t>Lombardia</t>
        </is>
      </c>
      <c r="L6" s="3" t="inlineStr">
        <is>
          <t>T1 T3</t>
        </is>
      </c>
      <c r="M6" s="3" t="inlineStr">
        <is>
          <t>boletim SEMANAL de milho com meteorologia da semana, sintese dos produtos admitidos, DESENVOLVIMENTO FENOLOGICO da cultura (floracao e fecundacao) e monitorizacao de diabrotica e piralide com indicacao de tratamento</t>
        </is>
      </c>
      <c r="N6" s="3" t="inlineStr">
        <is>
          <t>nota tecnica «Difesa del mais da piralide e diabrotica e tutela delle api» publicada pelo Servizio Fitosanitario regionale; o boletim e' descrito como semanal e feito com o Condifesa Lombardia Nord-Est</t>
        </is>
      </c>
      <c r="O6" s="3" t="inlineStr">
        <is>
          <t>HIGH</t>
        </is>
      </c>
      <c r="P6" s="3" t="inlineStr">
        <is>
          <t>HIGH — junta fase da cultura com fase da praga E produto admitido na mesma pagina, que sao tres necessidades diferentes</t>
        </is>
      </c>
      <c r="Q6" s="3" t="inlineStr">
        <is>
          <t>PRIMARY</t>
        </is>
      </c>
      <c r="R6" s="3" t="inlineStr">
        <is>
          <t>HIGH — semanal</t>
        </is>
      </c>
      <c r="S6" s="3" t="inlineStr">
        <is>
          <t>OBSERVADA</t>
        </is>
      </c>
      <c r="T6" s="3" t="inlineStr">
        <is>
          <t>WINDOWS</t>
        </is>
      </c>
      <c r="U6" s="3" t="inlineStr">
        <is>
          <t>busca dirigida ao gap, 2026-09-14 (segunda vaga): composicao do boletim descrita pelo proprio servico, com o parceiro tecnico nomeado</t>
        </is>
      </c>
      <c r="V6" s="3" t="inlineStr">
        <is>
          <t>uma cultura, uma regiao.</t>
        </is>
      </c>
    </row>
    <row r="7">
      <c r="A7" s="3" t="inlineStr">
        <is>
          <t>Bollettino Colture Erbacee</t>
        </is>
      </c>
      <c r="B7" s="3" t="inlineStr">
        <is>
          <t>Veneto Agricoltura</t>
        </is>
      </c>
      <c r="C7" s="3" t="inlineStr">
        <is>
          <t>https://www.venetoagricoltura.org/</t>
        </is>
      </c>
      <c r="D7" s="3" t="inlineStr">
        <is>
          <t>https://www.venetoagricoltura.org/home</t>
        </is>
      </c>
      <c r="E7" s="3" t="n">
        <v>200</v>
      </c>
      <c r="F7" s="3" t="n">
        <v>8</v>
      </c>
      <c r="G7" s="3" t="inlineStr">
        <is>
          <t>UNKNOWN</t>
        </is>
      </c>
      <c r="H7" s="3" t="inlineStr">
        <is>
          <t>NAO_EXIGIDA</t>
        </is>
      </c>
      <c r="I7" s="3" t="inlineStr"/>
      <c r="J7" s="3" t="inlineStr">
        <is>
          <t>Maize · Soybean · Wheat</t>
        </is>
      </c>
      <c r="K7" s="3" t="inlineStr">
        <is>
          <t>Veneto, com detalhe sub-regional (provincias)</t>
        </is>
      </c>
      <c r="L7" s="3" t="inlineStr">
        <is>
          <t>T1 T3 T5</t>
        </is>
      </c>
      <c r="M7" s="3" t="inlineStr">
        <is>
          <t>boletim de arvenses com aprofundamento de difesa integrada, incluindo o RESULTADO MEDIDO de ensaios plurianuais</t>
        </is>
      </c>
      <c r="N7" s="3" t="inlineStr">
        <is>
          <t>«Bollettino Colture Erbacee n°36/2024 del 20.6.24 — DIFESA INTEGRATA DALLA PIRALIDE». E o achado medido: de ensaios plurianuais em milho de grao, o tratamento feito no momento de maxima eficacia melhorou produtividade e micotoxinas em MENOS DE 50% dos casos; as populacoes mais altas concentram-se sempre no sudoeste da regiao — Rovigo, Padova e Venezia</t>
        </is>
      </c>
      <c r="O7" s="3" t="inlineStr">
        <is>
          <t>HIGH</t>
        </is>
      </c>
      <c r="P7" s="3" t="inlineStr">
        <is>
          <t>HIGH — e' o achado que mais me surpreendeu: RESULTADO DE ENSAIO DIVULGADO, com o numero desfavoravel incluido («menos de 50% dos casos»). Era o gap que as provas GEP nao podem fechar por serem reservadas. Nao substitui o ensaio de registo, mas e' resultado medido e publico</t>
        </is>
      </c>
      <c r="Q7" s="3" t="inlineStr">
        <is>
          <t>PRIMARY</t>
        </is>
      </c>
      <c r="R7" s="3" t="inlineStr">
        <is>
          <t>HIGH — numerada e datada na campanha</t>
        </is>
      </c>
      <c r="S7" s="3" t="inlineStr">
        <is>
          <t>OBSERVADA</t>
        </is>
      </c>
      <c r="T7" s="3" t="inlineStr">
        <is>
          <t>SCIENCE · WINDOWS</t>
        </is>
      </c>
      <c r="U7" s="3" t="inlineStr">
        <is>
          <t>busca dirigida ao gap, 2026-09-14 (segunda vaga): numero, data e conclusao quantificada lidos no boletim</t>
        </is>
      </c>
      <c r="V7" s="3" t="inlineStr">
        <is>
          <t>uma cultura e uma regiao por edicao. E o resultado e' de ensaio DEMONSTRATIVO, nao de registo — sao coisas diferentes.</t>
        </is>
      </c>
    </row>
    <row r="8">
      <c r="A8" s="3" t="inlineStr">
        <is>
          <t>Bollettini fitosanitari — Unita territoriali di monitoraggio (UTM)</t>
        </is>
      </c>
      <c r="B8" s="3" t="inlineStr">
        <is>
          <t>Regione Campania — UOS Servizio Fitosanitario e estruturas provinciais</t>
        </is>
      </c>
      <c r="C8" s="3" t="inlineStr">
        <is>
          <t>https://agricoltura.regione.campania.it/difesa/bollettini/bollettini_2026.html</t>
        </is>
      </c>
      <c r="D8" s="3" t="inlineStr">
        <is>
          <t>https://agricoltura.regione.campania.it/difesa/bollettini/bollettini_2026.html</t>
        </is>
      </c>
      <c r="E8" s="3" t="n">
        <v>200</v>
      </c>
      <c r="F8" s="3" t="n">
        <v>2099</v>
      </c>
      <c r="G8" s="3" t="inlineStr">
        <is>
          <t>VALIDATED_STRONG</t>
        </is>
      </c>
      <c r="H8" s="3" t="inlineStr">
        <is>
          <t>CONFIRMED</t>
        </is>
      </c>
      <c r="I8" s="3" t="inlineStr">
        <is>
          <t>segunda rota independente (https://agricoltura.regione.campania.it/) abre e a casa declara-se «campania» no texto.</t>
        </is>
      </c>
      <c r="J8" s="3" t="inlineStr">
        <is>
          <t>Tomato · Wheat · Maize</t>
        </is>
      </c>
      <c r="K8" s="3" t="inlineStr">
        <is>
          <t>Campania, por UTM</t>
        </is>
      </c>
      <c r="L8" s="3" t="inlineStr">
        <is>
          <t>T1 T2 T3</t>
        </is>
      </c>
      <c r="M8" s="3" t="inlineStr">
        <is>
          <t>boletim com dados agrometeorologicos, ESTADO FENOLOGICO e fitossanitario das culturas LEVANTADOS NAS UTM (unidades territoriais de monitorizacao), mais conselhos de defesa segundo as Norme tecniche</t>
        </is>
      </c>
      <c r="N8" s="3" t="inlineStr">
        <is>
          <t>cadencia declarada: SEMANAL de 1 de marco a 30 de setembro e MENSAL de 1 de outubro a 28 de fevereiro</t>
        </is>
      </c>
      <c r="O8" s="3" t="inlineStr">
        <is>
          <t>CRITICAL</t>
        </is>
      </c>
      <c r="P8" s="3" t="inlineStr">
        <is>
          <t>CRITICAL — «levantado na UTM» e' fase OBSERVADA com lugar declarado, que e' exatamente o `CROP_STAGE 0/29`. E fecha a Campania, que estava FRACA</t>
        </is>
      </c>
      <c r="Q8" s="3" t="inlineStr">
        <is>
          <t>PRIMARY</t>
        </is>
      </c>
      <c r="R8" s="3" t="inlineStr">
        <is>
          <t>HIGH — semanal na campanha, mensal fora dela</t>
        </is>
      </c>
      <c r="S8" s="3" t="inlineStr">
        <is>
          <t>OBSERVADA</t>
        </is>
      </c>
      <c r="T8" s="3" t="inlineStr">
        <is>
          <t>VOICES · WINDOWS</t>
        </is>
      </c>
      <c r="U8" s="3" t="inlineStr">
        <is>
          <t>busca dirigida ao gap, 2026-09-14 (segunda vaga): a dupla cadencia e a origem do dado na UTM estao escritas na propria pagina da serie</t>
        </is>
      </c>
      <c r="V8" s="3" t="inlineStr">
        <is>
          <t>a UTM da o lugar do levantamento, nao a coordenada. Regiao sim, parcela nao.</t>
        </is>
      </c>
    </row>
    <row r="9">
      <c r="A9" s="3" t="inlineStr">
        <is>
          <t>Bollettini di produzione integrata — pomodoro da industria</t>
        </is>
      </c>
      <c r="B9" s="3" t="inlineStr">
        <is>
          <t>Consorzi Fitosanitari Provinciali de Reggio Emilia, Modena, Parma e Piacenza</t>
        </is>
      </c>
      <c r="C9" s="3" t="inlineStr">
        <is>
          <t>https://www.fitosanitario.re.it/bollettino-singole-colture/</t>
        </is>
      </c>
      <c r="D9" s="3" t="inlineStr">
        <is>
          <t>https://www.fitosanitario.re.it/bollettino-singole-colture/</t>
        </is>
      </c>
      <c r="E9" s="3" t="n">
        <v>200</v>
      </c>
      <c r="F9" s="3" t="n">
        <v>2979</v>
      </c>
      <c r="G9" s="3" t="inlineStr">
        <is>
          <t>VALIDATED_STRONG</t>
        </is>
      </c>
      <c r="H9" s="3" t="inlineStr">
        <is>
          <t>CONFIRMED</t>
        </is>
      </c>
      <c r="I9" s="3" t="inlineStr">
        <is>
          <t>segunda rota independente (https://www.fitosanitario.re.it/) abre e a casa declara-se «fitosanitario|consorzio» no texto.</t>
        </is>
      </c>
      <c r="J9" s="3" t="inlineStr">
        <is>
          <t>Tomato</t>
        </is>
      </c>
      <c r="K9" s="3" t="inlineStr">
        <is>
          <t>provincias de Reggio Emilia, Modena, Parma e Piacenza</t>
        </is>
      </c>
      <c r="L9" s="3" t="inlineStr">
        <is>
          <t>T1 T3 T4</t>
        </is>
      </c>
      <c r="M9" s="3" t="inlineStr">
        <is>
          <t>boletim provincial SEMANAL para tomate, construido com o modelo previsional I.P.I., levantamentos AEROBIOLOGICOS e CAMPOS-ESPIA NAO TRATADOS; escolhe o principio ativo pela FASE FENOLOGICA</t>
        </is>
      </c>
      <c r="N9" s="3" t="inlineStr">
        <is>
          <t>a defesa antiperonosporica arranca com base nos boletins provinciais semanais; medido que a suscetibilidade e' maxima logo apos o transplante, aumenta a resistencia ate a floracao e decresce ate a maturacao — e que em Emilia-Romagna os ataques concentram-se em junho-julho</t>
        </is>
      </c>
      <c r="O9" s="3" t="inlineStr">
        <is>
          <t>CRITICAL</t>
        </is>
      </c>
      <c r="P9" s="3" t="inlineStr">
        <is>
          <t>CRITICAL — fecha o tomate, que tinha 3 janelas e zero fonte. E o CAMPO-ESPIA NAO TRATADO e' observacao de campo no sentido forte: parcela deixada sem tratamento para se ver a doenca acontecer</t>
        </is>
      </c>
      <c r="Q9" s="3" t="inlineStr">
        <is>
          <t>PRIMARY</t>
        </is>
      </c>
      <c r="R9" s="3" t="inlineStr">
        <is>
          <t>HIGH — semanal na campanha</t>
        </is>
      </c>
      <c r="S9" s="3" t="inlineStr">
        <is>
          <t>OBSERVADA</t>
        </is>
      </c>
      <c r="T9" s="3" t="inlineStr">
        <is>
          <t>PORTFOLIO · WINDOWS</t>
        </is>
      </c>
      <c r="U9" s="3" t="inlineStr">
        <is>
          <t>busca dirigida ao gap, 2026-09-14 (segunda vaga): as tres entradas do boletim (modelo I.P.I., aerobiologia, campos-espia) e a curva de suscetibilidade por fase estao descritas na ficha tecnica regional da peronospora</t>
        </is>
      </c>
      <c r="V9" s="3" t="inlineStr">
        <is>
          <t>sao QUATRO donos distintos (quatro consorzi), nao um. E a cultura e' tomate de INDUSTRIA; o de mesa tem norma propria.</t>
        </is>
      </c>
    </row>
    <row r="10">
      <c r="A10" s="3" t="inlineStr">
        <is>
          <t>Bollettino seminativi biologici</t>
        </is>
      </c>
      <c r="B10" s="3" t="inlineStr">
        <is>
          <t>AIAB Friuli Venezia Giulia, em colaboracao com a ERSA</t>
        </is>
      </c>
      <c r="C10" s="3" t="inlineStr">
        <is>
          <t>https://www.aiab.fvg.it/aziende-e-tecnici/</t>
        </is>
      </c>
      <c r="D10" s="3" t="inlineStr">
        <is>
          <t>https://www.aiab.fvg.it/aziende-e-tecnici/</t>
        </is>
      </c>
      <c r="E10" s="3" t="n">
        <v>200</v>
      </c>
      <c r="F10" s="3" t="n">
        <v>12574</v>
      </c>
      <c r="G10" s="3" t="inlineStr">
        <is>
          <t>VALIDATED_STRONG</t>
        </is>
      </c>
      <c r="H10" s="3" t="inlineStr">
        <is>
          <t>CONFIRMED</t>
        </is>
      </c>
      <c r="I10" s="3" t="inlineStr">
        <is>
          <t>segunda rota independente (https://www.aiab.fvg.it/) abre e a casa declara-se «aiab|biolog» no texto.</t>
        </is>
      </c>
      <c r="J10" s="3" t="inlineStr">
        <is>
          <t>Wheat · Durum Wheat · Soybean · Maize</t>
        </is>
      </c>
      <c r="K10" s="3" t="inlineStr">
        <is>
          <t>Friuli-Venezia Giulia</t>
        </is>
      </c>
      <c r="L10" s="3" t="inlineStr">
        <is>
          <t>T1 T3 T8</t>
        </is>
      </c>
      <c r="M10" s="3" t="inlineStr">
        <is>
          <t>boletim periodico de arvenses em regime BIOLOGICO, a partir de levantamentos em campo e monitorizacao de AZIENDE CAMPIONE</t>
        </is>
      </c>
      <c r="N10" s="3" t="inlineStr">
        <is>
          <t>«Bollettino seminativi biologici n. 8/2026 del 24 giugno 2026», cobrindo andamento meteorologico, cereais outono-invernais, leguminosas de grao e culturas primavera-verao</t>
        </is>
      </c>
      <c r="O10" s="3" t="inlineStr">
        <is>
          <t>HIGH</t>
        </is>
      </c>
      <c r="P10" s="3" t="inlineStr">
        <is>
          <t>HIGH — «rilievi in campo» e «aziende campione» sao observacao real, e o recorte biologico e' um regime que nenhuma das 37 tinha</t>
        </is>
      </c>
      <c r="Q10" s="3" t="inlineStr">
        <is>
          <t>PRIMARY</t>
        </is>
      </c>
      <c r="R10" s="3" t="inlineStr">
        <is>
          <t>HIGH — numerada e datada</t>
        </is>
      </c>
      <c r="S10" s="3" t="inlineStr">
        <is>
          <t>OBSERVADA</t>
        </is>
      </c>
      <c r="T10" s="3" t="inlineStr">
        <is>
          <t>VOICES · WINDOWS</t>
        </is>
      </c>
      <c r="U10" s="3" t="inlineStr">
        <is>
          <t>busca dirigida ao gap, 2026-09-14 (segunda vaga): numero, data e indice de conteudo lidos na propria edicao</t>
        </is>
      </c>
      <c r="V10" s="3" t="inlineStr">
        <is>
          <t>regime biologico: a janela de produto nao serve o convencional.</t>
        </is>
      </c>
    </row>
    <row r="11">
      <c r="A11" s="3" t="inlineStr">
        <is>
          <t>IrriNet e FERTIRRINET</t>
        </is>
      </c>
      <c r="B11" s="3" t="inlineStr">
        <is>
          <t>CER — Canale Emiliano Romagnolo / ANBI, para a Regione Emilia-Romagna</t>
        </is>
      </c>
      <c r="C11" s="3" t="inlineStr">
        <is>
          <t>https://www.irriframe.it/</t>
        </is>
      </c>
      <c r="D11" s="3" t="inlineStr">
        <is>
          <t>https://www.irriframe.it/</t>
        </is>
      </c>
      <c r="E11" s="3" t="n">
        <v>200</v>
      </c>
      <c r="F11" s="3" t="n">
        <v>143</v>
      </c>
      <c r="G11" s="3" t="inlineStr">
        <is>
          <t>UNKNOWN</t>
        </is>
      </c>
      <c r="H11" s="3" t="inlineStr">
        <is>
          <t>NAO_EXIGIDA</t>
        </is>
      </c>
      <c r="I11" s="3" t="inlineStr"/>
      <c r="J11" s="3" t="inlineStr">
        <is>
          <t>Maize · Tomato · Apple</t>
        </is>
      </c>
      <c r="K11" s="3" t="inlineStr">
        <is>
          <t>Emilia-Romagna, com Irriframe em varias regioes</t>
        </is>
      </c>
      <c r="L11" s="3" t="inlineStr">
        <is>
          <t>T1 T2</t>
        </is>
      </c>
      <c r="M11" s="3" t="inlineStr">
        <is>
          <t>conselho de rega e de fertilizacao calculado POR FASE FENOLOGICA, tipo de solo e meteorologia medida E prevista, para mais, pomodoro, patata e pero</t>
        </is>
      </c>
      <c r="N11" s="3" t="inlineStr">
        <is>
          <t>o aplicativo FERTIRRINET dentro do IrriNet e' descrito como dando conselho de fertilizacao conforme DPI, tendo em conta cultura, FASE FENOLOGICA, tipo de solo e condicoes meteo medidas e previstas</t>
        </is>
      </c>
      <c r="O11" s="3" t="inlineStr">
        <is>
          <t>MEDIUM</t>
        </is>
      </c>
      <c r="P11" s="3" t="inlineStr">
        <is>
          <t>MEDIUM — traz a fase fenologica como ENTRADA de um modelo, nao como observacao publicada. Serve para saber que a fase e' computada, nao para a ler</t>
        </is>
      </c>
      <c r="Q11" s="3" t="inlineStr">
        <is>
          <t>SECONDARY</t>
        </is>
      </c>
      <c r="R11" s="3" t="inlineStr">
        <is>
          <t>HIGH — diaria/por evento</t>
        </is>
      </c>
      <c r="S11" s="3" t="inlineStr">
        <is>
          <t>OBSERVADA</t>
        </is>
      </c>
      <c r="T11" s="3" t="inlineStr">
        <is>
          <t>WINDOWS</t>
        </is>
      </c>
      <c r="U11" s="3" t="inlineStr">
        <is>
          <t>busca dirigida ao gap, 2026-09-14 (segunda vaga): as quatro culturas e a fase fenologica entre as entradas do modelo estao declaradas</t>
        </is>
      </c>
      <c r="V11" s="3" t="inlineStr">
        <is>
          <t>⚠️ E' MODELO, e o que o casco precisa e' fase OBSERVADA. Classe B por isso, nao por duvida sobre o dono.</t>
        </is>
      </c>
    </row>
    <row r="12">
      <c r="A12" s="3" t="inlineStr">
        <is>
          <t>SAL — Servizio Agrometeorologico Lucano, e os bollettini do SeDI</t>
        </is>
      </c>
      <c r="B12" s="3" t="inlineStr">
        <is>
          <t>ALSIA — Agenzia Lucana di Sviluppo e di Innovazione in Agricoltura, pela Regione Basilicata</t>
        </is>
      </c>
      <c r="C12" s="3" t="inlineStr">
        <is>
          <t>https://www.alsia.it/opencms/opencms/Temi/dettaglio/Agrometeorologia/</t>
        </is>
      </c>
      <c r="D12" s="3" t="inlineStr">
        <is>
          <t>https://www.alsia.it/opencms/opencms/Temi/dettaglio/Agrometeorologia/</t>
        </is>
      </c>
      <c r="E12" s="3" t="n">
        <v>0</v>
      </c>
      <c r="F12" s="3" t="n">
        <v>0</v>
      </c>
      <c r="G12" s="3" t="inlineStr">
        <is>
          <t>UNKNOWN</t>
        </is>
      </c>
      <c r="H12" s="3" t="inlineStr">
        <is>
          <t>UNKNOWN</t>
        </is>
      </c>
      <c r="I12" s="3" t="inlineStr">
        <is>
          <t>a segunda rota (https://www.alsia.it/) nao abriu: UNKNOWN. Nao confirma nem desmente.</t>
        </is>
      </c>
      <c r="J12" s="3" t="inlineStr">
        <is>
          <t>—</t>
        </is>
      </c>
      <c r="K12" s="3" t="inlineStr">
        <is>
          <t>Basilicata, em 3 comprensori, com 40 estacoes</t>
        </is>
      </c>
      <c r="L12" s="3" t="inlineStr">
        <is>
          <t>T1 T2 T3</t>
        </is>
      </c>
      <c r="M12" s="3" t="inlineStr">
        <is>
          <t>rede de QUARENTA estacoes agrometeorologicas desde 1996, com temperatura do ar e do solo, humidade, chuva, vento, radiacao e MOLHA FOLIAR, mais evapotranspiracao por Blaney-Criddle e Penman-Monteith; e boletins fitossanitarios POR COMPRENSORIO, dentro do SeDI (Servizio di Difesa Integrata)</t>
        </is>
      </c>
      <c r="N12" s="3" t="inlineStr">
        <is>
          <t>tres comprensori com boletim proprio — Metapontino, Alta Valle d'Agri e Valle del Bradano/Lavellese. Relatorio climatico mensal «Analisi climatica del mese di gennaio 2026» com ANOMALIA de temperatura face a 1991-2020 (Copernicus), em alsia.it/.../Bollettini/gennaio_2026.pdf. Boletim agrometeorologico semanal apresentado por Emanuele Scalcione, funcionario da ALSIA responsavel pelo SAL</t>
        </is>
      </c>
      <c r="O12" s="3" t="inlineStr">
        <is>
          <t>CRITICAL</t>
        </is>
      </c>
      <c r="P12" s="3" t="inlineStr">
        <is>
          <t>CRITICAL — a Basilicata tinha ZERO fonte regional. Esta entrega fenologia, observacao de campo, molha foliar E anomalia climatica de uma vez, com pessoa nomeada e papel declarado</t>
        </is>
      </c>
      <c r="Q12" s="3" t="inlineStr">
        <is>
          <t>PRIMARY</t>
        </is>
      </c>
      <c r="R12" s="3" t="inlineStr">
        <is>
          <t>HIGH — diaria (estacoes), semanal (boletim), mensal (clima)</t>
        </is>
      </c>
      <c r="S12" s="3" t="inlineStr">
        <is>
          <t>OBSERVADA</t>
        </is>
      </c>
      <c r="T12" s="3" t="inlineStr">
        <is>
          <t>FUTURE · VOICES · WINDOWS</t>
        </is>
      </c>
      <c r="U12" s="3" t="inlineStr">
        <is>
          <t>busca dirigida ao gap, 2026-09-14 (segunda vaga): numero de estacoes, ano de inicio, variaveis medidas, as duas formulas de evapotranspiracao, os tres comprensori, o relatorio mensal com periodo de referencia e o nome do responsavel — todos declarados pela ALSIA</t>
        </is>
      </c>
      <c r="V12" s="3" t="inlineStr">
        <is>
          <t>⚠️ OS BOLETINS PEDEM INSCRICAO nos servicos de consultoria online. Sao gratuitos, mas atras de conta — e dado atras de conta e' outra decisao de coleta.</t>
        </is>
      </c>
    </row>
    <row r="13">
      <c r="A13" s="3" t="inlineStr">
        <is>
          <t>Avvisi fitosanitari per viticoltori e per frutticoltori</t>
        </is>
      </c>
      <c r="B13" s="3" t="inlineStr">
        <is>
          <t>Regione autonoma Valle d'Aosta — Ufficio servizi fitosanitari (Assessorato Agricoltura e Risorse naturali)</t>
        </is>
      </c>
      <c r="C13" s="3" t="inlineStr">
        <is>
          <t>https://www.regione.vda.it/agricoltura/per_gli_agricoltori/fitosanitario/avvisi/viticoltura_i.asp</t>
        </is>
      </c>
      <c r="D13" s="3" t="inlineStr">
        <is>
          <t>https://www.regione.vda.it/agricoltura/per_gli_agricoltori/fitosanitario/avvisi/viticoltura_i.asp</t>
        </is>
      </c>
      <c r="E13" s="3" t="n">
        <v>200</v>
      </c>
      <c r="F13" s="3" t="n">
        <v>6504</v>
      </c>
      <c r="G13" s="3" t="inlineStr">
        <is>
          <t>VALIDATED_USEFUL</t>
        </is>
      </c>
      <c r="H13" s="3" t="inlineStr">
        <is>
          <t>CONFIRMED</t>
        </is>
      </c>
      <c r="I13" s="3" t="inlineStr">
        <is>
          <t>segunda rota independente (https://www.regione.vda.it/) abre e a casa declara-se «valle d'aosta|vall[eé]e|regione autonoma» no texto.</t>
        </is>
      </c>
      <c r="J13" s="3" t="inlineStr">
        <is>
          <t>Grapevine · Apple</t>
        </is>
      </c>
      <c r="K13" s="3" t="inlineStr">
        <is>
          <t>Valle d'Aosta</t>
        </is>
      </c>
      <c r="L13" s="3" t="inlineStr">
        <is>
          <t>T1 T3 T9</t>
        </is>
      </c>
      <c r="M13" s="3" t="inlineStr">
        <is>
          <t>avisos fitossanitarios de campanha, apoiados numa REDE DE ARMADILHAS montada cada estacao para as principais pragas, distribuidos por aviso em pontos estrategicos, gravador telefonico das cooperativas, web e SMS</t>
        </is>
      </c>
      <c r="N13" s="3" t="inlineStr">
        <is>
          <t>a pagina dos avisos para viticultores declara ultima atualizacao em 26/06/2026; existe serie paralela para fruticultores; e «Schede trattamenti 2026» como guia. O servico e' reconhecido Servizio Fitosanitario Regionale e coordenado pelo nacional</t>
        </is>
      </c>
      <c r="O13" s="3" t="inlineStr">
        <is>
          <t>CRITICAL</t>
        </is>
      </c>
      <c r="P13" s="3" t="inlineStr">
        <is>
          <t>CRITICAL — a Valle d'Aosta tinha ZERO fonte regional. E a rede de armadilhas com servico de previsao e aviso e' fase do problema medida, nao estimada</t>
        </is>
      </c>
      <c r="Q13" s="3" t="inlineStr">
        <is>
          <t>PRIMARY</t>
        </is>
      </c>
      <c r="R13" s="3" t="inlineStr">
        <is>
          <t>MEDIUM — de campanha, por evento de armadilha</t>
        </is>
      </c>
      <c r="S13" s="3" t="inlineStr">
        <is>
          <t>OBSERVADA</t>
        </is>
      </c>
      <c r="T13" s="3" t="inlineStr">
        <is>
          <t>FUTURE · WINDOWS</t>
        </is>
      </c>
      <c r="U13" s="3" t="inlineStr">
        <is>
          <t>busca dirigida ao gap, 2026-09-14 (segunda vaga): data de ultima atualizacao na pagina, existencia das duas series, os quatro canais de distribuicao e o reconhecimento institucional — todos lidos no sitio da regiao</t>
        </is>
      </c>
      <c r="V13" s="3" t="inlineStr">
        <is>
          <t>regiao pequena e bilingue (italiano/frances). O aviso por SMS e gravador telefonico NAO e' coletavel por rota web.</t>
        </is>
      </c>
    </row>
    <row r="14">
      <c r="A14" s="3" t="inlineStr">
        <is>
          <t>Dati di maturazione dell'uva e scelta della data di vendemmia</t>
        </is>
      </c>
      <c r="B14" s="3" t="inlineStr">
        <is>
          <t>Institut Agricole Régional (IAR), Aosta — Unita de Analises Laboratoriais e Unita de Viticultura-Enologia, com o Assessorato Agricoltura da Regione Valle d'Aosta</t>
        </is>
      </c>
      <c r="C14" s="3" t="inlineStr">
        <is>
          <t>https://www.iaraosta.it/</t>
        </is>
      </c>
      <c r="D14" s="3" t="inlineStr">
        <is>
          <t>https://www.iaraosta.it/</t>
        </is>
      </c>
      <c r="E14" s="3" t="n">
        <v>200</v>
      </c>
      <c r="F14" s="3" t="n">
        <v>6515</v>
      </c>
      <c r="G14" s="3" t="inlineStr">
        <is>
          <t>VALIDATED_USEFUL</t>
        </is>
      </c>
      <c r="H14" s="3" t="inlineStr">
        <is>
          <t>NAO_EXIGIDA</t>
        </is>
      </c>
      <c r="I14" s="3" t="inlineStr"/>
      <c r="J14" s="3" t="inlineStr">
        <is>
          <t>Grapevine</t>
        </is>
      </c>
      <c r="K14" s="3" t="inlineStr">
        <is>
          <t>Valle d'Aosta</t>
        </is>
      </c>
      <c r="L14" s="3" t="inlineStr">
        <is>
          <t>T1 T5</t>
        </is>
      </c>
      <c r="M14" s="3" t="inlineStr">
        <is>
          <t>tratamento dos dados de MATURACAO DA UVA das vinhas mais representativas da Valle d'Aosta e do proprio IAR, para escolher a data de vindima</t>
        </is>
      </c>
      <c r="N14" s="3" t="inlineStr">
        <is>
          <t>o servico e' descrito como colaboracao entre o IAR e o Assessorato, com dados das vinhas mais representativas da regiao; o IAR e' historicamente a casa que criou o mercado das castas autoctones — fumin, petit rouge, cornalin, prie blanc, mayolet, vuillermin</t>
        </is>
      </c>
      <c r="O14" s="3" t="inlineStr">
        <is>
          <t>HIGH</t>
        </is>
      </c>
      <c r="P14" s="3" t="inlineStr">
        <is>
          <t>HIGH — maturacao medida em vinha representativa e' fase OBSERVADA, e da a data de inicio da janela de vindima</t>
        </is>
      </c>
      <c r="Q14" s="3" t="inlineStr">
        <is>
          <t>PRIMARY</t>
        </is>
      </c>
      <c r="R14" s="3" t="inlineStr">
        <is>
          <t>MEDIUM — sazonal, na maturacao</t>
        </is>
      </c>
      <c r="S14" s="3" t="inlineStr">
        <is>
          <t>OBSERVADA</t>
        </is>
      </c>
      <c r="T14" s="3" t="inlineStr">
        <is>
          <t>WINDOWS</t>
        </is>
      </c>
      <c r="U14" s="3" t="inlineStr">
        <is>
          <t>busca dirigida ao gap, 2026-09-14 (segunda vaga): as duas unidades responsaveis, o parceiro institucional e a origem dos dados estao declarados pelo IAR</t>
        </is>
      </c>
      <c r="V14" s="3" t="inlineStr">
        <is>
          <t>sazonal e de uma cultura. Serve a vindima, nao a campanha toda.</t>
        </is>
      </c>
    </row>
    <row r="15">
      <c r="A15" s="3" t="inlineStr">
        <is>
          <t>Bollettini AgroAmbiente e Disciplinare di Produzione Integrata</t>
        </is>
      </c>
      <c r="B15" s="3" t="inlineStr">
        <is>
          <t>Regione Abruzzo — AgroAmbiente</t>
        </is>
      </c>
      <c r="C15" s="3" t="inlineStr">
        <is>
          <t>https://agroambiente.regione.abruzzo.it/</t>
        </is>
      </c>
      <c r="D15" s="3" t="inlineStr">
        <is>
          <t>https://agroambiente.regione.abruzzo.it/</t>
        </is>
      </c>
      <c r="E15" s="3" t="n">
        <v>200</v>
      </c>
      <c r="F15" s="3" t="n">
        <v>235</v>
      </c>
      <c r="G15" s="3" t="inlineStr">
        <is>
          <t>UNKNOWN</t>
        </is>
      </c>
      <c r="H15" s="3" t="inlineStr">
        <is>
          <t>NAO_EXIGIDA</t>
        </is>
      </c>
      <c r="I15" s="3" t="inlineStr"/>
      <c r="J15" s="3" t="inlineStr">
        <is>
          <t>Grapevine · Olive · Tomato</t>
        </is>
      </c>
      <c r="K15" s="3" t="inlineStr">
        <is>
          <t>Abruzzo</t>
        </is>
      </c>
      <c r="L15" s="3" t="inlineStr">
        <is>
          <t>T1 T2 T3</t>
        </is>
      </c>
      <c r="M15" s="3" t="inlineStr">
        <is>
          <t>boletins periodicos com dados agrometeo e FASES FENOLOGICAS, mais o DPI regional com o Allegato B por avversita</t>
        </is>
      </c>
      <c r="N15" s="3" t="inlineStr">
        <is>
          <t>«Bollettino n. 11 del 1 luglio 2026»; e o DPI Abruzzo 2026 com integracoes ao Allegato B sobre ragnetto rosso e peronospora em varias culturas</t>
        </is>
      </c>
      <c r="O15" s="3" t="inlineStr">
        <is>
          <t>HIGH</t>
        </is>
      </c>
      <c r="P15" s="3" t="inlineStr">
        <is>
          <t>HIGH — o Abruzzo estava FRACO (uma fonte). E esta e' a casa que quantifica o desvio: ~2 semanas de atraso acima de 400 m ou a mais de 40 km da costa</t>
        </is>
      </c>
      <c r="Q15" s="3" t="inlineStr">
        <is>
          <t>PRIMARY</t>
        </is>
      </c>
      <c r="R15" s="3" t="inlineStr">
        <is>
          <t>HIGH — boletim numerado e datado</t>
        </is>
      </c>
      <c r="S15" s="3" t="inlineStr">
        <is>
          <t>OBSERVADA</t>
        </is>
      </c>
      <c r="T15" s="3" t="inlineStr">
        <is>
          <t>WINDOWS</t>
        </is>
      </c>
      <c r="U15" s="3" t="inlineStr">
        <is>
          <t>busca dirigida ao gap, 2026-09-14 (segunda vaga): numero e data do boletim, e o conteudo do Allegato B do DPI 2026</t>
        </is>
      </c>
      <c r="V15" s="3" t="inlineStr">
        <is>
          <t>regional.</t>
        </is>
      </c>
    </row>
  </sheetData>
  <mergeCells count="1">
    <mergeCell ref="A1:V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21" customWidth="1" min="4" max="4"/>
    <col width="14" customWidth="1" min="5" max="5"/>
    <col width="36" customWidth="1" min="6" max="6"/>
    <col width="15" customWidth="1" min="7" max="7"/>
    <col width="60" customWidth="1" min="8" max="8"/>
  </cols>
  <sheetData>
    <row r="1" ht="46" customHeight="1">
      <c r="A1" s="1" t="inlineStr">
        <is>
          <t>AS 10 CULTURAS DAS 29 JANELAS, antes e depois. As cinco que estavam a zero eram arvenses e tomate — 14 das 29 janelas, quase metade — e a razao era ausencia de BUSCA, nao de fonte. ⚠️ «mais» (milho em italiano) continua fora das palavras-chave: colide com «mais» em portugues e produziu 6 falsos na missao anterior. Aqui as fontes de milho confirmam-se pelo CONTEUDO — diabrotica, piralide, BBCH 42-70.</t>
        </is>
      </c>
    </row>
    <row r="2">
      <c r="A2" s="2" t="inlineStr">
        <is>
          <t>CULTURA</t>
        </is>
      </c>
      <c r="B2" s="2" t="inlineStr">
        <is>
          <t>JANELAS_NO_CASCO</t>
        </is>
      </c>
      <c r="C2" s="2" t="inlineStr">
        <is>
          <t>FONTES_ANTES</t>
        </is>
      </c>
      <c r="D2" s="2" t="inlineStr">
        <is>
          <t>FONTES_DESTA_MISSAO</t>
        </is>
      </c>
      <c r="E2" s="2" t="inlineStr">
        <is>
          <t>TOTAL_DEPOIS</t>
        </is>
      </c>
      <c r="F2" s="2" t="inlineStr">
        <is>
          <t>ESTADO_ANTES</t>
        </is>
      </c>
      <c r="G2" s="2" t="inlineStr">
        <is>
          <t>ESTADO_DEPOIS</t>
        </is>
      </c>
      <c r="H2" s="2" t="inlineStr">
        <is>
          <t>QUEM_FECHOU</t>
        </is>
      </c>
    </row>
    <row r="3">
      <c r="A3" s="3" t="inlineStr">
        <is>
          <t>Apple</t>
        </is>
      </c>
      <c r="B3" s="3" t="n">
        <v>3</v>
      </c>
      <c r="C3" s="3" t="n">
        <v>1</v>
      </c>
      <c r="D3" s="3" t="n">
        <v>2</v>
      </c>
      <c r="E3" s="3" t="n">
        <v>3</v>
      </c>
      <c r="F3" s="3" t="inlineStr">
        <is>
          <t>NOMEADA</t>
        </is>
      </c>
      <c r="G3" s="3" t="inlineStr">
        <is>
          <t>NOMEADA</t>
        </is>
      </c>
      <c r="H3" s="3" t="inlineStr">
        <is>
          <t xml:space="preserve">IrriNet e FERTIRRINET · Avvisi fitosanitari per viticoltori e </t>
        </is>
      </c>
    </row>
    <row r="4">
      <c r="A4" s="3" t="inlineStr">
        <is>
          <t>Durum Wheat</t>
        </is>
      </c>
      <c r="B4" s="3" t="n">
        <v>3</v>
      </c>
      <c r="C4" s="3" t="n">
        <v>0</v>
      </c>
      <c r="D4" s="3" t="n">
        <v>3</v>
      </c>
      <c r="E4" s="3" t="n">
        <v>3</v>
      </c>
      <c r="F4" s="3" t="inlineStr">
        <is>
          <t>NAO NOMEADA POR NENHUMA FONTE NOVA</t>
        </is>
      </c>
      <c r="G4" s="3" t="inlineStr">
        <is>
          <t>NOMEADA</t>
        </is>
      </c>
      <c r="H4" s="3" t="inlineStr">
        <is>
          <t>Bollettini colture estensive / seminat · Bollettini interprovinciali di produzi · Bollettino seminativi biologici</t>
        </is>
      </c>
    </row>
    <row r="5">
      <c r="A5" s="3" t="inlineStr">
        <is>
          <t>Grapevine</t>
        </is>
      </c>
      <c r="B5" s="3" t="n">
        <v>5</v>
      </c>
      <c r="C5" s="3" t="n">
        <v>8</v>
      </c>
      <c r="D5" s="3" t="n">
        <v>3</v>
      </c>
      <c r="E5" s="3" t="n">
        <v>11</v>
      </c>
      <c r="F5" s="3" t="inlineStr">
        <is>
          <t>NOMEADA</t>
        </is>
      </c>
      <c r="G5" s="3" t="inlineStr">
        <is>
          <t>NOMEADA</t>
        </is>
      </c>
      <c r="H5" s="3" t="inlineStr">
        <is>
          <t>Avvisi fitosanitari per viticoltori e  · Dati di maturazione dell'uva e scelta  · Bollettini AgroAmbiente e Disciplinare</t>
        </is>
      </c>
    </row>
    <row r="6">
      <c r="A6" s="3" t="inlineStr">
        <is>
          <t>Maize</t>
        </is>
      </c>
      <c r="B6" s="3" t="n">
        <v>3</v>
      </c>
      <c r="C6" s="3" t="n">
        <v>0</v>
      </c>
      <c r="D6" s="3" t="n">
        <v>8</v>
      </c>
      <c r="E6" s="3" t="n">
        <v>8</v>
      </c>
      <c r="F6" s="3" t="inlineStr">
        <is>
          <t>NAO NOMEADA POR NENHUMA FONTE NOVA</t>
        </is>
      </c>
      <c r="G6" s="3" t="inlineStr">
        <is>
          <t>NOMEADA</t>
        </is>
      </c>
      <c r="H6" s="3" t="inlineStr">
        <is>
          <t>Bollettini colture estensive / seminat · Bollettini interprovinciali di produzi · Bollettini di difesa integrata — coltu · Bollettino Mais · Bollettino Colture Erbacee · Bollettini fitosanitari — Unita territ · Bollettino seminativi biologici · IrriNet e FERTIRRINET</t>
        </is>
      </c>
    </row>
    <row r="7">
      <c r="A7" s="3" t="inlineStr">
        <is>
          <t>Olive</t>
        </is>
      </c>
      <c r="B7" s="3" t="n">
        <v>3</v>
      </c>
      <c r="C7" s="3" t="n">
        <v>4</v>
      </c>
      <c r="D7" s="3" t="n">
        <v>1</v>
      </c>
      <c r="E7" s="3" t="n">
        <v>5</v>
      </c>
      <c r="F7" s="3" t="inlineStr">
        <is>
          <t>NOMEADA</t>
        </is>
      </c>
      <c r="G7" s="3" t="inlineStr">
        <is>
          <t>NOMEADA</t>
        </is>
      </c>
      <c r="H7" s="3" t="inlineStr">
        <is>
          <t>Bollettini AgroAmbiente e Disciplinare</t>
        </is>
      </c>
    </row>
    <row r="8">
      <c r="A8" s="3" t="inlineStr">
        <is>
          <t>Rice</t>
        </is>
      </c>
      <c r="B8" s="3" t="n">
        <v>2</v>
      </c>
      <c r="C8" s="3" t="n">
        <v>1</v>
      </c>
      <c r="D8" s="3" t="n">
        <v>0</v>
      </c>
      <c r="E8" s="3" t="n">
        <v>1</v>
      </c>
      <c r="F8" s="3" t="inlineStr">
        <is>
          <t>NOMEADA</t>
        </is>
      </c>
      <c r="G8" s="3" t="inlineStr">
        <is>
          <t>NOMEADA</t>
        </is>
      </c>
      <c r="H8" s="3" t="inlineStr">
        <is>
          <t>—</t>
        </is>
      </c>
    </row>
    <row r="9">
      <c r="A9" s="3" t="inlineStr">
        <is>
          <t>Soybean</t>
        </is>
      </c>
      <c r="B9" s="3" t="n">
        <v>2</v>
      </c>
      <c r="C9" s="3" t="n">
        <v>0</v>
      </c>
      <c r="D9" s="3" t="n">
        <v>5</v>
      </c>
      <c r="E9" s="3" t="n">
        <v>5</v>
      </c>
      <c r="F9" s="3" t="inlineStr">
        <is>
          <t>NAO NOMEADA POR NENHUMA FONTE NOVA</t>
        </is>
      </c>
      <c r="G9" s="3" t="inlineStr">
        <is>
          <t>NOMEADA</t>
        </is>
      </c>
      <c r="H9" s="3" t="inlineStr">
        <is>
          <t>Bollettini colture estensive / seminat · Bollettini interprovinciali di produzi · Bollettini di difesa integrata — coltu · Bollettino Colture Erbacee · Bollettino seminativi biologici</t>
        </is>
      </c>
    </row>
    <row r="10">
      <c r="A10" s="3" t="inlineStr">
        <is>
          <t>Sugar Beet</t>
        </is>
      </c>
      <c r="B10" s="3" t="n">
        <v>2</v>
      </c>
      <c r="C10" s="3" t="n">
        <v>1</v>
      </c>
      <c r="D10" s="3" t="n">
        <v>0</v>
      </c>
      <c r="E10" s="3" t="n">
        <v>1</v>
      </c>
      <c r="F10" s="3" t="inlineStr">
        <is>
          <t>NOMEADA</t>
        </is>
      </c>
      <c r="G10" s="3" t="inlineStr">
        <is>
          <t>NOMEADA</t>
        </is>
      </c>
      <c r="H10" s="3" t="inlineStr">
        <is>
          <t>—</t>
        </is>
      </c>
    </row>
    <row r="11">
      <c r="A11" s="3" t="inlineStr">
        <is>
          <t>Tomato</t>
        </is>
      </c>
      <c r="B11" s="3" t="n">
        <v>3</v>
      </c>
      <c r="C11" s="3" t="n">
        <v>0</v>
      </c>
      <c r="D11" s="3" t="n">
        <v>5</v>
      </c>
      <c r="E11" s="3" t="n">
        <v>5</v>
      </c>
      <c r="F11" s="3" t="inlineStr">
        <is>
          <t>NAO NOMEADA POR NENHUMA FONTE NOVA</t>
        </is>
      </c>
      <c r="G11" s="3" t="inlineStr">
        <is>
          <t>NOMEADA</t>
        </is>
      </c>
      <c r="H11" s="3" t="inlineStr">
        <is>
          <t>Bollettini interprovinciali di produzi · Bollettini fitosanitari — Unita territ · Bollettini di produzione integrata — p · IrriNet e FERTIRRINET · Bollettini AgroAmbiente e Disciplinare</t>
        </is>
      </c>
    </row>
    <row r="12">
      <c r="A12" s="3" t="inlineStr">
        <is>
          <t>Wheat</t>
        </is>
      </c>
      <c r="B12" s="3" t="n">
        <v>3</v>
      </c>
      <c r="C12" s="3" t="n">
        <v>0</v>
      </c>
      <c r="D12" s="3" t="n">
        <v>6</v>
      </c>
      <c r="E12" s="3" t="n">
        <v>6</v>
      </c>
      <c r="F12" s="3" t="inlineStr">
        <is>
          <t>NAO NOMEADA POR NENHUMA FONTE NOVA</t>
        </is>
      </c>
      <c r="G12" s="3" t="inlineStr">
        <is>
          <t>NOMEADA</t>
        </is>
      </c>
      <c r="H12" s="3" t="inlineStr">
        <is>
          <t>Bollettini colture estensive / seminat · Bollettini interprovinciali di produzi · Bollettini di difesa integrata — coltu · Bollettino Colture Erbacee · Bollettini fitosanitari — Unita territ · Bollettino seminativi biologici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20" customWidth="1" min="3" max="3"/>
    <col width="17" customWidth="1" min="4" max="4"/>
    <col width="20" customWidth="1" min="5" max="5"/>
    <col width="15" customWidth="1" min="6" max="6"/>
    <col width="60" customWidth="1" min="7" max="7"/>
  </cols>
  <sheetData>
    <row r="1" ht="46" customHeight="1">
      <c r="A1" s="1" t="inlineStr">
        <is>
          <t>AS 20 REGIOES, antes e depois. ⚠️ FONTE NACIONAL CONTINUA A NAO CONTAR como cobertura regional: a fenologia muda com altitude e distancia ao mar, e o proprio Abruzzo mede ~2 semanas de atraso acima de 400 m ou a mais de 40 km da costa. As duas regioes a zero fecharam com fonte REGIONAL propria, nao com nacional.</t>
        </is>
      </c>
    </row>
    <row r="2">
      <c r="A2" s="2" t="inlineStr">
        <is>
          <t>REGIAO</t>
        </is>
      </c>
      <c r="B2" s="2" t="inlineStr">
        <is>
          <t>ANTES_REGIONAL</t>
        </is>
      </c>
      <c r="C2" s="2" t="inlineStr">
        <is>
          <t>NOVAS_DESTA_MISSAO</t>
        </is>
      </c>
      <c r="D2" s="2" t="inlineStr">
        <is>
          <t>DEPOIS_REGIONAL</t>
        </is>
      </c>
      <c r="E2" s="2" t="inlineStr">
        <is>
          <t>ESTADO_ANTES</t>
        </is>
      </c>
      <c r="F2" s="2" t="inlineStr">
        <is>
          <t>ESTADO_DEPOIS</t>
        </is>
      </c>
      <c r="G2" s="2" t="inlineStr">
        <is>
          <t>QUEM_FECHOU</t>
        </is>
      </c>
    </row>
    <row r="3">
      <c r="A3" s="3" t="inlineStr">
        <is>
          <t>Abruzzo</t>
        </is>
      </c>
      <c r="B3" s="3" t="n">
        <v>1</v>
      </c>
      <c r="C3" s="3" t="n">
        <v>1</v>
      </c>
      <c r="D3" s="3" t="n">
        <v>2</v>
      </c>
      <c r="E3" s="3" t="inlineStr">
        <is>
          <t>FRACA</t>
        </is>
      </c>
      <c r="F3" s="3" t="inlineStr">
        <is>
          <t>COBERTA</t>
        </is>
      </c>
      <c r="G3" s="3" t="inlineStr">
        <is>
          <t>Bollettini AgroAmbiente e Disciplinare d</t>
        </is>
      </c>
    </row>
    <row r="4">
      <c r="A4" s="3" t="inlineStr">
        <is>
          <t>Basilicata</t>
        </is>
      </c>
      <c r="B4" s="3" t="n">
        <v>0</v>
      </c>
      <c r="C4" s="3" t="n">
        <v>1</v>
      </c>
      <c r="D4" s="3" t="n">
        <v>1</v>
      </c>
      <c r="E4" s="3" t="inlineStr">
        <is>
          <t>SEM FONTE REGIONAL</t>
        </is>
      </c>
      <c r="F4" s="3" t="inlineStr">
        <is>
          <t>FRACA</t>
        </is>
      </c>
      <c r="G4" s="3" t="inlineStr">
        <is>
          <t>SAL — Servizio Agrometeorologico Lucano,</t>
        </is>
      </c>
    </row>
    <row r="5">
      <c r="A5" s="3" t="inlineStr">
        <is>
          <t>Calabria</t>
        </is>
      </c>
      <c r="B5" s="3" t="n">
        <v>4</v>
      </c>
      <c r="C5" s="3" t="n">
        <v>0</v>
      </c>
      <c r="D5" s="3" t="n">
        <v>4</v>
      </c>
      <c r="E5" s="3" t="inlineStr">
        <is>
          <t>COBERTA</t>
        </is>
      </c>
      <c r="F5" s="3" t="inlineStr">
        <is>
          <t>COBERTA</t>
        </is>
      </c>
      <c r="G5" s="3" t="inlineStr">
        <is>
          <t>—</t>
        </is>
      </c>
    </row>
    <row r="6">
      <c r="A6" s="3" t="inlineStr">
        <is>
          <t>Campania</t>
        </is>
      </c>
      <c r="B6" s="3" t="n">
        <v>1</v>
      </c>
      <c r="C6" s="3" t="n">
        <v>1</v>
      </c>
      <c r="D6" s="3" t="n">
        <v>2</v>
      </c>
      <c r="E6" s="3" t="inlineStr">
        <is>
          <t>FRACA</t>
        </is>
      </c>
      <c r="F6" s="3" t="inlineStr">
        <is>
          <t>COBERTA</t>
        </is>
      </c>
      <c r="G6" s="3" t="inlineStr">
        <is>
          <t>Bollettini fitosanitari — Unita territor</t>
        </is>
      </c>
    </row>
    <row r="7">
      <c r="A7" s="3" t="inlineStr">
        <is>
          <t>Emilia-Romagna</t>
        </is>
      </c>
      <c r="B7" s="3" t="n">
        <v>9</v>
      </c>
      <c r="C7" s="3" t="n">
        <v>2</v>
      </c>
      <c r="D7" s="3" t="n">
        <v>11</v>
      </c>
      <c r="E7" s="3" t="inlineStr">
        <is>
          <t>COBERTA</t>
        </is>
      </c>
      <c r="F7" s="3" t="inlineStr">
        <is>
          <t>COBERTA</t>
        </is>
      </c>
      <c r="G7" s="3" t="inlineStr">
        <is>
          <t>Bollettini interprovinciali di produzion · IrriNet e FERTIRRINET</t>
        </is>
      </c>
    </row>
    <row r="8">
      <c r="A8" s="3" t="inlineStr">
        <is>
          <t>Friuli-Venezia Giulia</t>
        </is>
      </c>
      <c r="B8" s="3" t="n">
        <v>1</v>
      </c>
      <c r="C8" s="3" t="n">
        <v>2</v>
      </c>
      <c r="D8" s="3" t="n">
        <v>3</v>
      </c>
      <c r="E8" s="3" t="inlineStr">
        <is>
          <t>FRACA</t>
        </is>
      </c>
      <c r="F8" s="3" t="inlineStr">
        <is>
          <t>COBERTA</t>
        </is>
      </c>
      <c r="G8" s="3" t="inlineStr">
        <is>
          <t>Bollettini di difesa integrata — colture · Bollettino seminativi biologici</t>
        </is>
      </c>
    </row>
    <row r="9">
      <c r="A9" s="3" t="inlineStr">
        <is>
          <t>Lazio</t>
        </is>
      </c>
      <c r="B9" s="3" t="n">
        <v>15</v>
      </c>
      <c r="C9" s="3" t="n">
        <v>0</v>
      </c>
      <c r="D9" s="3" t="n">
        <v>15</v>
      </c>
      <c r="E9" s="3" t="inlineStr">
        <is>
          <t>COBERTA</t>
        </is>
      </c>
      <c r="F9" s="3" t="inlineStr">
        <is>
          <t>COBERTA</t>
        </is>
      </c>
      <c r="G9" s="3" t="inlineStr">
        <is>
          <t>—</t>
        </is>
      </c>
    </row>
    <row r="10">
      <c r="A10" s="3" t="inlineStr">
        <is>
          <t>Liguria</t>
        </is>
      </c>
      <c r="B10" s="3" t="n">
        <v>7</v>
      </c>
      <c r="C10" s="3" t="n">
        <v>0</v>
      </c>
      <c r="D10" s="3" t="n">
        <v>7</v>
      </c>
      <c r="E10" s="3" t="inlineStr">
        <is>
          <t>COBERTA</t>
        </is>
      </c>
      <c r="F10" s="3" t="inlineStr">
        <is>
          <t>COBERTA</t>
        </is>
      </c>
      <c r="G10" s="3" t="inlineStr">
        <is>
          <t>—</t>
        </is>
      </c>
    </row>
    <row r="11">
      <c r="A11" s="3" t="inlineStr">
        <is>
          <t>Lombardia</t>
        </is>
      </c>
      <c r="B11" s="3" t="n">
        <v>9</v>
      </c>
      <c r="C11" s="3" t="n">
        <v>1</v>
      </c>
      <c r="D11" s="3" t="n">
        <v>10</v>
      </c>
      <c r="E11" s="3" t="inlineStr">
        <is>
          <t>COBERTA</t>
        </is>
      </c>
      <c r="F11" s="3" t="inlineStr">
        <is>
          <t>COBERTA</t>
        </is>
      </c>
      <c r="G11" s="3" t="inlineStr">
        <is>
          <t>Bollettino Mais</t>
        </is>
      </c>
    </row>
    <row r="12">
      <c r="A12" s="3" t="inlineStr">
        <is>
          <t>Marche</t>
        </is>
      </c>
      <c r="B12" s="3" t="n">
        <v>3</v>
      </c>
      <c r="C12" s="3" t="n">
        <v>0</v>
      </c>
      <c r="D12" s="3" t="n">
        <v>3</v>
      </c>
      <c r="E12" s="3" t="inlineStr">
        <is>
          <t>COBERTA</t>
        </is>
      </c>
      <c r="F12" s="3" t="inlineStr">
        <is>
          <t>COBERTA</t>
        </is>
      </c>
      <c r="G12" s="3" t="inlineStr">
        <is>
          <t>—</t>
        </is>
      </c>
    </row>
    <row r="13">
      <c r="A13" s="3" t="inlineStr">
        <is>
          <t>Molise</t>
        </is>
      </c>
      <c r="B13" s="3" t="n">
        <v>1</v>
      </c>
      <c r="C13" s="3" t="n">
        <v>0</v>
      </c>
      <c r="D13" s="3" t="n">
        <v>1</v>
      </c>
      <c r="E13" s="3" t="inlineStr">
        <is>
          <t>FRACA</t>
        </is>
      </c>
      <c r="F13" s="3" t="inlineStr">
        <is>
          <t>FRACA</t>
        </is>
      </c>
      <c r="G13" s="3" t="inlineStr">
        <is>
          <t>—</t>
        </is>
      </c>
    </row>
    <row r="14">
      <c r="A14" s="3" t="inlineStr">
        <is>
          <t>Piemonte</t>
        </is>
      </c>
      <c r="B14" s="3" t="n">
        <v>7</v>
      </c>
      <c r="C14" s="3" t="n">
        <v>0</v>
      </c>
      <c r="D14" s="3" t="n">
        <v>7</v>
      </c>
      <c r="E14" s="3" t="inlineStr">
        <is>
          <t>COBERTA</t>
        </is>
      </c>
      <c r="F14" s="3" t="inlineStr">
        <is>
          <t>COBERTA</t>
        </is>
      </c>
      <c r="G14" s="3" t="inlineStr">
        <is>
          <t>—</t>
        </is>
      </c>
    </row>
    <row r="15">
      <c r="A15" s="3" t="inlineStr">
        <is>
          <t>Puglia</t>
        </is>
      </c>
      <c r="B15" s="3" t="n">
        <v>6</v>
      </c>
      <c r="C15" s="3" t="n">
        <v>0</v>
      </c>
      <c r="D15" s="3" t="n">
        <v>6</v>
      </c>
      <c r="E15" s="3" t="inlineStr">
        <is>
          <t>COBERTA</t>
        </is>
      </c>
      <c r="F15" s="3" t="inlineStr">
        <is>
          <t>COBERTA</t>
        </is>
      </c>
      <c r="G15" s="3" t="inlineStr">
        <is>
          <t>—</t>
        </is>
      </c>
    </row>
    <row r="16">
      <c r="A16" s="3" t="inlineStr">
        <is>
          <t>Sardegna</t>
        </is>
      </c>
      <c r="B16" s="3" t="n">
        <v>3</v>
      </c>
      <c r="C16" s="3" t="n">
        <v>0</v>
      </c>
      <c r="D16" s="3" t="n">
        <v>3</v>
      </c>
      <c r="E16" s="3" t="inlineStr">
        <is>
          <t>COBERTA</t>
        </is>
      </c>
      <c r="F16" s="3" t="inlineStr">
        <is>
          <t>COBERTA</t>
        </is>
      </c>
      <c r="G16" s="3" t="inlineStr">
        <is>
          <t>—</t>
        </is>
      </c>
    </row>
    <row r="17">
      <c r="A17" s="3" t="inlineStr">
        <is>
          <t>Sicilia</t>
        </is>
      </c>
      <c r="B17" s="3" t="n">
        <v>8</v>
      </c>
      <c r="C17" s="3" t="n">
        <v>0</v>
      </c>
      <c r="D17" s="3" t="n">
        <v>8</v>
      </c>
      <c r="E17" s="3" t="inlineStr">
        <is>
          <t>COBERTA</t>
        </is>
      </c>
      <c r="F17" s="3" t="inlineStr">
        <is>
          <t>COBERTA</t>
        </is>
      </c>
      <c r="G17" s="3" t="inlineStr">
        <is>
          <t>—</t>
        </is>
      </c>
    </row>
    <row r="18">
      <c r="A18" s="3" t="inlineStr">
        <is>
          <t>Toscana</t>
        </is>
      </c>
      <c r="B18" s="3" t="n">
        <v>4</v>
      </c>
      <c r="C18" s="3" t="n">
        <v>0</v>
      </c>
      <c r="D18" s="3" t="n">
        <v>4</v>
      </c>
      <c r="E18" s="3" t="inlineStr">
        <is>
          <t>COBERTA</t>
        </is>
      </c>
      <c r="F18" s="3" t="inlineStr">
        <is>
          <t>COBERTA</t>
        </is>
      </c>
      <c r="G18" s="3" t="inlineStr">
        <is>
          <t>—</t>
        </is>
      </c>
    </row>
    <row r="19">
      <c r="A19" s="3" t="inlineStr">
        <is>
          <t>Trentino-Alto Adige</t>
        </is>
      </c>
      <c r="B19" s="3" t="n">
        <v>2</v>
      </c>
      <c r="C19" s="3" t="n">
        <v>0</v>
      </c>
      <c r="D19" s="3" t="n">
        <v>2</v>
      </c>
      <c r="E19" s="3" t="inlineStr">
        <is>
          <t>COBERTA</t>
        </is>
      </c>
      <c r="F19" s="3" t="inlineStr">
        <is>
          <t>COBERTA</t>
        </is>
      </c>
      <c r="G19" s="3" t="inlineStr">
        <is>
          <t>—</t>
        </is>
      </c>
    </row>
    <row r="20">
      <c r="A20" s="3" t="inlineStr">
        <is>
          <t>Umbria</t>
        </is>
      </c>
      <c r="B20" s="3" t="n">
        <v>5</v>
      </c>
      <c r="C20" s="3" t="n">
        <v>0</v>
      </c>
      <c r="D20" s="3" t="n">
        <v>5</v>
      </c>
      <c r="E20" s="3" t="inlineStr">
        <is>
          <t>COBERTA</t>
        </is>
      </c>
      <c r="F20" s="3" t="inlineStr">
        <is>
          <t>COBERTA</t>
        </is>
      </c>
      <c r="G20" s="3" t="inlineStr">
        <is>
          <t>—</t>
        </is>
      </c>
    </row>
    <row r="21">
      <c r="A21" s="3" t="inlineStr">
        <is>
          <t>Valle d'Aosta</t>
        </is>
      </c>
      <c r="B21" s="3" t="n">
        <v>0</v>
      </c>
      <c r="C21" s="3" t="n">
        <v>2</v>
      </c>
      <c r="D21" s="3" t="n">
        <v>2</v>
      </c>
      <c r="E21" s="3" t="inlineStr">
        <is>
          <t>SEM FONTE REGIONAL</t>
        </is>
      </c>
      <c r="F21" s="3" t="inlineStr">
        <is>
          <t>COBERTA</t>
        </is>
      </c>
      <c r="G21" s="3" t="inlineStr">
        <is>
          <t>Avvisi fitosanitari per viticoltori e pe · Dati di maturazione dell'uva e scelta de</t>
        </is>
      </c>
    </row>
    <row r="22">
      <c r="A22" s="3" t="inlineStr">
        <is>
          <t>Veneto</t>
        </is>
      </c>
      <c r="B22" s="3" t="n">
        <v>10</v>
      </c>
      <c r="C22" s="3" t="n">
        <v>2</v>
      </c>
      <c r="D22" s="3" t="n">
        <v>12</v>
      </c>
      <c r="E22" s="3" t="inlineStr">
        <is>
          <t>COBERTA</t>
        </is>
      </c>
      <c r="F22" s="3" t="inlineStr">
        <is>
          <t>COBERTA</t>
        </is>
      </c>
      <c r="G22" s="3" t="inlineStr">
        <is>
          <t>Bollettini colture estensive / seminativ · Bollettino Colture Erbacee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60" customWidth="1" min="3" max="3"/>
    <col width="60" customWidth="1" min="4" max="4"/>
    <col width="58" customWidth="1" min="5" max="5"/>
    <col width="60" customWidth="1" min="6" max="6"/>
  </cols>
  <sheetData>
    <row r="1" ht="46" customHeight="1">
      <c r="A1" s="1" t="inlineStr">
        <is>
          <t>PESSOAS POR PAPEL, nunca por alcance. Seguidores nao sao autoridade, e isto nao e' ranking de especialistas. A linha com QUANTAS=0 continua a ser a mais importante: produtor agricola com regiao e data, zero.</t>
        </is>
      </c>
    </row>
    <row r="2">
      <c r="A2" s="2" t="inlineStr">
        <is>
          <t>PAPEL</t>
        </is>
      </c>
      <c r="B2" s="2" t="inlineStr">
        <is>
          <t>QUANTAS</t>
        </is>
      </c>
      <c r="C2" s="2" t="inlineStr">
        <is>
          <t>NOMES</t>
        </is>
      </c>
      <c r="D2" s="2" t="inlineStr">
        <is>
          <t>ONDE</t>
        </is>
      </c>
      <c r="E2" s="2" t="inlineStr">
        <is>
          <t>ALIMENTA</t>
        </is>
      </c>
      <c r="F2" s="2" t="inlineStr">
        <is>
          <t>NOTA</t>
        </is>
      </c>
    </row>
    <row r="3">
      <c r="A3" s="3" t="inlineStr">
        <is>
          <t>tecnico de empresa concorrente</t>
        </is>
      </c>
      <c r="B3" s="3" t="n">
        <v>7</v>
      </c>
      <c r="C3" s="3" t="inlineStr">
        <is>
          <t>Mattia Fumagalli (Syngenta) · Sara Ciofini (Corteva) · Mirko Valente (BASF) · Silvano Locardi (Bayer) · Marco Pravisano (Syngenta) · Marco Grandin (Bayer) · Giorgio Fioretti (BASF)</t>
        </is>
      </c>
      <c r="D3" s="3" t="inlineStr">
        <is>
          <t>convegno de Bolonha 19/02/2026 · Forum Fitoiatrico CondifesaTVB</t>
        </is>
      </c>
      <c r="E3" s="3" t="inlineStr">
        <is>
          <t>COMPETITORS · PESSOA do concorrente (quem fala por ele)</t>
        </is>
      </c>
      <c r="F3" s="3" t="inlineStr">
        <is>
          <t>passou de NO_SOURCE a STRONG. ⚠️ a ADAMA esta na lista de participantes do Forum — excluir a propria casa do calculo</t>
        </is>
      </c>
    </row>
    <row r="4">
      <c r="A4" s="3" t="inlineStr">
        <is>
          <t>responsavel de servico publico</t>
        </is>
      </c>
      <c r="B4" s="3" t="n">
        <v>3</v>
      </c>
      <c r="C4" s="3" t="inlineStr">
        <is>
          <t>Bruno Faraglia (chefe do Servizio Fitosanitario Centrale) · Maria Rita Rapagnani (Ministero della Salute) · Dario Bond (Assessore Agricoltura, Regione Veneto)</t>
        </is>
      </c>
      <c r="D4" s="3" t="inlineStr">
        <is>
          <t>protezionedellepiante.it · convegno de Bolonha · Forum Fitoiatrico</t>
        </is>
      </c>
      <c r="E4" s="3" t="inlineStr">
        <is>
          <t>FUTURE · PRAGA OU DOENCA EMERGENTE (primeira deteccao)</t>
        </is>
      </c>
      <c r="F4" s="3" t="inlineStr">
        <is>
          <t>identidade institucional, verificavel na propria casa</t>
        </is>
      </c>
    </row>
    <row r="5">
      <c r="A5" s="3" t="inlineStr">
        <is>
          <t>tecnico de associacao / sociedade</t>
        </is>
      </c>
      <c r="B5" s="3" t="n">
        <v>2</v>
      </c>
      <c r="C5" s="3" t="inlineStr">
        <is>
          <t>Alessandra Moccia (IBMA Global) · Matteo Colombo (European Precision Application Task Force, por Corteva)</t>
        </is>
      </c>
      <c r="D5" s="3" t="inlineStr">
        <is>
          <t>convegno de Bolonha · Giornate Fitopatologiche 2026</t>
        </is>
      </c>
      <c r="E5" s="3" t="inlineStr">
        <is>
          <t>COMPETITORS · CONTEUDO TECNICO do concorrente</t>
        </is>
      </c>
      <c r="F5" s="3" t="inlineStr">
        <is>
          <t>fala por associacao, nao por empresa — papel diferente</t>
        </is>
      </c>
    </row>
    <row r="6">
      <c r="A6" s="3" t="inlineStr">
        <is>
          <t>produtor agricola com regiao e data</t>
        </is>
      </c>
      <c r="B6" s="3" t="n">
        <v>0</v>
      </c>
      <c r="C6" s="3" t="inlineStr">
        <is>
          <t>—</t>
        </is>
      </c>
      <c r="D6" s="3" t="inlineStr">
        <is>
          <t>—</t>
        </is>
      </c>
      <c r="E6" s="3" t="inlineStr">
        <is>
          <t>VOICES · REGIAO/PAPEL/DATA da voz de campo</t>
        </is>
      </c>
      <c r="F6" s="3" t="inlineStr">
        <is>
          <t>⚠️ ZERO. A busca dirigida a «agronomo que publica boletim proprio» devolveu a conclusao de que NAO EXISTE lista central desses profissionais. E o que se achou foram tecnicos institucionais, nao produtores. O buraco de VOICES nao fechou.</t>
        </is>
      </c>
    </row>
    <row r="7">
      <c r="A7" s="3" t="inlineStr">
        <is>
          <t>responsavel tecnico de servico regional (achado nesta missao)</t>
        </is>
      </c>
      <c r="B7" s="3" t="n">
        <v>1</v>
      </c>
      <c r="C7" s="3" t="inlineStr">
        <is>
          <t>Emanuele Scalcione — funcionario da ALSIA, responsavel do Servizio Agrometeorologico Lucano (Basilicata)</t>
        </is>
      </c>
      <c r="D7" s="3" t="inlineStr">
        <is>
          <t>boletim agrometeorologico semanal da ALSIA</t>
        </is>
      </c>
      <c r="E7" s="3" t="inlineStr">
        <is>
          <t>VOICES · PAPEL de quem fala (produtor? tecnico? amador?)</t>
        </is>
      </c>
      <c r="F7" s="3" t="inlineStr">
        <is>
          <t>papel E territorio declarados pela propria casa. ⚠️ A afiliacao NAO foi verificada em perfil institucional: a rota `alsia.it` nao abre desta maquina (DNS local), embora resolva no publico.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42" customWidth="1" min="6" max="6"/>
  </cols>
  <sheetData>
    <row r="1" ht="46" customHeight="1">
      <c r="A1" s="1" t="inlineStr">
        <is>
          <t>OS CAMPOS DA VOZ DE CAMPO, com o enchimento real. Nao e' lista de canais: e' a conta que explica por que o Radar nao cruza voz com janela. ⚠️ E esta missao NAO mexeu nisto: os tres zeros continuam zeros no casco. O que mudou e' que agora ha fonte que TRAZ regiao, papel e data — de tecnico institucional, nao de produtor.</t>
        </is>
      </c>
    </row>
    <row r="2">
      <c r="A2" s="2" t="inlineStr">
        <is>
          <t>CAMPO_DA_VOZ</t>
        </is>
      </c>
      <c r="B2" s="2" t="inlineStr">
        <is>
          <t>REGISTOS</t>
        </is>
      </c>
      <c r="C2" s="2" t="inlineStr">
        <is>
          <t>CHEIO</t>
        </is>
      </c>
      <c r="D2" s="2" t="inlineStr">
        <is>
          <t>PCT</t>
        </is>
      </c>
      <c r="E2" s="2" t="inlineStr">
        <is>
          <t>NAO_SEI</t>
        </is>
      </c>
      <c r="F2" s="2" t="inlineStr">
        <is>
          <t>CONSEQUENCIA</t>
        </is>
      </c>
    </row>
    <row r="3">
      <c r="A3" s="3" t="inlineStr">
        <is>
          <t>REGION</t>
        </is>
      </c>
      <c r="B3" s="3" t="n">
        <v>17</v>
      </c>
      <c r="C3" s="3" t="n">
        <v>0</v>
      </c>
      <c r="D3" s="3" t="inlineStr">
        <is>
          <t>0%</t>
        </is>
      </c>
      <c r="E3" s="3" t="n">
        <v>17</v>
      </c>
      <c r="F3" s="3" t="inlineStr">
        <is>
          <t>sem isto, «voz do Veneto» nao existe</t>
        </is>
      </c>
    </row>
    <row r="4">
      <c r="A4" s="3" t="inlineStr">
        <is>
          <t>ROLE</t>
        </is>
      </c>
      <c r="B4" s="3" t="n">
        <v>17</v>
      </c>
      <c r="C4" s="3" t="n">
        <v>0</v>
      </c>
      <c r="D4" s="3" t="inlineStr">
        <is>
          <t>0%</t>
        </is>
      </c>
      <c r="E4" s="3" t="n">
        <v>17</v>
      </c>
      <c r="F4" s="3" t="inlineStr">
        <is>
          <t>sem isto, produtor e amador contam igual</t>
        </is>
      </c>
    </row>
    <row r="5">
      <c r="A5" s="3" t="inlineStr">
        <is>
          <t>DATE</t>
        </is>
      </c>
      <c r="B5" s="3" t="n">
        <v>17</v>
      </c>
      <c r="C5" s="3" t="n">
        <v>0</v>
      </c>
      <c r="D5" s="3" t="inlineStr">
        <is>
          <t>0%</t>
        </is>
      </c>
      <c r="E5" s="3" t="n">
        <v>17</v>
      </c>
      <c r="F5" s="3" t="inlineStr">
        <is>
          <t>sem isto, nao ha «esta semana»</t>
        </is>
      </c>
    </row>
    <row r="6">
      <c r="A6" s="3" t="inlineStr">
        <is>
          <t>PERSON</t>
        </is>
      </c>
      <c r="B6" s="3" t="n">
        <v>17</v>
      </c>
      <c r="C6" s="3" t="n">
        <v>17</v>
      </c>
      <c r="D6" s="3" t="inlineStr">
        <is>
          <t>100%</t>
        </is>
      </c>
      <c r="E6" s="3" t="n">
        <v>0</v>
      </c>
      <c r="F6" s="3" t="inlineStr"/>
    </row>
    <row r="7">
      <c r="A7" s="3" t="inlineStr">
        <is>
          <t>CROP</t>
        </is>
      </c>
      <c r="B7" s="3" t="n">
        <v>17</v>
      </c>
      <c r="C7" s="3" t="n">
        <v>17</v>
      </c>
      <c r="D7" s="3" t="inlineStr">
        <is>
          <t>100%</t>
        </is>
      </c>
      <c r="E7" s="3" t="n">
        <v>0</v>
      </c>
      <c r="F7" s="3" t="inlineStr"/>
    </row>
    <row r="8">
      <c r="A8" s="3" t="inlineStr">
        <is>
          <t>ISSUE</t>
        </is>
      </c>
      <c r="B8" s="3" t="n">
        <v>17</v>
      </c>
      <c r="C8" s="3" t="n">
        <v>17</v>
      </c>
      <c r="D8" s="3" t="inlineStr">
        <is>
          <t>100%</t>
        </is>
      </c>
      <c r="E8" s="3" t="n">
        <v>0</v>
      </c>
      <c r="F8" s="3" t="inlineStr"/>
    </row>
    <row r="9">
      <c r="A9" s="3" t="inlineStr">
        <is>
          <t>PLATFORM</t>
        </is>
      </c>
      <c r="B9" s="3" t="n">
        <v>17</v>
      </c>
      <c r="C9" s="3" t="n">
        <v>17</v>
      </c>
      <c r="D9" s="3" t="inlineStr">
        <is>
          <t>100%</t>
        </is>
      </c>
      <c r="E9" s="3" t="n">
        <v>0</v>
      </c>
      <c r="F9" s="3" t="inlineStr"/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25" customWidth="1" min="4" max="4"/>
    <col width="22" customWidth="1" min="5" max="5"/>
    <col width="13" customWidth="1" min="6" max="6"/>
    <col width="60" customWidth="1" min="7" max="7"/>
    <col width="55" customWidth="1" min="8" max="8"/>
    <col width="60" customWidth="1" min="9" max="9"/>
    <col width="20" customWidth="1" min="10" max="10"/>
    <col width="23" customWidth="1" min="11" max="11"/>
  </cols>
  <sheetData>
    <row r="1" ht="46" customHeight="1">
      <c r="A1" s="1" t="inlineStr">
        <is>
          <t>UMA LINHA = UMA LIGACAO fonte→necessidade, NAO uma fonte. So' entram fontes VALIDADAS (abertas de verdade). Quem contar linhas aqui e disser «N fontes novas» conta a mesma fonte varias vezes: «uma SOURCE, varios usos» le-se nesta folha e em nenhuma outra.</t>
        </is>
      </c>
    </row>
    <row r="2">
      <c r="A2" s="2" t="inlineStr">
        <is>
          <t>SOURCE</t>
        </is>
      </c>
      <c r="B2" s="2" t="inlineStr">
        <is>
          <t>OWNER</t>
        </is>
      </c>
      <c r="C2" s="2" t="inlineStr">
        <is>
          <t>URL_CANONICAL</t>
        </is>
      </c>
      <c r="D2" s="2" t="inlineStr">
        <is>
          <t>VALIDATION</t>
        </is>
      </c>
      <c r="E2" s="2" t="inlineStr">
        <is>
          <t>PRIMARY_OR_SECONDARY</t>
        </is>
      </c>
      <c r="F2" s="2" t="inlineStr">
        <is>
          <t>TOOL</t>
        </is>
      </c>
      <c r="G2" s="2" t="inlineStr">
        <is>
          <t>RAW_NEED_QUE_ALIMENTA</t>
        </is>
      </c>
      <c r="H2" s="2" t="inlineStr">
        <is>
          <t>SCOPE</t>
        </is>
      </c>
      <c r="I2" s="2" t="inlineStr">
        <is>
          <t>RECURRING</t>
        </is>
      </c>
      <c r="J2" s="2" t="inlineStr">
        <is>
          <t>RECORRENCIA_ESTADO</t>
        </is>
      </c>
      <c r="K2" s="2" t="inlineStr">
        <is>
          <t>VAGA</t>
        </is>
      </c>
    </row>
    <row r="3">
      <c r="A3" s="3" t="inlineStr">
        <is>
          <t>AgriEvents — calendario di eventi tecnici regionali</t>
        </is>
      </c>
      <c r="B3" s="3" t="inlineStr">
        <is>
          <t>Regione Emilia-Romagna</t>
        </is>
      </c>
      <c r="C3" s="3" t="inlineStr">
        <is>
          <t>https://agricoltura.regione.emilia-romagna.it/fitosanitario/eventi/</t>
        </is>
      </c>
      <c r="D3" s="3" t="inlineStr">
        <is>
          <t>VALIDATED_BUT_SECONDARY</t>
        </is>
      </c>
      <c r="E3" s="3" t="inlineStr">
        <is>
          <t>SECONDARY</t>
        </is>
      </c>
      <c r="F3" s="3" t="inlineStr">
        <is>
          <t>COMPETITORS</t>
        </is>
      </c>
      <c r="G3" s="3" t="inlineStr">
        <is>
          <t>REGIAO da atividade do concorrente</t>
        </is>
      </c>
      <c r="H3" s="3" t="inlineStr">
        <is>
          <t>Emilia-Romagna</t>
        </is>
      </c>
      <c r="I3" s="3" t="inlineStr">
        <is>
          <t>HIGH — calendario vivo</t>
        </is>
      </c>
      <c r="J3" s="3" t="inlineStr">
        <is>
          <t>OBSERVADA</t>
        </is>
      </c>
      <c r="K3" s="3" t="inlineStr">
        <is>
          <t>37 da missao anterior</t>
        </is>
      </c>
    </row>
    <row r="4">
      <c r="A4" s="3" t="inlineStr">
        <is>
          <t>AgriEvents — calendario di eventi tecnici regionali</t>
        </is>
      </c>
      <c r="B4" s="3" t="inlineStr">
        <is>
          <t>Regione Emilia-Romagna</t>
        </is>
      </c>
      <c r="C4" s="3" t="inlineStr">
        <is>
          <t>https://agricoltura.regione.emilia-romagna.it/fitosanitario/eventi/</t>
        </is>
      </c>
      <c r="D4" s="3" t="inlineStr">
        <is>
          <t>VALIDATED_BUT_SECONDARY</t>
        </is>
      </c>
      <c r="E4" s="3" t="inlineStr">
        <is>
          <t>SECONDARY</t>
        </is>
      </c>
      <c r="F4" s="3" t="inlineStr">
        <is>
          <t>COMPETITORS</t>
        </is>
      </c>
      <c r="G4" s="3" t="inlineStr">
        <is>
          <t>CONTEUDO TECNICO do concorrente (nao publicidade)</t>
        </is>
      </c>
      <c r="H4" s="3" t="inlineStr">
        <is>
          <t>Emilia-Romagna</t>
        </is>
      </c>
      <c r="I4" s="3" t="inlineStr">
        <is>
          <t>HIGH — calendario vivo</t>
        </is>
      </c>
      <c r="J4" s="3" t="inlineStr">
        <is>
          <t>OBSERVADA</t>
        </is>
      </c>
      <c r="K4" s="3" t="inlineStr">
        <is>
          <t>37 da missao anterior</t>
        </is>
      </c>
    </row>
    <row r="5">
      <c r="A5" s="3" t="inlineStr">
        <is>
          <t>Banca dati dei prodotti fitosanitari</t>
        </is>
      </c>
      <c r="B5" s="3" t="inlineStr">
        <is>
          <t>Ministero della Salute</t>
        </is>
      </c>
      <c r="C5" s="3" t="inlineStr">
        <is>
          <t>https://www.fitosanitari.salute.gov.it/fitosanitariws_new/FitosanitariServlet</t>
        </is>
      </c>
      <c r="D5" s="3" t="inlineStr">
        <is>
          <t>VALIDATED_STRONG</t>
        </is>
      </c>
      <c r="E5" s="3" t="inlineStr">
        <is>
          <t>PRIMARY</t>
        </is>
      </c>
      <c r="F5" s="3" t="inlineStr">
        <is>
          <t>COMPETITORS</t>
        </is>
      </c>
      <c r="G5" s="3" t="inlineStr">
        <is>
          <t>REGISTO oficial do produto do concorrente</t>
        </is>
      </c>
      <c r="H5" s="3" t="inlineStr">
        <is>
          <t>NACIONAL</t>
        </is>
      </c>
      <c r="I5" s="3" t="inlineStr">
        <is>
          <t>HIGH — diaria</t>
        </is>
      </c>
      <c r="J5" s="3" t="inlineStr">
        <is>
          <t>OBSERVADA</t>
        </is>
      </c>
      <c r="K5" s="3" t="inlineStr">
        <is>
          <t>37 da missao anterior</t>
        </is>
      </c>
    </row>
    <row r="6">
      <c r="A6" s="3" t="inlineStr">
        <is>
          <t>Banca dati dei prodotti fitosanitari</t>
        </is>
      </c>
      <c r="B6" s="3" t="inlineStr">
        <is>
          <t>Ministero della Salute</t>
        </is>
      </c>
      <c r="C6" s="3" t="inlineStr">
        <is>
          <t>https://www.fitosanitari.salute.gov.it/fitosanitariws_new/FitosanitariServlet</t>
        </is>
      </c>
      <c r="D6" s="3" t="inlineStr">
        <is>
          <t>VALIDATED_STRONG</t>
        </is>
      </c>
      <c r="E6" s="3" t="inlineStr">
        <is>
          <t>PRIMARY</t>
        </is>
      </c>
      <c r="F6" s="3" t="inlineStr">
        <is>
          <t>COMPETITORS</t>
        </is>
      </c>
      <c r="G6" s="3" t="inlineStr">
        <is>
          <t>PRODUTO do concorrente na atividade</t>
        </is>
      </c>
      <c r="H6" s="3" t="inlineStr">
        <is>
          <t>NACIONAL</t>
        </is>
      </c>
      <c r="I6" s="3" t="inlineStr">
        <is>
          <t>HIGH — diaria</t>
        </is>
      </c>
      <c r="J6" s="3" t="inlineStr">
        <is>
          <t>OBSERVADA</t>
        </is>
      </c>
      <c r="K6" s="3" t="inlineStr">
        <is>
          <t>37 da missao anterior</t>
        </is>
      </c>
    </row>
    <row r="7">
      <c r="A7" s="3" t="inlineStr">
        <is>
          <t>Calendario fenologico e Forum Fitoiatrico del Condifesa TVB</t>
        </is>
      </c>
      <c r="B7" s="3" t="inlineStr">
        <is>
          <t>Condifesa Treviso e Belluno</t>
        </is>
      </c>
      <c r="C7" s="3" t="inlineStr">
        <is>
          <t>https://www.condifesatvb.it/forum-fitoiatrico/</t>
        </is>
      </c>
      <c r="D7" s="3" t="inlineStr">
        <is>
          <t>VALIDATED_BUT_SECONDARY</t>
        </is>
      </c>
      <c r="E7" s="3" t="inlineStr">
        <is>
          <t>SECONDARY</t>
        </is>
      </c>
      <c r="F7" s="3" t="inlineStr">
        <is>
          <t>COMPETITORS</t>
        </is>
      </c>
      <c r="G7" s="3" t="inlineStr">
        <is>
          <t>PESSOA do concorrente (quem fala por ele)</t>
        </is>
      </c>
      <c r="H7" s="3" t="inlineStr">
        <is>
          <t>Treviso e Belluno (Veneto)</t>
        </is>
      </c>
      <c r="I7" s="3" t="inlineStr">
        <is>
          <t>MEDIUM — anual (forum) mais serie de campanha (calendario)</t>
        </is>
      </c>
      <c r="J7" s="3" t="inlineStr">
        <is>
          <t>DECLARADA</t>
        </is>
      </c>
      <c r="K7" s="3" t="inlineStr">
        <is>
          <t>37 da missao anterior</t>
        </is>
      </c>
    </row>
    <row r="8">
      <c r="A8" s="3" t="inlineStr">
        <is>
          <t>Calendario fenologico e Forum Fitoiatrico del Condifesa TVB</t>
        </is>
      </c>
      <c r="B8" s="3" t="inlineStr">
        <is>
          <t>Condifesa Treviso e Belluno</t>
        </is>
      </c>
      <c r="C8" s="3" t="inlineStr">
        <is>
          <t>https://www.condifesatvb.it/forum-fitoiatrico/</t>
        </is>
      </c>
      <c r="D8" s="3" t="inlineStr">
        <is>
          <t>VALIDATED_BUT_SECONDARY</t>
        </is>
      </c>
      <c r="E8" s="3" t="inlineStr">
        <is>
          <t>SECONDARY</t>
        </is>
      </c>
      <c r="F8" s="3" t="inlineStr">
        <is>
          <t>COMPETITORS</t>
        </is>
      </c>
      <c r="G8" s="3" t="inlineStr">
        <is>
          <t>REGIAO da atividade do concorrente</t>
        </is>
      </c>
      <c r="H8" s="3" t="inlineStr">
        <is>
          <t>Treviso e Belluno (Veneto)</t>
        </is>
      </c>
      <c r="I8" s="3" t="inlineStr">
        <is>
          <t>MEDIUM — anual (forum) mais serie de campanha (calendario)</t>
        </is>
      </c>
      <c r="J8" s="3" t="inlineStr">
        <is>
          <t>DECLARADA</t>
        </is>
      </c>
      <c r="K8" s="3" t="inlineStr">
        <is>
          <t>37 da missao anterior</t>
        </is>
      </c>
    </row>
    <row r="9">
      <c r="A9" s="3" t="inlineStr">
        <is>
          <t>Calendario fenologico e Forum Fitoiatrico del Condifesa TVB</t>
        </is>
      </c>
      <c r="B9" s="3" t="inlineStr">
        <is>
          <t>Condifesa Treviso e Belluno</t>
        </is>
      </c>
      <c r="C9" s="3" t="inlineStr">
        <is>
          <t>https://www.condifesatvb.it/forum-fitoiatrico/</t>
        </is>
      </c>
      <c r="D9" s="3" t="inlineStr">
        <is>
          <t>VALIDATED_BUT_SECONDARY</t>
        </is>
      </c>
      <c r="E9" s="3" t="inlineStr">
        <is>
          <t>SECONDARY</t>
        </is>
      </c>
      <c r="F9" s="3" t="inlineStr">
        <is>
          <t>COMPETITORS</t>
        </is>
      </c>
      <c r="G9" s="3" t="inlineStr">
        <is>
          <t>CONTEUDO TECNICO do concorrente (nao publicidade)</t>
        </is>
      </c>
      <c r="H9" s="3" t="inlineStr">
        <is>
          <t>Treviso e Belluno (Veneto)</t>
        </is>
      </c>
      <c r="I9" s="3" t="inlineStr">
        <is>
          <t>MEDIUM — anual (forum) mais serie de campanha (calendario)</t>
        </is>
      </c>
      <c r="J9" s="3" t="inlineStr">
        <is>
          <t>DECLARADA</t>
        </is>
      </c>
      <c r="K9" s="3" t="inlineStr">
        <is>
          <t>37 da missao anterior</t>
        </is>
      </c>
    </row>
    <row r="10">
      <c r="A10" s="3" t="inlineStr">
        <is>
          <t>Convegno «Prodotti fitosanitari: le novità»</t>
        </is>
      </c>
      <c r="B10" s="3" t="inlineStr">
        <is>
          <t>Regione Emilia-Romagna — Settore Fitosanitario, com as empresas de agrofarmacos</t>
        </is>
      </c>
      <c r="C10" s="3" t="inlineStr">
        <is>
          <t>https://agricoltura.regione.emilia-romagna.it/fitosanitario/incontri-e-convegni/prodotti-fitosanitari-novita-2026</t>
        </is>
      </c>
      <c r="D10" s="3" t="inlineStr">
        <is>
          <t>VALIDATED_USEFUL</t>
        </is>
      </c>
      <c r="E10" s="3" t="inlineStr">
        <is>
          <t>PRIMARY</t>
        </is>
      </c>
      <c r="F10" s="3" t="inlineStr">
        <is>
          <t>COMPETITORS</t>
        </is>
      </c>
      <c r="G10" s="3" t="inlineStr">
        <is>
          <t>PRODUTO do concorrente na atividade</t>
        </is>
      </c>
      <c r="H10" s="3" t="inlineStr">
        <is>
          <t>Emilia-Romagna como sede; o conteudo e' NACIONAL</t>
        </is>
      </c>
      <c r="I10" s="3" t="inlineStr">
        <is>
          <t>MEDIUM — anual, mas com data fixa e programa publicado</t>
        </is>
      </c>
      <c r="J10" s="3" t="inlineStr">
        <is>
          <t>OBSERVADA</t>
        </is>
      </c>
      <c r="K10" s="3" t="inlineStr">
        <is>
          <t>37 da missao anterior</t>
        </is>
      </c>
    </row>
    <row r="11">
      <c r="A11" s="3" t="inlineStr">
        <is>
          <t>Convegno «Prodotti fitosanitari: le novità»</t>
        </is>
      </c>
      <c r="B11" s="3" t="inlineStr">
        <is>
          <t>Regione Emilia-Romagna — Settore Fitosanitario, com as empresas de agrofarmacos</t>
        </is>
      </c>
      <c r="C11" s="3" t="inlineStr">
        <is>
          <t>https://agricoltura.regione.emilia-romagna.it/fitosanitario/incontri-e-convegni/prodotti-fitosanitari-novita-2026</t>
        </is>
      </c>
      <c r="D11" s="3" t="inlineStr">
        <is>
          <t>VALIDATED_USEFUL</t>
        </is>
      </c>
      <c r="E11" s="3" t="inlineStr">
        <is>
          <t>PRIMARY</t>
        </is>
      </c>
      <c r="F11" s="3" t="inlineStr">
        <is>
          <t>COMPETITORS</t>
        </is>
      </c>
      <c r="G11" s="3" t="inlineStr">
        <is>
          <t>CONTEUDO TECNICO do concorrente (nao publicidade)</t>
        </is>
      </c>
      <c r="H11" s="3" t="inlineStr">
        <is>
          <t>Emilia-Romagna como sede; o conteudo e' NACIONAL</t>
        </is>
      </c>
      <c r="I11" s="3" t="inlineStr">
        <is>
          <t>MEDIUM — anual, mas com data fixa e programa publicado</t>
        </is>
      </c>
      <c r="J11" s="3" t="inlineStr">
        <is>
          <t>OBSERVADA</t>
        </is>
      </c>
      <c r="K11" s="3" t="inlineStr">
        <is>
          <t>37 da missao anterior</t>
        </is>
      </c>
    </row>
    <row r="12">
      <c r="A12" s="3" t="inlineStr">
        <is>
          <t>Convegno «Prodotti fitosanitari: le novità»</t>
        </is>
      </c>
      <c r="B12" s="3" t="inlineStr">
        <is>
          <t>Regione Emilia-Romagna — Settore Fitosanitario, com as empresas de agrofarmacos</t>
        </is>
      </c>
      <c r="C12" s="3" t="inlineStr">
        <is>
          <t>https://agricoltura.regione.emilia-romagna.it/fitosanitario/incontri-e-convegni/prodotti-fitosanitari-novita-2026</t>
        </is>
      </c>
      <c r="D12" s="3" t="inlineStr">
        <is>
          <t>VALIDATED_USEFUL</t>
        </is>
      </c>
      <c r="E12" s="3" t="inlineStr">
        <is>
          <t>PRIMARY</t>
        </is>
      </c>
      <c r="F12" s="3" t="inlineStr">
        <is>
          <t>COMPETITORS</t>
        </is>
      </c>
      <c r="G12" s="3" t="inlineStr">
        <is>
          <t>REGIAO da atividade do concorrente</t>
        </is>
      </c>
      <c r="H12" s="3" t="inlineStr">
        <is>
          <t>Emilia-Romagna como sede; o conteudo e' NACIONAL</t>
        </is>
      </c>
      <c r="I12" s="3" t="inlineStr">
        <is>
          <t>MEDIUM — anual, mas com data fixa e programa publicado</t>
        </is>
      </c>
      <c r="J12" s="3" t="inlineStr">
        <is>
          <t>OBSERVADA</t>
        </is>
      </c>
      <c r="K12" s="3" t="inlineStr">
        <is>
          <t>37 da missao anterior</t>
        </is>
      </c>
    </row>
    <row r="13">
      <c r="A13" s="3" t="inlineStr">
        <is>
          <t>Giornate Fitopatologiche — atti e programma</t>
        </is>
      </c>
      <c r="B13" s="3" t="inlineStr">
        <is>
          <t>Comitato delle Giornate Fitopatologiche (universidades italianas)</t>
        </is>
      </c>
      <c r="C13" s="3" t="inlineStr">
        <is>
          <t>https://giornatefitopatologiche.it/it/home/1</t>
        </is>
      </c>
      <c r="D13" s="3" t="inlineStr">
        <is>
          <t>VALIDATED_BUT_SECONDARY</t>
        </is>
      </c>
      <c r="E13" s="3" t="inlineStr">
        <is>
          <t>SECONDARY</t>
        </is>
      </c>
      <c r="F13" s="3" t="inlineStr">
        <is>
          <t>COMPETITORS</t>
        </is>
      </c>
      <c r="G13" s="3" t="inlineStr">
        <is>
          <t>CONTEUDO TECNICO do concorrente (nao publicidade)</t>
        </is>
      </c>
      <c r="H13" s="3" t="inlineStr">
        <is>
          <t>NACIONAL</t>
        </is>
      </c>
      <c r="I13" s="3" t="inlineStr">
        <is>
          <t>MEDIUM — bienal/anual, com atas publicadas</t>
        </is>
      </c>
      <c r="J13" s="3" t="inlineStr">
        <is>
          <t>OBSERVADA</t>
        </is>
      </c>
      <c r="K13" s="3" t="inlineStr">
        <is>
          <t>37 da missao anterior</t>
        </is>
      </c>
    </row>
    <row r="14">
      <c r="A14" s="3" t="inlineStr">
        <is>
          <t>Calendario fenologico e Forum Fitoiatrico del Condifesa TVB</t>
        </is>
      </c>
      <c r="B14" s="3" t="inlineStr">
        <is>
          <t>Condifesa Treviso e Belluno</t>
        </is>
      </c>
      <c r="C14" s="3" t="inlineStr">
        <is>
          <t>https://www.condifesatvb.it/forum-fitoiatrico/</t>
        </is>
      </c>
      <c r="D14" s="3" t="inlineStr">
        <is>
          <t>VALIDATED_BUT_SECONDARY</t>
        </is>
      </c>
      <c r="E14" s="3" t="inlineStr">
        <is>
          <t>SECONDARY</t>
        </is>
      </c>
      <c r="F14" s="3" t="inlineStr">
        <is>
          <t>FIELD_NET</t>
        </is>
      </c>
      <c r="G14" s="3" t="inlineStr">
        <is>
          <t>Identidade do tecnico de campo (TSR)</t>
        </is>
      </c>
      <c r="H14" s="3" t="inlineStr">
        <is>
          <t>Treviso e Belluno (Veneto)</t>
        </is>
      </c>
      <c r="I14" s="3" t="inlineStr">
        <is>
          <t>MEDIUM — anual (forum) mais serie de campanha (calendario)</t>
        </is>
      </c>
      <c r="J14" s="3" t="inlineStr">
        <is>
          <t>DECLARADA</t>
        </is>
      </c>
      <c r="K14" s="3" t="inlineStr">
        <is>
          <t>37 da missao anterior</t>
        </is>
      </c>
    </row>
    <row r="15">
      <c r="A15" s="3" t="inlineStr">
        <is>
          <t>Federazioni e Ordini dei Dottori Agronomi e Forestali</t>
        </is>
      </c>
      <c r="B15" s="3" t="inlineStr">
        <is>
          <t>CONAF e as federacoes regionais</t>
        </is>
      </c>
      <c r="C15" s="3" t="inlineStr">
        <is>
          <t>https://www.conaf.it/</t>
        </is>
      </c>
      <c r="D15" s="3" t="inlineStr">
        <is>
          <t>VALIDATED_BUT_SECONDARY</t>
        </is>
      </c>
      <c r="E15" s="3" t="inlineStr">
        <is>
          <t>SECONDARY</t>
        </is>
      </c>
      <c r="F15" s="3" t="inlineStr">
        <is>
          <t>FIELD_NET</t>
        </is>
      </c>
      <c r="G15" s="3" t="inlineStr">
        <is>
          <t>Identidade do tecnico de campo (TSR)</t>
        </is>
      </c>
      <c r="H15" s="3" t="inlineStr">
        <is>
          <t>NACIONAL, por federacao regional</t>
        </is>
      </c>
      <c r="I15" s="3" t="inlineStr">
        <is>
          <t>HIGH — o albo e' mantido</t>
        </is>
      </c>
      <c r="J15" s="3" t="inlineStr">
        <is>
          <t>OBSERVADA</t>
        </is>
      </c>
      <c r="K15" s="3" t="inlineStr">
        <is>
          <t>37 da missao anterior</t>
        </is>
      </c>
    </row>
    <row r="16">
      <c r="A16" s="3" t="inlineStr">
        <is>
          <t>Avvisi fitosanitari per viticoltori e per frutticoltori</t>
        </is>
      </c>
      <c r="B16" s="3" t="inlineStr">
        <is>
          <t>Regione autonoma Valle d'Aosta — Ufficio servizi fitosanitari (Assessorato Agricoltura e Risorse naturali)</t>
        </is>
      </c>
      <c r="C16" s="3" t="inlineStr">
        <is>
          <t>https://www.regione.vda.it/agricoltura/per_gli_agricoltori/fitosanitario/avvisi/viticoltura_i.asp</t>
        </is>
      </c>
      <c r="D16" s="3" t="inlineStr">
        <is>
          <t>VALIDATED_USEFUL</t>
        </is>
      </c>
      <c r="E16" s="3" t="inlineStr">
        <is>
          <t>PRIMARY</t>
        </is>
      </c>
      <c r="F16" s="3" t="inlineStr">
        <is>
          <t>FUTURE</t>
        </is>
      </c>
      <c r="G16" s="3" t="inlineStr">
        <is>
          <t>PRAGA OU DOENCA EMERGENTE (primeira deteccao)</t>
        </is>
      </c>
      <c r="H16" s="3" t="inlineStr">
        <is>
          <t>Valle d'Aosta</t>
        </is>
      </c>
      <c r="I16" s="3" t="inlineStr">
        <is>
          <t>MEDIUM — de campanha, por evento de armadilha</t>
        </is>
      </c>
      <c r="J16" s="3" t="inlineStr">
        <is>
          <t>OBSERVADA</t>
        </is>
      </c>
      <c r="K16" s="3" t="inlineStr">
        <is>
          <t>13 desta missao</t>
        </is>
      </c>
    </row>
    <row r="17">
      <c r="A17" s="3" t="inlineStr">
        <is>
          <t>Convegno «Prodotti fitosanitari: le novità»</t>
        </is>
      </c>
      <c r="B17" s="3" t="inlineStr">
        <is>
          <t>Regione Emilia-Romagna — Settore Fitosanitario, com as empresas de agrofarmacos</t>
        </is>
      </c>
      <c r="C17" s="3" t="inlineStr">
        <is>
          <t>https://agricoltura.regione.emilia-romagna.it/fitosanitario/incontri-e-convegni/prodotti-fitosanitari-novita-2026</t>
        </is>
      </c>
      <c r="D17" s="3" t="inlineStr">
        <is>
          <t>VALIDATED_USEFUL</t>
        </is>
      </c>
      <c r="E17" s="3" t="inlineStr">
        <is>
          <t>PRIMARY</t>
        </is>
      </c>
      <c r="F17" s="3" t="inlineStr">
        <is>
          <t>FUTURE</t>
        </is>
      </c>
      <c r="G17" s="3" t="inlineStr">
        <is>
          <t>MUDANCA DE POLITICA em consulta</t>
        </is>
      </c>
      <c r="H17" s="3" t="inlineStr">
        <is>
          <t>Emilia-Romagna como sede; o conteudo e' NACIONAL</t>
        </is>
      </c>
      <c r="I17" s="3" t="inlineStr">
        <is>
          <t>MEDIUM — anual, mas com data fixa e programa publicado</t>
        </is>
      </c>
      <c r="J17" s="3" t="inlineStr">
        <is>
          <t>OBSERVADA</t>
        </is>
      </c>
      <c r="K17" s="3" t="inlineStr">
        <is>
          <t>37 da missao anterior</t>
        </is>
      </c>
    </row>
    <row r="18">
      <c r="A18" s="3" t="inlineStr">
        <is>
          <t>ERG5 e o indicador «Anomalia della sommatoria gradi giorno»</t>
        </is>
      </c>
      <c r="B18" s="3" t="inlineStr">
        <is>
          <t>Arpae Emilia-Romagna</t>
        </is>
      </c>
      <c r="C18" s="3" t="inlineStr">
        <is>
          <t>https://webbook.arpae.it/clima/</t>
        </is>
      </c>
      <c r="D18" s="3" t="inlineStr">
        <is>
          <t>VALIDATED_BUT_SECONDARY</t>
        </is>
      </c>
      <c r="E18" s="3" t="inlineStr">
        <is>
          <t>SECONDARY</t>
        </is>
      </c>
      <c r="F18" s="3" t="inlineStr">
        <is>
          <t>FUTURE</t>
        </is>
      </c>
      <c r="G18" s="3" t="inlineStr">
        <is>
          <t>DESLOCACAO CLIMATICA que muda a pressao de praga</t>
        </is>
      </c>
      <c r="H18" s="3" t="inlineStr">
        <is>
          <t>Emilia-Romagna, em grelha de 5 km</t>
        </is>
      </c>
      <c r="I18" s="3" t="inlineStr">
        <is>
          <t>HIGH — semanal (mapas) sobre serie de 1961</t>
        </is>
      </c>
      <c r="J18" s="3" t="inlineStr">
        <is>
          <t>DECLARADA</t>
        </is>
      </c>
      <c r="K18" s="3" t="inlineStr">
        <is>
          <t>37 da missao anterior</t>
        </is>
      </c>
    </row>
    <row r="19">
      <c r="A19" s="3" t="inlineStr">
        <is>
          <t>EU Pesticides Database + registo de conclusoes de peer review</t>
        </is>
      </c>
      <c r="B19" s="3" t="inlineStr">
        <is>
          <t>Comissao Europeia (DG SANTE) e EFSA</t>
        </is>
      </c>
      <c r="C19" s="3" t="inlineStr">
        <is>
          <t>https://food.ec.europa.eu/plants/pesticides/eu-pesticides-database_en</t>
        </is>
      </c>
      <c r="D19" s="3" t="inlineStr">
        <is>
          <t>VALIDATED_BUT_SECONDARY</t>
        </is>
      </c>
      <c r="E19" s="3" t="inlineStr">
        <is>
          <t>SECONDARY</t>
        </is>
      </c>
      <c r="F19" s="3" t="inlineStr">
        <is>
          <t>FUTURE</t>
        </is>
      </c>
      <c r="G19" s="3" t="inlineStr">
        <is>
          <t>PIPELINE REGULATORIO (substancia em avaliacao/renovacao)</t>
        </is>
      </c>
      <c r="H19" s="3" t="inlineStr">
        <is>
          <t>EUROPEU — vale para Italia por via da UE</t>
        </is>
      </c>
      <c r="I19" s="3" t="inlineStr">
        <is>
          <t>HIGH — continua</t>
        </is>
      </c>
      <c r="J19" s="3" t="inlineStr">
        <is>
          <t>DECLARADA</t>
        </is>
      </c>
      <c r="K19" s="3" t="inlineStr">
        <is>
          <t>37 da missao anterior</t>
        </is>
      </c>
    </row>
    <row r="20">
      <c r="A20" s="3" t="inlineStr">
        <is>
          <t>EU Pesticides Database + registo de conclusoes de peer review</t>
        </is>
      </c>
      <c r="B20" s="3" t="inlineStr">
        <is>
          <t>Comissao Europeia (DG SANTE) e EFSA</t>
        </is>
      </c>
      <c r="C20" s="3" t="inlineStr">
        <is>
          <t>https://food.ec.europa.eu/plants/pesticides/eu-pesticides-database_en</t>
        </is>
      </c>
      <c r="D20" s="3" t="inlineStr">
        <is>
          <t>VALIDATED_BUT_SECONDARY</t>
        </is>
      </c>
      <c r="E20" s="3" t="inlineStr">
        <is>
          <t>SECONDARY</t>
        </is>
      </c>
      <c r="F20" s="3" t="inlineStr">
        <is>
          <t>FUTURE</t>
        </is>
      </c>
      <c r="G20" s="3" t="inlineStr">
        <is>
          <t>MUDANCA DE POLITICA em consulta</t>
        </is>
      </c>
      <c r="H20" s="3" t="inlineStr">
        <is>
          <t>EUROPEU — vale para Italia por via da UE</t>
        </is>
      </c>
      <c r="I20" s="3" t="inlineStr">
        <is>
          <t>HIGH — continua</t>
        </is>
      </c>
      <c r="J20" s="3" t="inlineStr">
        <is>
          <t>DECLARADA</t>
        </is>
      </c>
      <c r="K20" s="3" t="inlineStr">
        <is>
          <t>37 da missao anterior</t>
        </is>
      </c>
    </row>
    <row r="21">
      <c r="A21" s="3" t="inlineStr">
        <is>
          <t>Protezione delle Piante — Emergenze, Sorveglianza, Barriere</t>
        </is>
      </c>
      <c r="B21" s="3" t="inlineStr">
        <is>
          <t>Servizio Fitosanitario Nazionale (MASAF)</t>
        </is>
      </c>
      <c r="C21" s="3" t="inlineStr">
        <is>
          <t>https://www.protezionedellepiante.it/</t>
        </is>
      </c>
      <c r="D21" s="3" t="inlineStr">
        <is>
          <t>VALIDATED_STRONG</t>
        </is>
      </c>
      <c r="E21" s="3" t="inlineStr">
        <is>
          <t>PRIMARY</t>
        </is>
      </c>
      <c r="F21" s="3" t="inlineStr">
        <is>
          <t>FUTURE</t>
        </is>
      </c>
      <c r="G21" s="3" t="inlineStr">
        <is>
          <t>PRAGA OU DOENCA EMERGENTE (primeira deteccao)</t>
        </is>
      </c>
      <c r="H21" s="3" t="inlineStr">
        <is>
          <t>NACIONAL, com regiao na declaracao</t>
        </is>
      </c>
      <c r="I21" s="3" t="inlineStr">
        <is>
          <t>HIGH — por evento, e evento ha sempre</t>
        </is>
      </c>
      <c r="J21" s="3" t="inlineStr">
        <is>
          <t>OBSERVADA</t>
        </is>
      </c>
      <c r="K21" s="3" t="inlineStr">
        <is>
          <t>37 da missao anterior</t>
        </is>
      </c>
    </row>
    <row r="22">
      <c r="A22" s="3" t="inlineStr">
        <is>
          <t>Protezione delle Piante — Emergenze, Sorveglianza, Barriere</t>
        </is>
      </c>
      <c r="B22" s="3" t="inlineStr">
        <is>
          <t>Servizio Fitosanitario Nazionale (MASAF)</t>
        </is>
      </c>
      <c r="C22" s="3" t="inlineStr">
        <is>
          <t>https://www.protezionedellepiante.it/</t>
        </is>
      </c>
      <c r="D22" s="3" t="inlineStr">
        <is>
          <t>VALIDATED_STRONG</t>
        </is>
      </c>
      <c r="E22" s="3" t="inlineStr">
        <is>
          <t>PRIMARY</t>
        </is>
      </c>
      <c r="F22" s="3" t="inlineStr">
        <is>
          <t>FUTURE</t>
        </is>
      </c>
      <c r="G22" s="3" t="inlineStr">
        <is>
          <t>Sinal novo com o que se observou e quem o disse</t>
        </is>
      </c>
      <c r="H22" s="3" t="inlineStr">
        <is>
          <t>NACIONAL, com regiao na declaracao</t>
        </is>
      </c>
      <c r="I22" s="3" t="inlineStr">
        <is>
          <t>HIGH — por evento, e evento ha sempre</t>
        </is>
      </c>
      <c r="J22" s="3" t="inlineStr">
        <is>
          <t>OBSERVADA</t>
        </is>
      </c>
      <c r="K22" s="3" t="inlineStr">
        <is>
          <t>37 da missao anterior</t>
        </is>
      </c>
    </row>
    <row r="23">
      <c r="A23" s="3" t="inlineStr">
        <is>
          <t>Rete agrometeorologica regionale (archivio dati)</t>
        </is>
      </c>
      <c r="B23" s="3" t="inlineStr">
        <is>
          <t>Regione Campania — Assessorato Agricoltura</t>
        </is>
      </c>
      <c r="C23" s="3" t="inlineStr">
        <is>
          <t>https://agricoltura.regione.campania.it/meteo/archivio_meteo.html</t>
        </is>
      </c>
      <c r="D23" s="3" t="inlineStr">
        <is>
          <t>VALIDATED_STRONG</t>
        </is>
      </c>
      <c r="E23" s="3" t="inlineStr">
        <is>
          <t>PRIMARY</t>
        </is>
      </c>
      <c r="F23" s="3" t="inlineStr">
        <is>
          <t>FUTURE</t>
        </is>
      </c>
      <c r="G23" s="3" t="inlineStr">
        <is>
          <t>DESLOCACAO CLIMATICA que muda a pressao de praga</t>
        </is>
      </c>
      <c r="H23" s="3" t="inlineStr">
        <is>
          <t>Campania</t>
        </is>
      </c>
      <c r="I23" s="3" t="inlineStr">
        <is>
          <t>HIGH — diaria</t>
        </is>
      </c>
      <c r="J23" s="3" t="inlineStr">
        <is>
          <t>OBSERVADA</t>
        </is>
      </c>
      <c r="K23" s="3" t="inlineStr">
        <is>
          <t>37 da missao anterior</t>
        </is>
      </c>
    </row>
    <row r="24">
      <c r="A24" s="3" t="inlineStr">
        <is>
          <t>Rete di rilevazione Ismea–Unione Seminativi</t>
        </is>
      </c>
      <c r="B24" s="3" t="inlineStr">
        <is>
          <t>ISMEA com a Unione Seminativi</t>
        </is>
      </c>
      <c r="C24" s="3" t="inlineStr">
        <is>
          <t>https://www.ismea.it/flex/cm/pages/ServeBLOB.php/L/IT/IDPagina/482</t>
        </is>
      </c>
      <c r="D24" s="3" t="inlineStr">
        <is>
          <t>VALIDATED_BUT_SECONDARY</t>
        </is>
      </c>
      <c r="E24" s="3" t="inlineStr">
        <is>
          <t>SECONDARY</t>
        </is>
      </c>
      <c r="F24" s="3" t="inlineStr">
        <is>
          <t>FUTURE</t>
        </is>
      </c>
      <c r="G24" s="3" t="inlineStr">
        <is>
          <t>Sinal novo com o que se observou e quem o disse</t>
        </is>
      </c>
      <c r="H24" s="3" t="inlineStr">
        <is>
          <t>centro e norte de Italia, 23 pontos</t>
        </is>
      </c>
      <c r="I24" s="3" t="inlineStr">
        <is>
          <t>HIGH — periodica na campanha</t>
        </is>
      </c>
      <c r="J24" s="3" t="inlineStr">
        <is>
          <t>DECLARADA</t>
        </is>
      </c>
      <c r="K24" s="3" t="inlineStr">
        <is>
          <t>37 da missao anterior</t>
        </is>
      </c>
    </row>
    <row r="25">
      <c r="A25" s="3" t="inlineStr">
        <is>
          <t>SCIA — Sistema nazionale per l'elaborazione e diffusione di dati climatici</t>
        </is>
      </c>
      <c r="B25" s="3" t="inlineStr">
        <is>
          <t>ISPRA</t>
        </is>
      </c>
      <c r="C25" s="3" t="inlineStr">
        <is>
          <t>https://scia.isprambiente.it/dati-e-indicatori/</t>
        </is>
      </c>
      <c r="D25" s="3" t="inlineStr">
        <is>
          <t>VALIDATED_BUT_SECONDARY</t>
        </is>
      </c>
      <c r="E25" s="3" t="inlineStr">
        <is>
          <t>SECONDARY</t>
        </is>
      </c>
      <c r="F25" s="3" t="inlineStr">
        <is>
          <t>FUTURE</t>
        </is>
      </c>
      <c r="G25" s="3" t="inlineStr">
        <is>
          <t>DESLOCACAO CLIMATICA que muda a pressao de praga</t>
        </is>
      </c>
      <c r="H25" s="3" t="inlineStr">
        <is>
          <t>NACIONAL — agrega as redes regionais</t>
        </is>
      </c>
      <c r="I25" s="3" t="inlineStr">
        <is>
          <t>HIGH — serie continua</t>
        </is>
      </c>
      <c r="J25" s="3" t="inlineStr">
        <is>
          <t>DECLARADA</t>
        </is>
      </c>
      <c r="K25" s="3" t="inlineStr">
        <is>
          <t>37 da missao anterior</t>
        </is>
      </c>
    </row>
    <row r="26">
      <c r="A26" s="3" t="inlineStr">
        <is>
          <t>Salute delle piante in Lombardia · app Fitodetective</t>
        </is>
      </c>
      <c r="B26" s="3" t="inlineStr">
        <is>
          <t>Regione Lombardia — Servizio Fitosanitario regionale</t>
        </is>
      </c>
      <c r="C26" s="3" t="inlineStr">
        <is>
          <t>https://www.salutepianteinlombardia.it/</t>
        </is>
      </c>
      <c r="D26" s="3" t="inlineStr">
        <is>
          <t>VALIDATED_USEFUL</t>
        </is>
      </c>
      <c r="E26" s="3" t="inlineStr">
        <is>
          <t>PRIMARY</t>
        </is>
      </c>
      <c r="F26" s="3" t="inlineStr">
        <is>
          <t>FUTURE</t>
        </is>
      </c>
      <c r="G26" s="3" t="inlineStr">
        <is>
          <t>PRAGA OU DOENCA EMERGENTE (primeira deteccao)</t>
        </is>
      </c>
      <c r="H26" s="3" t="inlineStr">
        <is>
          <t>Lombardia</t>
        </is>
      </c>
      <c r="I26" s="3" t="inlineStr">
        <is>
          <t>MEDIUM — por evento</t>
        </is>
      </c>
      <c r="J26" s="3" t="inlineStr">
        <is>
          <t>OBSERVADA</t>
        </is>
      </c>
      <c r="K26" s="3" t="inlineStr">
        <is>
          <t>37 da missao anterior</t>
        </is>
      </c>
    </row>
    <row r="27">
      <c r="A27" s="3" t="inlineStr">
        <is>
          <t>Cantina Italia — giacenze di vino</t>
        </is>
      </c>
      <c r="B27" s="3" t="inlineStr">
        <is>
          <t>MASAF / CREA, via registro telematico SIAN</t>
        </is>
      </c>
      <c r="C27" s="3" t="inlineStr">
        <is>
          <t>https://www.masaf.gov.it/flex/cm/pages/ServeBLOB.php/L/IT/IDPagina/202</t>
        </is>
      </c>
      <c r="D27" s="3" t="inlineStr">
        <is>
          <t>VALIDATED_USEFUL</t>
        </is>
      </c>
      <c r="E27" s="3" t="inlineStr">
        <is>
          <t>PRIMARY</t>
        </is>
      </c>
      <c r="F27" s="3" t="inlineStr">
        <is>
          <t>MARKET</t>
        </is>
      </c>
      <c r="G27" s="3" t="inlineStr">
        <is>
          <t>STOCKS / existencias</t>
        </is>
      </c>
      <c r="H27" s="3" t="inlineStr">
        <is>
          <t>NACIONAL com regiao</t>
        </is>
      </c>
      <c r="I27" s="3" t="inlineStr">
        <is>
          <t>HIGH — mensal</t>
        </is>
      </c>
      <c r="J27" s="3" t="inlineStr">
        <is>
          <t>OBSERVADA</t>
        </is>
      </c>
      <c r="K27" s="3" t="inlineStr">
        <is>
          <t>37 da missao anterior</t>
        </is>
      </c>
    </row>
    <row r="28">
      <c r="A28" s="3" t="inlineStr">
        <is>
          <t>Censimento delle strutture di stoccaggio dei cereali</t>
        </is>
      </c>
      <c r="B28" s="3" t="inlineStr">
        <is>
          <t>ISMEA, para o Piano cerealicolo nazionale (MASAF)</t>
        </is>
      </c>
      <c r="C28" s="3" t="inlineStr">
        <is>
          <t>https://www.ismea.it/flex/cm/pages/ServeBLOB.php/L/IT/IDPagina/8829</t>
        </is>
      </c>
      <c r="D28" s="3" t="inlineStr">
        <is>
          <t>VALIDATED_BUT_SECONDARY</t>
        </is>
      </c>
      <c r="E28" s="3" t="inlineStr">
        <is>
          <t>SECONDARY</t>
        </is>
      </c>
      <c r="F28" s="3" t="inlineStr">
        <is>
          <t>MARKET</t>
        </is>
      </c>
      <c r="G28" s="3" t="inlineStr">
        <is>
          <t>STOCKS / existencias</t>
        </is>
      </c>
      <c r="H28" s="3" t="inlineStr">
        <is>
          <t>NACIONAL, georreferenciado</t>
        </is>
      </c>
      <c r="I28" s="3" t="inlineStr">
        <is>
          <t>LOW — censo, evento unico</t>
        </is>
      </c>
      <c r="J28" s="3" t="inlineStr">
        <is>
          <t>OBSERVADA</t>
        </is>
      </c>
      <c r="K28" s="3" t="inlineStr">
        <is>
          <t>37 da missao anterior</t>
        </is>
      </c>
    </row>
    <row r="29">
      <c r="A29" s="3" t="inlineStr">
        <is>
          <t>Commercio estero agroalimentare (banca dati)</t>
        </is>
      </c>
      <c r="B29" s="3" t="inlineStr">
        <is>
          <t>ISMEA</t>
        </is>
      </c>
      <c r="C29" s="3" t="inlineStr">
        <is>
          <t>https://www.ismeamercati.it/dati-agroalimentare/commercio-estero</t>
        </is>
      </c>
      <c r="D29" s="3" t="inlineStr">
        <is>
          <t>VALIDATED_BUT_SECONDARY</t>
        </is>
      </c>
      <c r="E29" s="3" t="inlineStr">
        <is>
          <t>SECONDARY</t>
        </is>
      </c>
      <c r="F29" s="3" t="inlineStr">
        <is>
          <t>MARKET</t>
        </is>
      </c>
      <c r="G29" s="3" t="inlineStr">
        <is>
          <t>IMPORTACAO e EXPORTACAO</t>
        </is>
      </c>
      <c r="H29" s="3" t="inlineStr">
        <is>
          <t>NACIONAL</t>
        </is>
      </c>
      <c r="I29" s="3" t="inlineStr">
        <is>
          <t>HIGH — acompanha a serie ISTAT</t>
        </is>
      </c>
      <c r="J29" s="3" t="inlineStr">
        <is>
          <t>DECLARADA</t>
        </is>
      </c>
      <c r="K29" s="3" t="inlineStr">
        <is>
          <t>37 da missao anterior</t>
        </is>
      </c>
    </row>
    <row r="30">
      <c r="A30" s="3" t="inlineStr">
        <is>
          <t>Dataflow DCSP_COLTIVAZIONI (coltivazioni: superficie, produzione, resa)</t>
        </is>
      </c>
      <c r="B30" s="3" t="inlineStr">
        <is>
          <t>ISTAT</t>
        </is>
      </c>
      <c r="C30" s="3" t="inlineStr">
        <is>
          <t>https://esploradati.istat.it/SDMXWS/rest/dataflow/IT1/101_1015_DF_DCSP_COLTIVAZIONI_1</t>
        </is>
      </c>
      <c r="D30" s="3" t="inlineStr">
        <is>
          <t>VALIDATED_STRONG</t>
        </is>
      </c>
      <c r="E30" s="3" t="inlineStr">
        <is>
          <t>PRIMARY</t>
        </is>
      </c>
      <c r="F30" s="3" t="inlineStr">
        <is>
          <t>MARKET</t>
        </is>
      </c>
      <c r="G30" s="3" t="inlineStr">
        <is>
          <t>PRODUCAO, AREA e RENDIMENTO por cultura</t>
        </is>
      </c>
      <c r="H30" s="3" t="inlineStr">
        <is>
          <t>NACIONAL com regiao, provincia e altimetria</t>
        </is>
      </c>
      <c r="I30" s="3" t="inlineStr">
        <is>
          <t>HIGH — estimativas mensais, serie anual consolidada</t>
        </is>
      </c>
      <c r="J30" s="3" t="inlineStr">
        <is>
          <t>OBSERVADA</t>
        </is>
      </c>
      <c r="K30" s="3" t="inlineStr">
        <is>
          <t>37 da missao anterior</t>
        </is>
      </c>
    </row>
    <row r="31">
      <c r="A31" s="3" t="inlineStr">
        <is>
          <t>Indice dei prezzi dei mezzi correnti di produzione</t>
        </is>
      </c>
      <c r="B31" s="3" t="inlineStr">
        <is>
          <t>ISMEA</t>
        </is>
      </c>
      <c r="C31" s="3" t="inlineStr">
        <is>
          <t>https://www.ismeamercati.it/analisi-e-studio-filiere-agroalimentari</t>
        </is>
      </c>
      <c r="D31" s="3" t="inlineStr">
        <is>
          <t>VALIDATED_STRONG</t>
        </is>
      </c>
      <c r="E31" s="3" t="inlineStr">
        <is>
          <t>PRIMARY</t>
        </is>
      </c>
      <c r="F31" s="3" t="inlineStr">
        <is>
          <t>MARKET</t>
        </is>
      </c>
      <c r="G31" s="3" t="inlineStr">
        <is>
          <t>CUSTO DE INSUMO (pressao de custo)</t>
        </is>
      </c>
      <c r="H31" s="3" t="inlineStr">
        <is>
          <t>NACIONAL</t>
        </is>
      </c>
      <c r="I31" s="3" t="inlineStr">
        <is>
          <t>HIGH — mensal, com recolha semanal por tras</t>
        </is>
      </c>
      <c r="J31" s="3" t="inlineStr">
        <is>
          <t>OBSERVADA</t>
        </is>
      </c>
      <c r="K31" s="3" t="inlineStr">
        <is>
          <t>37 da missao anterior</t>
        </is>
      </c>
    </row>
    <row r="32">
      <c r="A32" s="3" t="inlineStr">
        <is>
          <t>Indice dei prezzi dei mezzi correnti di produzione</t>
        </is>
      </c>
      <c r="B32" s="3" t="inlineStr">
        <is>
          <t>ISMEA</t>
        </is>
      </c>
      <c r="C32" s="3" t="inlineStr">
        <is>
          <t>https://www.ismeamercati.it/analisi-e-studio-filiere-agroalimentari</t>
        </is>
      </c>
      <c r="D32" s="3" t="inlineStr">
        <is>
          <t>VALIDATED_STRONG</t>
        </is>
      </c>
      <c r="E32" s="3" t="inlineStr">
        <is>
          <t>PRIMARY</t>
        </is>
      </c>
      <c r="F32" s="3" t="inlineStr">
        <is>
          <t>MARKET</t>
        </is>
      </c>
      <c r="G32" s="3" t="inlineStr">
        <is>
          <t>Serie de preco com 3+ pontos (para tendencia)</t>
        </is>
      </c>
      <c r="H32" s="3" t="inlineStr">
        <is>
          <t>NACIONAL</t>
        </is>
      </c>
      <c r="I32" s="3" t="inlineStr">
        <is>
          <t>HIGH — mensal, com recolha semanal por tras</t>
        </is>
      </c>
      <c r="J32" s="3" t="inlineStr">
        <is>
          <t>OBSERVADA</t>
        </is>
      </c>
      <c r="K32" s="3" t="inlineStr">
        <is>
          <t>37 da missao anterior</t>
        </is>
      </c>
    </row>
    <row r="33">
      <c r="A33" s="3" t="inlineStr">
        <is>
          <t>Monitoraggio dei costi medi di produzione</t>
        </is>
      </c>
      <c r="B33" s="3" t="inlineStr">
        <is>
          <t>ISMEA</t>
        </is>
      </c>
      <c r="C33" s="3" t="inlineStr">
        <is>
          <t>https://www.ismea.it/istituto-di-servizi-per-il-mercato-agricolo-alimentare</t>
        </is>
      </c>
      <c r="D33" s="3" t="inlineStr">
        <is>
          <t>VALIDATED_USEFUL</t>
        </is>
      </c>
      <c r="E33" s="3" t="inlineStr">
        <is>
          <t>PRIMARY</t>
        </is>
      </c>
      <c r="F33" s="3" t="inlineStr">
        <is>
          <t>MARKET</t>
        </is>
      </c>
      <c r="G33" s="3" t="inlineStr">
        <is>
          <t>CUSTO DE INSUMO (pressao de custo)</t>
        </is>
      </c>
      <c r="H33" s="3" t="inlineStr">
        <is>
          <t>NACIONAL, por cluster</t>
        </is>
      </c>
      <c r="I33" s="3" t="inlineStr">
        <is>
          <t>MEDIUM — campanha</t>
        </is>
      </c>
      <c r="J33" s="3" t="inlineStr">
        <is>
          <t>OBSERVADA</t>
        </is>
      </c>
      <c r="K33" s="3" t="inlineStr">
        <is>
          <t>37 da missao anterior</t>
        </is>
      </c>
    </row>
    <row r="34">
      <c r="A34" s="3" t="inlineStr">
        <is>
          <t>Rete di rilevazione Ismea–Unione Seminativi</t>
        </is>
      </c>
      <c r="B34" s="3" t="inlineStr">
        <is>
          <t>ISMEA com a Unione Seminativi</t>
        </is>
      </c>
      <c r="C34" s="3" t="inlineStr">
        <is>
          <t>https://www.ismea.it/flex/cm/pages/ServeBLOB.php/L/IT/IDPagina/482</t>
        </is>
      </c>
      <c r="D34" s="3" t="inlineStr">
        <is>
          <t>VALIDATED_BUT_SECONDARY</t>
        </is>
      </c>
      <c r="E34" s="3" t="inlineStr">
        <is>
          <t>SECONDARY</t>
        </is>
      </c>
      <c r="F34" s="3" t="inlineStr">
        <is>
          <t>MARKET</t>
        </is>
      </c>
      <c r="G34" s="3" t="inlineStr">
        <is>
          <t>PRODUCAO, AREA e RENDIMENTO por cultura</t>
        </is>
      </c>
      <c r="H34" s="3" t="inlineStr">
        <is>
          <t>centro e norte de Italia, 23 pontos</t>
        </is>
      </c>
      <c r="I34" s="3" t="inlineStr">
        <is>
          <t>HIGH — periodica na campanha</t>
        </is>
      </c>
      <c r="J34" s="3" t="inlineStr">
        <is>
          <t>DECLARADA</t>
        </is>
      </c>
      <c r="K34" s="3" t="inlineStr">
        <is>
          <t>37 da missao anterior</t>
        </is>
      </c>
    </row>
    <row r="35">
      <c r="A35" s="3" t="inlineStr">
        <is>
          <t>SCIA — Sistema nazionale per l'elaborazione e diffusione di dati climatici</t>
        </is>
      </c>
      <c r="B35" s="3" t="inlineStr">
        <is>
          <t>ISPRA</t>
        </is>
      </c>
      <c r="C35" s="3" t="inlineStr">
        <is>
          <t>https://scia.isprambiente.it/dati-e-indicatori/</t>
        </is>
      </c>
      <c r="D35" s="3" t="inlineStr">
        <is>
          <t>VALIDATED_BUT_SECONDARY</t>
        </is>
      </c>
      <c r="E35" s="3" t="inlineStr">
        <is>
          <t>SECONDARY</t>
        </is>
      </c>
      <c r="F35" s="3" t="inlineStr">
        <is>
          <t>MARKET</t>
        </is>
      </c>
      <c r="G35" s="3" t="inlineStr">
        <is>
          <t>Condicao de cultura / meteo agregado para mercado</t>
        </is>
      </c>
      <c r="H35" s="3" t="inlineStr">
        <is>
          <t>NACIONAL — agrega as redes regionais</t>
        </is>
      </c>
      <c r="I35" s="3" t="inlineStr">
        <is>
          <t>HIGH — serie continua</t>
        </is>
      </c>
      <c r="J35" s="3" t="inlineStr">
        <is>
          <t>DECLARADA</t>
        </is>
      </c>
      <c r="K35" s="3" t="inlineStr">
        <is>
          <t>37 da missao anterior</t>
        </is>
      </c>
    </row>
    <row r="36">
      <c r="A36" s="3" t="inlineStr">
        <is>
          <t>Statistica agricoltura regionale (superfici e produzioni)</t>
        </is>
      </c>
      <c r="B36" s="3" t="inlineStr">
        <is>
          <t>Regione Emilia-Romagna — Servizio Statistica</t>
        </is>
      </c>
      <c r="C36" s="3" t="inlineStr">
        <is>
          <t>https://statistica.regione.emilia-romagna.it/</t>
        </is>
      </c>
      <c r="D36" s="3" t="inlineStr">
        <is>
          <t>VALIDATED_BUT_SECONDARY</t>
        </is>
      </c>
      <c r="E36" s="3" t="inlineStr">
        <is>
          <t>SECONDARY</t>
        </is>
      </c>
      <c r="F36" s="3" t="inlineStr">
        <is>
          <t>MARKET</t>
        </is>
      </c>
      <c r="G36" s="3" t="inlineStr">
        <is>
          <t>PRODUCAO, AREA e RENDIMENTO por cultura</t>
        </is>
      </c>
      <c r="H36" s="3" t="inlineStr">
        <is>
          <t>Emilia-Romagna</t>
        </is>
      </c>
      <c r="I36" s="3" t="inlineStr">
        <is>
          <t>MEDIUM — anual</t>
        </is>
      </c>
      <c r="J36" s="3" t="inlineStr">
        <is>
          <t>DECLARADA</t>
        </is>
      </c>
      <c r="K36" s="3" t="inlineStr">
        <is>
          <t>37 da missao anterior</t>
        </is>
      </c>
    </row>
    <row r="37">
      <c r="A37" s="3" t="inlineStr">
        <is>
          <t>Banca dati Fitogest</t>
        </is>
      </c>
      <c r="B37" s="3" t="inlineStr">
        <is>
          <t>Image Line Network</t>
        </is>
      </c>
      <c r="C37" s="3" t="inlineStr">
        <is>
          <t>https://fitogest.imagelinenetwork.com/it/banca-dati-e-portale/</t>
        </is>
      </c>
      <c r="D37" s="3" t="inlineStr">
        <is>
          <t>VALIDATED_BUT_SECONDARY</t>
        </is>
      </c>
      <c r="E37" s="3" t="inlineStr">
        <is>
          <t>SECONDARY</t>
        </is>
      </c>
      <c r="F37" s="3" t="inlineStr">
        <is>
          <t>PORTFOLIO</t>
        </is>
      </c>
      <c r="G37" s="3" t="inlineStr">
        <is>
          <t>INTERVALO DE SEGURANCA (PHI) e n.o maximo de aplicacoes</t>
        </is>
      </c>
      <c r="H37" s="3" t="inlineStr">
        <is>
          <t>NACIONAL</t>
        </is>
      </c>
      <c r="I37" s="3" t="inlineStr">
        <is>
          <t>HIGH — segue o registo oficial</t>
        </is>
      </c>
      <c r="J37" s="3" t="inlineStr">
        <is>
          <t>DECLARADA</t>
        </is>
      </c>
      <c r="K37" s="3" t="inlineStr">
        <is>
          <t>37 da missao anterior</t>
        </is>
      </c>
    </row>
    <row r="38">
      <c r="A38" s="3" t="inlineStr">
        <is>
          <t>Banca dati Fitogest</t>
        </is>
      </c>
      <c r="B38" s="3" t="inlineStr">
        <is>
          <t>Image Line Network</t>
        </is>
      </c>
      <c r="C38" s="3" t="inlineStr">
        <is>
          <t>https://fitogest.imagelinenetwork.com/it/banca-dati-e-portale/</t>
        </is>
      </c>
      <c r="D38" s="3" t="inlineStr">
        <is>
          <t>VALIDATED_BUT_SECONDARY</t>
        </is>
      </c>
      <c r="E38" s="3" t="inlineStr">
        <is>
          <t>SECONDARY</t>
        </is>
      </c>
      <c r="F38" s="3" t="inlineStr">
        <is>
          <t>PORTFOLIO</t>
        </is>
      </c>
      <c r="G38" s="3" t="inlineStr">
        <is>
          <t>DOSE autorizada</t>
        </is>
      </c>
      <c r="H38" s="3" t="inlineStr">
        <is>
          <t>NACIONAL</t>
        </is>
      </c>
      <c r="I38" s="3" t="inlineStr">
        <is>
          <t>HIGH — segue o registo oficial</t>
        </is>
      </c>
      <c r="J38" s="3" t="inlineStr">
        <is>
          <t>DECLARADA</t>
        </is>
      </c>
      <c r="K38" s="3" t="inlineStr">
        <is>
          <t>37 da missao anterior</t>
        </is>
      </c>
    </row>
    <row r="39">
      <c r="A39" s="3" t="inlineStr">
        <is>
          <t>Banca dati Fitogest</t>
        </is>
      </c>
      <c r="B39" s="3" t="inlineStr">
        <is>
          <t>Image Line Network</t>
        </is>
      </c>
      <c r="C39" s="3" t="inlineStr">
        <is>
          <t>https://fitogest.imagelinenetwork.com/it/banca-dati-e-portale/</t>
        </is>
      </c>
      <c r="D39" s="3" t="inlineStr">
        <is>
          <t>VALIDATED_BUT_SECONDARY</t>
        </is>
      </c>
      <c r="E39" s="3" t="inlineStr">
        <is>
          <t>SECONDARY</t>
        </is>
      </c>
      <c r="F39" s="3" t="inlineStr">
        <is>
          <t>PORTFOLIO</t>
        </is>
      </c>
      <c r="G39" s="3" t="inlineStr">
        <is>
          <t>MECANISMO DE ACAO (FRAC/HRAC/IRAC)</t>
        </is>
      </c>
      <c r="H39" s="3" t="inlineStr">
        <is>
          <t>NACIONAL</t>
        </is>
      </c>
      <c r="I39" s="3" t="inlineStr">
        <is>
          <t>HIGH — segue o registo oficial</t>
        </is>
      </c>
      <c r="J39" s="3" t="inlineStr">
        <is>
          <t>DECLARADA</t>
        </is>
      </c>
      <c r="K39" s="3" t="inlineStr">
        <is>
          <t>37 da missao anterior</t>
        </is>
      </c>
    </row>
    <row r="40">
      <c r="A40" s="3" t="inlineStr">
        <is>
          <t>Banca dati dei prodotti fitosanitari</t>
        </is>
      </c>
      <c r="B40" s="3" t="inlineStr">
        <is>
          <t>Ministero della Salute</t>
        </is>
      </c>
      <c r="C40" s="3" t="inlineStr">
        <is>
          <t>https://www.fitosanitari.salute.gov.it/fitosanitariws_new/FitosanitariServlet</t>
        </is>
      </c>
      <c r="D40" s="3" t="inlineStr">
        <is>
          <t>VALIDATED_STRONG</t>
        </is>
      </c>
      <c r="E40" s="3" t="inlineStr">
        <is>
          <t>PRIMARY</t>
        </is>
      </c>
      <c r="F40" s="3" t="inlineStr">
        <is>
          <t>PORTFOLIO</t>
        </is>
      </c>
      <c r="G40" s="3" t="inlineStr">
        <is>
          <t>Produto, registo e titular</t>
        </is>
      </c>
      <c r="H40" s="3" t="inlineStr">
        <is>
          <t>NACIONAL</t>
        </is>
      </c>
      <c r="I40" s="3" t="inlineStr">
        <is>
          <t>HIGH — diaria</t>
        </is>
      </c>
      <c r="J40" s="3" t="inlineStr">
        <is>
          <t>OBSERVADA</t>
        </is>
      </c>
      <c r="K40" s="3" t="inlineStr">
        <is>
          <t>37 da missao anterior</t>
        </is>
      </c>
    </row>
    <row r="41">
      <c r="A41" s="3" t="inlineStr">
        <is>
          <t>Banca dati dei prodotti fitosanitari</t>
        </is>
      </c>
      <c r="B41" s="3" t="inlineStr">
        <is>
          <t>Ministero della Salute</t>
        </is>
      </c>
      <c r="C41" s="3" t="inlineStr">
        <is>
          <t>https://www.fitosanitari.salute.gov.it/fitosanitariws_new/FitosanitariServlet</t>
        </is>
      </c>
      <c r="D41" s="3" t="inlineStr">
        <is>
          <t>VALIDATED_STRONG</t>
        </is>
      </c>
      <c r="E41" s="3" t="inlineStr">
        <is>
          <t>PRIMARY</t>
        </is>
      </c>
      <c r="F41" s="3" t="inlineStr">
        <is>
          <t>PORTFOLIO</t>
        </is>
      </c>
      <c r="G41" s="3" t="inlineStr">
        <is>
          <t>Cultura e ALVO autorizados por produto</t>
        </is>
      </c>
      <c r="H41" s="3" t="inlineStr">
        <is>
          <t>NACIONAL</t>
        </is>
      </c>
      <c r="I41" s="3" t="inlineStr">
        <is>
          <t>HIGH — diaria</t>
        </is>
      </c>
      <c r="J41" s="3" t="inlineStr">
        <is>
          <t>OBSERVADA</t>
        </is>
      </c>
      <c r="K41" s="3" t="inlineStr">
        <is>
          <t>37 da missao anterior</t>
        </is>
      </c>
    </row>
    <row r="42">
      <c r="A42" s="3" t="inlineStr">
        <is>
          <t>Banca dati dei prodotti fitosanitari</t>
        </is>
      </c>
      <c r="B42" s="3" t="inlineStr">
        <is>
          <t>Ministero della Salute</t>
        </is>
      </c>
      <c r="C42" s="3" t="inlineStr">
        <is>
          <t>https://www.fitosanitari.salute.gov.it/fitosanitariws_new/FitosanitariServlet</t>
        </is>
      </c>
      <c r="D42" s="3" t="inlineStr">
        <is>
          <t>VALIDATED_STRONG</t>
        </is>
      </c>
      <c r="E42" s="3" t="inlineStr">
        <is>
          <t>PRIMARY</t>
        </is>
      </c>
      <c r="F42" s="3" t="inlineStr">
        <is>
          <t>PORTFOLIO</t>
        </is>
      </c>
      <c r="G42" s="3" t="inlineStr">
        <is>
          <t>Documento oficial do rotulo (PDF) e a sua data/versao</t>
        </is>
      </c>
      <c r="H42" s="3" t="inlineStr">
        <is>
          <t>NACIONAL</t>
        </is>
      </c>
      <c r="I42" s="3" t="inlineStr">
        <is>
          <t>HIGH — diaria</t>
        </is>
      </c>
      <c r="J42" s="3" t="inlineStr">
        <is>
          <t>OBSERVADA</t>
        </is>
      </c>
      <c r="K42" s="3" t="inlineStr">
        <is>
          <t>37 da missao anterior</t>
        </is>
      </c>
    </row>
    <row r="43">
      <c r="A43" s="3" t="inlineStr">
        <is>
          <t>Banca dati dei prodotti fitosanitari</t>
        </is>
      </c>
      <c r="B43" s="3" t="inlineStr">
        <is>
          <t>Ministero della Salute</t>
        </is>
      </c>
      <c r="C43" s="3" t="inlineStr">
        <is>
          <t>https://www.fitosanitari.salute.gov.it/fitosanitariws_new/FitosanitariServlet</t>
        </is>
      </c>
      <c r="D43" s="3" t="inlineStr">
        <is>
          <t>VALIDATED_STRONG</t>
        </is>
      </c>
      <c r="E43" s="3" t="inlineStr">
        <is>
          <t>PRIMARY</t>
        </is>
      </c>
      <c r="F43" s="3" t="inlineStr">
        <is>
          <t>PORTFOLIO</t>
        </is>
      </c>
      <c r="G43" s="3" t="inlineStr">
        <is>
          <t>INTERVALO DE SEGURANCA (PHI) e n.o maximo de aplicacoes</t>
        </is>
      </c>
      <c r="H43" s="3" t="inlineStr">
        <is>
          <t>NACIONAL</t>
        </is>
      </c>
      <c r="I43" s="3" t="inlineStr">
        <is>
          <t>HIGH — diaria</t>
        </is>
      </c>
      <c r="J43" s="3" t="inlineStr">
        <is>
          <t>OBSERVADA</t>
        </is>
      </c>
      <c r="K43" s="3" t="inlineStr">
        <is>
          <t>37 da missao anterior</t>
        </is>
      </c>
    </row>
    <row r="44">
      <c r="A44" s="3" t="inlineStr">
        <is>
          <t>Banca dati dei prodotti fitosanitari</t>
        </is>
      </c>
      <c r="B44" s="3" t="inlineStr">
        <is>
          <t>Ministero della Salute</t>
        </is>
      </c>
      <c r="C44" s="3" t="inlineStr">
        <is>
          <t>https://www.fitosanitari.salute.gov.it/fitosanitariws_new/FitosanitariServlet</t>
        </is>
      </c>
      <c r="D44" s="3" t="inlineStr">
        <is>
          <t>VALIDATED_STRONG</t>
        </is>
      </c>
      <c r="E44" s="3" t="inlineStr">
        <is>
          <t>PRIMARY</t>
        </is>
      </c>
      <c r="F44" s="3" t="inlineStr">
        <is>
          <t>PORTFOLIO</t>
        </is>
      </c>
      <c r="G44" s="3" t="inlineStr">
        <is>
          <t>ALTERACAO de autorizacao (o que mudou e quando)</t>
        </is>
      </c>
      <c r="H44" s="3" t="inlineStr">
        <is>
          <t>NACIONAL</t>
        </is>
      </c>
      <c r="I44" s="3" t="inlineStr">
        <is>
          <t>HIGH — diaria</t>
        </is>
      </c>
      <c r="J44" s="3" t="inlineStr">
        <is>
          <t>OBSERVADA</t>
        </is>
      </c>
      <c r="K44" s="3" t="inlineStr">
        <is>
          <t>37 da missao anterior</t>
        </is>
      </c>
    </row>
    <row r="45">
      <c r="A45" s="3" t="inlineStr">
        <is>
          <t>Bollettini di produzione integrata — pomodoro da industria</t>
        </is>
      </c>
      <c r="B45" s="3" t="inlineStr">
        <is>
          <t>Consorzi Fitosanitari Provinciali de Reggio Emilia, Modena, Parma e Piacenza</t>
        </is>
      </c>
      <c r="C45" s="3" t="inlineStr">
        <is>
          <t>https://www.fitosanitario.re.it/bollettino-singole-colture/</t>
        </is>
      </c>
      <c r="D45" s="3" t="inlineStr">
        <is>
          <t>VALIDATED_STRONG</t>
        </is>
      </c>
      <c r="E45" s="3" t="inlineStr">
        <is>
          <t>PRIMARY</t>
        </is>
      </c>
      <c r="F45" s="3" t="inlineStr">
        <is>
          <t>PORTFOLIO</t>
        </is>
      </c>
      <c r="G45" s="3" t="inlineStr">
        <is>
          <t>MOMENTO DE APLICACAO / fase da cultura na aplicacao</t>
        </is>
      </c>
      <c r="H45" s="3" t="inlineStr">
        <is>
          <t>provincias de Reggio Emilia, Modena, Parma e Piacenza</t>
        </is>
      </c>
      <c r="I45" s="3" t="inlineStr">
        <is>
          <t>HIGH — semanal na campanha</t>
        </is>
      </c>
      <c r="J45" s="3" t="inlineStr">
        <is>
          <t>OBSERVADA</t>
        </is>
      </c>
      <c r="K45" s="3" t="inlineStr">
        <is>
          <t>13 desta missao</t>
        </is>
      </c>
    </row>
    <row r="46">
      <c r="A46" s="3" t="inlineStr">
        <is>
          <t>Bollettini interprovinciali di produzione integrata e biologica</t>
        </is>
      </c>
      <c r="B46" s="3" t="inlineStr">
        <is>
          <t>Regione Emilia-Romagna — Settore Fitosanitario, com os Consorzi Fitosanitari Provinciali</t>
        </is>
      </c>
      <c r="C46" s="3" t="inlineStr">
        <is>
          <t>https://agricoltura.regione.emilia-romagna.it/fitosanitario/difesa-sostenibile/bollettini</t>
        </is>
      </c>
      <c r="D46" s="3" t="inlineStr">
        <is>
          <t>VALIDATED_STRONG</t>
        </is>
      </c>
      <c r="E46" s="3" t="inlineStr">
        <is>
          <t>PRIMARY</t>
        </is>
      </c>
      <c r="F46" s="3" t="inlineStr">
        <is>
          <t>PORTFOLIO</t>
        </is>
      </c>
      <c r="G46" s="3" t="inlineStr">
        <is>
          <t>AUTORIZACAO EXCECIONAL (art. 53)</t>
        </is>
      </c>
      <c r="H46" s="3" t="inlineStr">
        <is>
          <t>Emilia-Romagna, em 6 areas interprovinciais</t>
        </is>
      </c>
      <c r="I46" s="3" t="inlineStr">
        <is>
          <t>HIGH — semanal, numerada e datada</t>
        </is>
      </c>
      <c r="J46" s="3" t="inlineStr">
        <is>
          <t>OBSERVADA</t>
        </is>
      </c>
      <c r="K46" s="3" t="inlineStr">
        <is>
          <t>13 desta missao</t>
        </is>
      </c>
    </row>
    <row r="47">
      <c r="A47" s="3" t="inlineStr">
        <is>
          <t>Bollettini interprovinciali di produzione integrata e biologica</t>
        </is>
      </c>
      <c r="B47" s="3" t="inlineStr">
        <is>
          <t>Regione Emilia-Romagna — Settore Fitosanitario, com os Consorzi Fitosanitari Provinciali</t>
        </is>
      </c>
      <c r="C47" s="3" t="inlineStr">
        <is>
          <t>https://agricoltura.regione.emilia-romagna.it/fitosanitario/difesa-sostenibile/bollettini</t>
        </is>
      </c>
      <c r="D47" s="3" t="inlineStr">
        <is>
          <t>VALIDATED_STRONG</t>
        </is>
      </c>
      <c r="E47" s="3" t="inlineStr">
        <is>
          <t>PRIMARY</t>
        </is>
      </c>
      <c r="F47" s="3" t="inlineStr">
        <is>
          <t>PORTFOLIO</t>
        </is>
      </c>
      <c r="G47" s="3" t="inlineStr">
        <is>
          <t>ALTERACAO de autorizacao (o que mudou e quando)</t>
        </is>
      </c>
      <c r="H47" s="3" t="inlineStr">
        <is>
          <t>Emilia-Romagna, em 6 areas interprovinciais</t>
        </is>
      </c>
      <c r="I47" s="3" t="inlineStr">
        <is>
          <t>HIGH — semanal, numerada e datada</t>
        </is>
      </c>
      <c r="J47" s="3" t="inlineStr">
        <is>
          <t>OBSERVADA</t>
        </is>
      </c>
      <c r="K47" s="3" t="inlineStr">
        <is>
          <t>13 desta missao</t>
        </is>
      </c>
    </row>
    <row r="48">
      <c r="A48" s="3" t="inlineStr">
        <is>
          <t>Convegno «Prodotti fitosanitari: le novità»</t>
        </is>
      </c>
      <c r="B48" s="3" t="inlineStr">
        <is>
          <t>Regione Emilia-Romagna — Settore Fitosanitario, com as empresas de agrofarmacos</t>
        </is>
      </c>
      <c r="C48" s="3" t="inlineStr">
        <is>
          <t>https://agricoltura.regione.emilia-romagna.it/fitosanitario/incontri-e-convegni/prodotti-fitosanitari-novita-2026</t>
        </is>
      </c>
      <c r="D48" s="3" t="inlineStr">
        <is>
          <t>VALIDATED_USEFUL</t>
        </is>
      </c>
      <c r="E48" s="3" t="inlineStr">
        <is>
          <t>PRIMARY</t>
        </is>
      </c>
      <c r="F48" s="3" t="inlineStr">
        <is>
          <t>PORTFOLIO</t>
        </is>
      </c>
      <c r="G48" s="3" t="inlineStr">
        <is>
          <t>ALTERACAO de autorizacao (o que mudou e quando)</t>
        </is>
      </c>
      <c r="H48" s="3" t="inlineStr">
        <is>
          <t>Emilia-Romagna como sede; o conteudo e' NACIONAL</t>
        </is>
      </c>
      <c r="I48" s="3" t="inlineStr">
        <is>
          <t>MEDIUM — anual, mas com data fixa e programa publicado</t>
        </is>
      </c>
      <c r="J48" s="3" t="inlineStr">
        <is>
          <t>OBSERVADA</t>
        </is>
      </c>
      <c r="K48" s="3" t="inlineStr">
        <is>
          <t>37 da missao anterior</t>
        </is>
      </c>
    </row>
    <row r="49">
      <c r="A49" s="3" t="inlineStr">
        <is>
          <t>Convegno «Prodotti fitosanitari: le novità»</t>
        </is>
      </c>
      <c r="B49" s="3" t="inlineStr">
        <is>
          <t>Regione Emilia-Romagna — Settore Fitosanitario, com as empresas de agrofarmacos</t>
        </is>
      </c>
      <c r="C49" s="3" t="inlineStr">
        <is>
          <t>https://agricoltura.regione.emilia-romagna.it/fitosanitario/incontri-e-convegni/prodotti-fitosanitari-novita-2026</t>
        </is>
      </c>
      <c r="D49" s="3" t="inlineStr">
        <is>
          <t>VALIDATED_USEFUL</t>
        </is>
      </c>
      <c r="E49" s="3" t="inlineStr">
        <is>
          <t>PRIMARY</t>
        </is>
      </c>
      <c r="F49" s="3" t="inlineStr">
        <is>
          <t>PORTFOLIO</t>
        </is>
      </c>
      <c r="G49" s="3" t="inlineStr">
        <is>
          <t>AUTORIZACAO EXCECIONAL (art. 53)</t>
        </is>
      </c>
      <c r="H49" s="3" t="inlineStr">
        <is>
          <t>Emilia-Romagna como sede; o conteudo e' NACIONAL</t>
        </is>
      </c>
      <c r="I49" s="3" t="inlineStr">
        <is>
          <t>MEDIUM — anual, mas com data fixa e programa publicado</t>
        </is>
      </c>
      <c r="J49" s="3" t="inlineStr">
        <is>
          <t>OBSERVADA</t>
        </is>
      </c>
      <c r="K49" s="3" t="inlineStr">
        <is>
          <t>37 da missao anterior</t>
        </is>
      </c>
    </row>
    <row r="50">
      <c r="A50" s="3" t="inlineStr">
        <is>
          <t>Convegno «Prodotti fitosanitari: le novità»</t>
        </is>
      </c>
      <c r="B50" s="3" t="inlineStr">
        <is>
          <t>Regione Emilia-Romagna — Settore Fitosanitario, com as empresas de agrofarmacos</t>
        </is>
      </c>
      <c r="C50" s="3" t="inlineStr">
        <is>
          <t>https://agricoltura.regione.emilia-romagna.it/fitosanitario/incontri-e-convegni/prodotti-fitosanitari-novita-2026</t>
        </is>
      </c>
      <c r="D50" s="3" t="inlineStr">
        <is>
          <t>VALIDATED_USEFUL</t>
        </is>
      </c>
      <c r="E50" s="3" t="inlineStr">
        <is>
          <t>PRIMARY</t>
        </is>
      </c>
      <c r="F50" s="3" t="inlineStr">
        <is>
          <t>PORTFOLIO</t>
        </is>
      </c>
      <c r="G50" s="3" t="inlineStr">
        <is>
          <t>Substancia ativa do produto</t>
        </is>
      </c>
      <c r="H50" s="3" t="inlineStr">
        <is>
          <t>Emilia-Romagna como sede; o conteudo e' NACIONAL</t>
        </is>
      </c>
      <c r="I50" s="3" t="inlineStr">
        <is>
          <t>MEDIUM — anual, mas com data fixa e programa publicado</t>
        </is>
      </c>
      <c r="J50" s="3" t="inlineStr">
        <is>
          <t>OBSERVADA</t>
        </is>
      </c>
      <c r="K50" s="3" t="inlineStr">
        <is>
          <t>37 da missao anterior</t>
        </is>
      </c>
    </row>
    <row r="51">
      <c r="A51" s="3" t="inlineStr">
        <is>
          <t>EU Pesticides Database + registo de conclusoes de peer review</t>
        </is>
      </c>
      <c r="B51" s="3" t="inlineStr">
        <is>
          <t>Comissao Europeia (DG SANTE) e EFSA</t>
        </is>
      </c>
      <c r="C51" s="3" t="inlineStr">
        <is>
          <t>https://food.ec.europa.eu/plants/pesticides/eu-pesticides-database_en</t>
        </is>
      </c>
      <c r="D51" s="3" t="inlineStr">
        <is>
          <t>VALIDATED_BUT_SECONDARY</t>
        </is>
      </c>
      <c r="E51" s="3" t="inlineStr">
        <is>
          <t>SECONDARY</t>
        </is>
      </c>
      <c r="F51" s="3" t="inlineStr">
        <is>
          <t>PORTFOLIO</t>
        </is>
      </c>
      <c r="G51" s="3" t="inlineStr">
        <is>
          <t>Substancia ativa do produto</t>
        </is>
      </c>
      <c r="H51" s="3" t="inlineStr">
        <is>
          <t>EUROPEU — vale para Italia por via da UE</t>
        </is>
      </c>
      <c r="I51" s="3" t="inlineStr">
        <is>
          <t>HIGH — continua</t>
        </is>
      </c>
      <c r="J51" s="3" t="inlineStr">
        <is>
          <t>DECLARADA</t>
        </is>
      </c>
      <c r="K51" s="3" t="inlineStr">
        <is>
          <t>37 da missao anterior</t>
        </is>
      </c>
    </row>
    <row r="52">
      <c r="A52" s="3" t="inlineStr">
        <is>
          <t>Banca dati dei prodotti fitosanitari</t>
        </is>
      </c>
      <c r="B52" s="3" t="inlineStr">
        <is>
          <t>Ministero della Salute</t>
        </is>
      </c>
      <c r="C52" s="3" t="inlineStr">
        <is>
          <t>https://www.fitosanitari.salute.gov.it/fitosanitariws_new/FitosanitariServlet</t>
        </is>
      </c>
      <c r="D52" s="3" t="inlineStr">
        <is>
          <t>VALIDATED_STRONG</t>
        </is>
      </c>
      <c r="E52" s="3" t="inlineStr">
        <is>
          <t>PRIMARY</t>
        </is>
      </c>
      <c r="F52" s="3" t="inlineStr">
        <is>
          <t>RADAR</t>
        </is>
      </c>
      <c r="G52" s="3" t="inlineStr">
        <is>
          <t>ENTRADA: ligacao produto x problema</t>
        </is>
      </c>
      <c r="H52" s="3" t="inlineStr">
        <is>
          <t>NACIONAL</t>
        </is>
      </c>
      <c r="I52" s="3" t="inlineStr">
        <is>
          <t>HIGH — diaria</t>
        </is>
      </c>
      <c r="J52" s="3" t="inlineStr">
        <is>
          <t>OBSERVADA</t>
        </is>
      </c>
      <c r="K52" s="3" t="inlineStr">
        <is>
          <t>37 da missao anterior</t>
        </is>
      </c>
    </row>
    <row r="53">
      <c r="A53" s="3" t="inlineStr">
        <is>
          <t>Boletim tecnico assinado como portador de regiao+papel+data</t>
        </is>
      </c>
      <c r="B53" s="3" t="inlineStr">
        <is>
          <t>padrao observado em: ARSAC (Calabria), CAAR (Liguria), LaMMA (Toscana), Condifesa TVB (Veneto), Consorzi Fitosanitari (Emilia)</t>
        </is>
      </c>
      <c r="C53" s="3" t="inlineStr">
        <is>
          <t>https://www.agriligurianet.it/it/impresa/assistenza-tecnica-e-centri-serivizio/agrometeo-caar/bollettino-di-viticoltura.html</t>
        </is>
      </c>
      <c r="D53" s="3" t="inlineStr">
        <is>
          <t>VALIDATED_BUT_SECONDARY</t>
        </is>
      </c>
      <c r="E53" s="3" t="inlineStr">
        <is>
          <t>SECONDARY</t>
        </is>
      </c>
      <c r="F53" s="3" t="inlineStr">
        <is>
          <t>RADAR</t>
        </is>
      </c>
      <c r="G53" s="3" t="inlineStr">
        <is>
          <t>ENTRADA: voz de campo na mesma cultura/problema</t>
        </is>
      </c>
      <c r="H53" s="3" t="inlineStr">
        <is>
          <t>regional, replicavel nas 20 regioes</t>
        </is>
      </c>
      <c r="I53" s="3" t="inlineStr">
        <is>
          <t>HIGH — semanal na campanha</t>
        </is>
      </c>
      <c r="J53" s="3" t="inlineStr">
        <is>
          <t>DECLARADA</t>
        </is>
      </c>
      <c r="K53" s="3" t="inlineStr">
        <is>
          <t>37 da missao anterior</t>
        </is>
      </c>
    </row>
    <row r="54">
      <c r="A54" s="3" t="inlineStr">
        <is>
          <t>Bollettini viticoli del Servizio Fitosanitario del Veneto</t>
        </is>
      </c>
      <c r="B54" s="3" t="inlineStr">
        <is>
          <t>Regione del Veneto — U.O. Fitosanitario</t>
        </is>
      </c>
      <c r="C54" s="3" t="inlineStr">
        <is>
          <t>https://www.regione.veneto.it/web/fitosanitario/bollettini-viticoli</t>
        </is>
      </c>
      <c r="D54" s="3" t="inlineStr">
        <is>
          <t>VALIDATED_STRONG</t>
        </is>
      </c>
      <c r="E54" s="3" t="inlineStr">
        <is>
          <t>PRIMARY</t>
        </is>
      </c>
      <c r="F54" s="3" t="inlineStr">
        <is>
          <t>RADAR</t>
        </is>
      </c>
      <c r="G54" s="3" t="inlineStr">
        <is>
          <t>ENTRADA: janela de cultura com data e regiao</t>
        </is>
      </c>
      <c r="H54" s="3" t="inlineStr">
        <is>
          <t>Veneto</t>
        </is>
      </c>
      <c r="I54" s="3" t="inlineStr">
        <is>
          <t>HIGH — semanal na campanha</t>
        </is>
      </c>
      <c r="J54" s="3" t="inlineStr">
        <is>
          <t>OBSERVADA</t>
        </is>
      </c>
      <c r="K54" s="3" t="inlineStr">
        <is>
          <t>37 da missao anterior</t>
        </is>
      </c>
    </row>
    <row r="55">
      <c r="A55" s="3" t="inlineStr">
        <is>
          <t>Bollettino Nazionale di Fenologia</t>
        </is>
      </c>
      <c r="B55" s="3" t="inlineStr">
        <is>
          <t>Rete Rurale Nazionale (RRN) / MASAF</t>
        </is>
      </c>
      <c r="C55" s="3" t="inlineStr">
        <is>
          <t>https://www.reterurale.it/bollettinofeno</t>
        </is>
      </c>
      <c r="D55" s="3" t="inlineStr">
        <is>
          <t>VALIDATED_STRONG</t>
        </is>
      </c>
      <c r="E55" s="3" t="inlineStr">
        <is>
          <t>PRIMARY</t>
        </is>
      </c>
      <c r="F55" s="3" t="inlineStr">
        <is>
          <t>RADAR</t>
        </is>
      </c>
      <c r="G55" s="3" t="inlineStr">
        <is>
          <t>ENTRADA: janela de cultura com data e regiao</t>
        </is>
      </c>
      <c r="H55" s="3" t="inlineStr">
        <is>
          <t>NACIONAL, com detalhe regional</t>
        </is>
      </c>
      <c r="I55" s="3" t="inlineStr">
        <is>
          <t>HIGH — periodicidade declarada</t>
        </is>
      </c>
      <c r="J55" s="3" t="inlineStr">
        <is>
          <t>OBSERVADA</t>
        </is>
      </c>
      <c r="K55" s="3" t="inlineStr">
        <is>
          <t>37 da missao anterior</t>
        </is>
      </c>
    </row>
    <row r="56">
      <c r="A56" s="3" t="inlineStr">
        <is>
          <t>Dataflow DCSP_COLTIVAZIONI (coltivazioni: superficie, produzione, resa)</t>
        </is>
      </c>
      <c r="B56" s="3" t="inlineStr">
        <is>
          <t>ISTAT</t>
        </is>
      </c>
      <c r="C56" s="3" t="inlineStr">
        <is>
          <t>https://esploradati.istat.it/SDMXWS/rest/dataflow/IT1/101_1015_DF_DCSP_COLTIVAZIONI_1</t>
        </is>
      </c>
      <c r="D56" s="3" t="inlineStr">
        <is>
          <t>VALIDATED_STRONG</t>
        </is>
      </c>
      <c r="E56" s="3" t="inlineStr">
        <is>
          <t>PRIMARY</t>
        </is>
      </c>
      <c r="F56" s="3" t="inlineStr">
        <is>
          <t>RADAR</t>
        </is>
      </c>
      <c r="G56" s="3" t="inlineStr">
        <is>
          <t>ENTRADA: mercado da mesma cultura</t>
        </is>
      </c>
      <c r="H56" s="3" t="inlineStr">
        <is>
          <t>NACIONAL com regiao, provincia e altimetria</t>
        </is>
      </c>
      <c r="I56" s="3" t="inlineStr">
        <is>
          <t>HIGH — estimativas mensais, serie anual consolidada</t>
        </is>
      </c>
      <c r="J56" s="3" t="inlineStr">
        <is>
          <t>OBSERVADA</t>
        </is>
      </c>
      <c r="K56" s="3" t="inlineStr">
        <is>
          <t>37 da missao anterior</t>
        </is>
      </c>
    </row>
    <row r="57">
      <c r="A57" s="3" t="inlineStr">
        <is>
          <t>Giornate Fitopatologiche — atti e programma</t>
        </is>
      </c>
      <c r="B57" s="3" t="inlineStr">
        <is>
          <t>Comitato delle Giornate Fitopatologiche (universidades italianas)</t>
        </is>
      </c>
      <c r="C57" s="3" t="inlineStr">
        <is>
          <t>https://giornatefitopatologiche.it/it/home/1</t>
        </is>
      </c>
      <c r="D57" s="3" t="inlineStr">
        <is>
          <t>VALIDATED_BUT_SECONDARY</t>
        </is>
      </c>
      <c r="E57" s="3" t="inlineStr">
        <is>
          <t>SECONDARY</t>
        </is>
      </c>
      <c r="F57" s="3" t="inlineStr">
        <is>
          <t>SCIENCE</t>
        </is>
      </c>
      <c r="G57" s="3" t="inlineStr">
        <is>
          <t>LOCAL DO ESTUDO (onde o ensaio foi feito)</t>
        </is>
      </c>
      <c r="H57" s="3" t="inlineStr">
        <is>
          <t>NACIONAL</t>
        </is>
      </c>
      <c r="I57" s="3" t="inlineStr">
        <is>
          <t>MEDIUM — bienal/anual, com atas publicadas</t>
        </is>
      </c>
      <c r="J57" s="3" t="inlineStr">
        <is>
          <t>OBSERVADA</t>
        </is>
      </c>
      <c r="K57" s="3" t="inlineStr">
        <is>
          <t>37 da missao anterior</t>
        </is>
      </c>
    </row>
    <row r="58">
      <c r="A58" s="3" t="inlineStr">
        <is>
          <t>Giornate Fitopatologiche — atti e programma</t>
        </is>
      </c>
      <c r="B58" s="3" t="inlineStr">
        <is>
          <t>Comitato delle Giornate Fitopatologiche (universidades italianas)</t>
        </is>
      </c>
      <c r="C58" s="3" t="inlineStr">
        <is>
          <t>https://giornatefitopatologiche.it/it/home/1</t>
        </is>
      </c>
      <c r="D58" s="3" t="inlineStr">
        <is>
          <t>VALIDATED_BUT_SECONDARY</t>
        </is>
      </c>
      <c r="E58" s="3" t="inlineStr">
        <is>
          <t>SECONDARY</t>
        </is>
      </c>
      <c r="F58" s="3" t="inlineStr">
        <is>
          <t>SCIENCE</t>
        </is>
      </c>
      <c r="G58" s="3" t="inlineStr">
        <is>
          <t>METODO e RESULTADO medido (eficacia)</t>
        </is>
      </c>
      <c r="H58" s="3" t="inlineStr">
        <is>
          <t>NACIONAL</t>
        </is>
      </c>
      <c r="I58" s="3" t="inlineStr">
        <is>
          <t>MEDIUM — bienal/anual, com atas publicadas</t>
        </is>
      </c>
      <c r="J58" s="3" t="inlineStr">
        <is>
          <t>OBSERVADA</t>
        </is>
      </c>
      <c r="K58" s="3" t="inlineStr">
        <is>
          <t>37 da missao anterior</t>
        </is>
      </c>
    </row>
    <row r="59">
      <c r="A59" s="3" t="inlineStr">
        <is>
          <t>Giornate Fitopatologiche — atti e programma</t>
        </is>
      </c>
      <c r="B59" s="3" t="inlineStr">
        <is>
          <t>Comitato delle Giornate Fitopatologiche (universidades italianas)</t>
        </is>
      </c>
      <c r="C59" s="3" t="inlineStr">
        <is>
          <t>https://giornatefitopatologiche.it/it/home/1</t>
        </is>
      </c>
      <c r="D59" s="3" t="inlineStr">
        <is>
          <t>VALIDATED_BUT_SECONDARY</t>
        </is>
      </c>
      <c r="E59" s="3" t="inlineStr">
        <is>
          <t>SECONDARY</t>
        </is>
      </c>
      <c r="F59" s="3" t="inlineStr">
        <is>
          <t>SCIENCE</t>
        </is>
      </c>
      <c r="G59" s="3" t="inlineStr">
        <is>
          <t>ENSAIO DE CAMPO / trial com resultado</t>
        </is>
      </c>
      <c r="H59" s="3" t="inlineStr">
        <is>
          <t>NACIONAL</t>
        </is>
      </c>
      <c r="I59" s="3" t="inlineStr">
        <is>
          <t>MEDIUM — bienal/anual, com atas publicadas</t>
        </is>
      </c>
      <c r="J59" s="3" t="inlineStr">
        <is>
          <t>OBSERVADA</t>
        </is>
      </c>
      <c r="K59" s="3" t="inlineStr">
        <is>
          <t>37 da missao anterior</t>
        </is>
      </c>
    </row>
    <row r="60">
      <c r="A60" s="3" t="inlineStr">
        <is>
          <t>Giornate Fitopatologiche — atti e programma</t>
        </is>
      </c>
      <c r="B60" s="3" t="inlineStr">
        <is>
          <t>Comitato delle Giornate Fitopatologiche (universidades italianas)</t>
        </is>
      </c>
      <c r="C60" s="3" t="inlineStr">
        <is>
          <t>https://giornatefitopatologiche.it/it/home/1</t>
        </is>
      </c>
      <c r="D60" s="3" t="inlineStr">
        <is>
          <t>VALIDATED_BUT_SECONDARY</t>
        </is>
      </c>
      <c r="E60" s="3" t="inlineStr">
        <is>
          <t>SECONDARY</t>
        </is>
      </c>
      <c r="F60" s="3" t="inlineStr">
        <is>
          <t>SCIENCE</t>
        </is>
      </c>
      <c r="G60" s="3" t="inlineStr">
        <is>
          <t>Cultura e problema do trabalho</t>
        </is>
      </c>
      <c r="H60" s="3" t="inlineStr">
        <is>
          <t>NACIONAL</t>
        </is>
      </c>
      <c r="I60" s="3" t="inlineStr">
        <is>
          <t>MEDIUM — bienal/anual, com atas publicadas</t>
        </is>
      </c>
      <c r="J60" s="3" t="inlineStr">
        <is>
          <t>OBSERVADA</t>
        </is>
      </c>
      <c r="K60" s="3" t="inlineStr">
        <is>
          <t>37 da missao anterior</t>
        </is>
      </c>
    </row>
    <row r="61">
      <c r="A61" s="3" t="inlineStr">
        <is>
          <t>Boletim tecnico assinado como portador de regiao+papel+data</t>
        </is>
      </c>
      <c r="B61" s="3" t="inlineStr">
        <is>
          <t>padrao observado em: ARSAC (Calabria), CAAR (Liguria), LaMMA (Toscana), Condifesa TVB (Veneto), Consorzi Fitosanitari (Emilia)</t>
        </is>
      </c>
      <c r="C61" s="3" t="inlineStr">
        <is>
          <t>https://www.agriligurianet.it/it/impresa/assistenza-tecnica-e-centri-serivizio/agrometeo-caar/bollettino-di-viticoltura.html</t>
        </is>
      </c>
      <c r="D61" s="3" t="inlineStr">
        <is>
          <t>VALIDATED_BUT_SECONDARY</t>
        </is>
      </c>
      <c r="E61" s="3" t="inlineStr">
        <is>
          <t>SECONDARY</t>
        </is>
      </c>
      <c r="F61" s="3" t="inlineStr">
        <is>
          <t>VOICES</t>
        </is>
      </c>
      <c r="G61" s="3" t="inlineStr">
        <is>
          <t>REGIAO da voz de campo</t>
        </is>
      </c>
      <c r="H61" s="3" t="inlineStr">
        <is>
          <t>regional, replicavel nas 20 regioes</t>
        </is>
      </c>
      <c r="I61" s="3" t="inlineStr">
        <is>
          <t>HIGH — semanal na campanha</t>
        </is>
      </c>
      <c r="J61" s="3" t="inlineStr">
        <is>
          <t>DECLARADA</t>
        </is>
      </c>
      <c r="K61" s="3" t="inlineStr">
        <is>
          <t>37 da missao anterior</t>
        </is>
      </c>
    </row>
    <row r="62">
      <c r="A62" s="3" t="inlineStr">
        <is>
          <t>Boletim tecnico assinado como portador de regiao+papel+data</t>
        </is>
      </c>
      <c r="B62" s="3" t="inlineStr">
        <is>
          <t>padrao observado em: ARSAC (Calabria), CAAR (Liguria), LaMMA (Toscana), Condifesa TVB (Veneto), Consorzi Fitosanitari (Emilia)</t>
        </is>
      </c>
      <c r="C62" s="3" t="inlineStr">
        <is>
          <t>https://www.agriligurianet.it/it/impresa/assistenza-tecnica-e-centri-serivizio/agrometeo-caar/bollettino-di-viticoltura.html</t>
        </is>
      </c>
      <c r="D62" s="3" t="inlineStr">
        <is>
          <t>VALIDATED_BUT_SECONDARY</t>
        </is>
      </c>
      <c r="E62" s="3" t="inlineStr">
        <is>
          <t>SECONDARY</t>
        </is>
      </c>
      <c r="F62" s="3" t="inlineStr">
        <is>
          <t>VOICES</t>
        </is>
      </c>
      <c r="G62" s="3" t="inlineStr">
        <is>
          <t>PAPEL de quem fala (produtor? tecnico? amador?)</t>
        </is>
      </c>
      <c r="H62" s="3" t="inlineStr">
        <is>
          <t>regional, replicavel nas 20 regioes</t>
        </is>
      </c>
      <c r="I62" s="3" t="inlineStr">
        <is>
          <t>HIGH — semanal na campanha</t>
        </is>
      </c>
      <c r="J62" s="3" t="inlineStr">
        <is>
          <t>DECLARADA</t>
        </is>
      </c>
      <c r="K62" s="3" t="inlineStr">
        <is>
          <t>37 da missao anterior</t>
        </is>
      </c>
    </row>
    <row r="63">
      <c r="A63" s="3" t="inlineStr">
        <is>
          <t>Boletim tecnico assinado como portador de regiao+papel+data</t>
        </is>
      </c>
      <c r="B63" s="3" t="inlineStr">
        <is>
          <t>padrao observado em: ARSAC (Calabria), CAAR (Liguria), LaMMA (Toscana), Condifesa TVB (Veneto), Consorzi Fitosanitari (Emilia)</t>
        </is>
      </c>
      <c r="C63" s="3" t="inlineStr">
        <is>
          <t>https://www.agriligurianet.it/it/impresa/assistenza-tecnica-e-centri-serivizio/agrometeo-caar/bollettino-di-viticoltura.html</t>
        </is>
      </c>
      <c r="D63" s="3" t="inlineStr">
        <is>
          <t>VALIDATED_BUT_SECONDARY</t>
        </is>
      </c>
      <c r="E63" s="3" t="inlineStr">
        <is>
          <t>SECONDARY</t>
        </is>
      </c>
      <c r="F63" s="3" t="inlineStr">
        <is>
          <t>VOICES</t>
        </is>
      </c>
      <c r="G63" s="3" t="inlineStr">
        <is>
          <t>DATA da observacao de campo</t>
        </is>
      </c>
      <c r="H63" s="3" t="inlineStr">
        <is>
          <t>regional, replicavel nas 20 regioes</t>
        </is>
      </c>
      <c r="I63" s="3" t="inlineStr">
        <is>
          <t>HIGH — semanal na campanha</t>
        </is>
      </c>
      <c r="J63" s="3" t="inlineStr">
        <is>
          <t>DECLARADA</t>
        </is>
      </c>
      <c r="K63" s="3" t="inlineStr">
        <is>
          <t>37 da missao anterior</t>
        </is>
      </c>
    </row>
    <row r="64">
      <c r="A64" s="3" t="inlineStr">
        <is>
          <t>Boletim tecnico assinado como portador de regiao+papel+data</t>
        </is>
      </c>
      <c r="B64" s="3" t="inlineStr">
        <is>
          <t>padrao observado em: ARSAC (Calabria), CAAR (Liguria), LaMMA (Toscana), Condifesa TVB (Veneto), Consorzi Fitosanitari (Emilia)</t>
        </is>
      </c>
      <c r="C64" s="3" t="inlineStr">
        <is>
          <t>https://www.agriligurianet.it/it/impresa/assistenza-tecnica-e-centri-serivizio/agrometeo-caar/bollettino-di-viticoltura.html</t>
        </is>
      </c>
      <c r="D64" s="3" t="inlineStr">
        <is>
          <t>VALIDATED_BUT_SECONDARY</t>
        </is>
      </c>
      <c r="E64" s="3" t="inlineStr">
        <is>
          <t>SECONDARY</t>
        </is>
      </c>
      <c r="F64" s="3" t="inlineStr">
        <is>
          <t>VOICES</t>
        </is>
      </c>
      <c r="G64" s="3" t="inlineStr">
        <is>
          <t>CANAL com exemplo real e data de publicacao</t>
        </is>
      </c>
      <c r="H64" s="3" t="inlineStr">
        <is>
          <t>regional, replicavel nas 20 regioes</t>
        </is>
      </c>
      <c r="I64" s="3" t="inlineStr">
        <is>
          <t>HIGH — semanal na campanha</t>
        </is>
      </c>
      <c r="J64" s="3" t="inlineStr">
        <is>
          <t>DECLARADA</t>
        </is>
      </c>
      <c r="K64" s="3" t="inlineStr">
        <is>
          <t>37 da missao anterior</t>
        </is>
      </c>
    </row>
    <row r="65">
      <c r="A65" s="3" t="inlineStr">
        <is>
          <t>Bollettini agronomici per vite dell'Ufficio Agronomico</t>
        </is>
      </c>
      <c r="B65" s="3" t="inlineStr">
        <is>
          <t>Terre dell'Etruria — cooperativa agricola (Toscana)</t>
        </is>
      </c>
      <c r="C65" s="3" t="inlineStr">
        <is>
          <t>https://www.terretruria.it/agronomi/vite/16-bollettini-agronomici-per-vite/</t>
        </is>
      </c>
      <c r="D65" s="3" t="inlineStr">
        <is>
          <t>VALIDATED_USEFUL</t>
        </is>
      </c>
      <c r="E65" s="3" t="inlineStr">
        <is>
          <t>PRIMARY</t>
        </is>
      </c>
      <c r="F65" s="3" t="inlineStr">
        <is>
          <t>VOICES</t>
        </is>
      </c>
      <c r="G65" s="3" t="inlineStr">
        <is>
          <t>PAPEL de quem fala (produtor? tecnico? amador?)</t>
        </is>
      </c>
      <c r="H65" s="3" t="inlineStr">
        <is>
          <t>Toscana costeira (Livorno/Grosseto)</t>
        </is>
      </c>
      <c r="I65" s="3" t="inlineStr">
        <is>
          <t>MEDIUM — declarado como serie, sem periodicidade escrita</t>
        </is>
      </c>
      <c r="J65" s="3" t="inlineStr">
        <is>
          <t>OBSERVADA</t>
        </is>
      </c>
      <c r="K65" s="3" t="inlineStr">
        <is>
          <t>37 da missao anterior</t>
        </is>
      </c>
    </row>
    <row r="66">
      <c r="A66" s="3" t="inlineStr">
        <is>
          <t>Bollettini agronomici per vite dell'Ufficio Agronomico</t>
        </is>
      </c>
      <c r="B66" s="3" t="inlineStr">
        <is>
          <t>Terre dell'Etruria — cooperativa agricola (Toscana)</t>
        </is>
      </c>
      <c r="C66" s="3" t="inlineStr">
        <is>
          <t>https://www.terretruria.it/agronomi/vite/16-bollettini-agronomici-per-vite/</t>
        </is>
      </c>
      <c r="D66" s="3" t="inlineStr">
        <is>
          <t>VALIDATED_USEFUL</t>
        </is>
      </c>
      <c r="E66" s="3" t="inlineStr">
        <is>
          <t>PRIMARY</t>
        </is>
      </c>
      <c r="F66" s="3" t="inlineStr">
        <is>
          <t>VOICES</t>
        </is>
      </c>
      <c r="G66" s="3" t="inlineStr">
        <is>
          <t>Voz de campo com autor identificado</t>
        </is>
      </c>
      <c r="H66" s="3" t="inlineStr">
        <is>
          <t>Toscana costeira (Livorno/Grosseto)</t>
        </is>
      </c>
      <c r="I66" s="3" t="inlineStr">
        <is>
          <t>MEDIUM — declarado como serie, sem periodicidade escrita</t>
        </is>
      </c>
      <c r="J66" s="3" t="inlineStr">
        <is>
          <t>OBSERVADA</t>
        </is>
      </c>
      <c r="K66" s="3" t="inlineStr">
        <is>
          <t>37 da missao anterior</t>
        </is>
      </c>
    </row>
    <row r="67">
      <c r="A67" s="3" t="inlineStr">
        <is>
          <t>Bollettini di viticoltura e di olivicoltura del CAAR</t>
        </is>
      </c>
      <c r="B67" s="3" t="inlineStr">
        <is>
          <t>Regione Liguria — CAAR / Servizi Imprese Agricole</t>
        </is>
      </c>
      <c r="C67" s="3" t="inlineStr">
        <is>
          <t>https://www.agriligurianet.it/it/impresa/assistenza-tecnica-e-centri-serivizio/agrometeo-caar/bollettino-di-olivicoltura.html</t>
        </is>
      </c>
      <c r="D67" s="3" t="inlineStr">
        <is>
          <t>VALIDATED_BUT_SECONDARY</t>
        </is>
      </c>
      <c r="E67" s="3" t="inlineStr">
        <is>
          <t>SECONDARY</t>
        </is>
      </c>
      <c r="F67" s="3" t="inlineStr">
        <is>
          <t>VOICES</t>
        </is>
      </c>
      <c r="G67" s="3" t="inlineStr">
        <is>
          <t>REGIAO da voz de campo</t>
        </is>
      </c>
      <c r="H67" s="3" t="inlineStr">
        <is>
          <t>Liguria, por provincia (GE/IM/SP/SV)</t>
        </is>
      </c>
      <c r="I67" s="3" t="inlineStr">
        <is>
          <t>HIGH — semanal de abril a setembro, mensal de outubro a marco</t>
        </is>
      </c>
      <c r="J67" s="3" t="inlineStr">
        <is>
          <t>DECLARADA</t>
        </is>
      </c>
      <c r="K67" s="3" t="inlineStr">
        <is>
          <t>37 da missao anterior</t>
        </is>
      </c>
    </row>
    <row r="68">
      <c r="A68" s="3" t="inlineStr">
        <is>
          <t>Bollettini di viticoltura e di olivicoltura del CAAR</t>
        </is>
      </c>
      <c r="B68" s="3" t="inlineStr">
        <is>
          <t>Regione Liguria — CAAR / Servizi Imprese Agricole</t>
        </is>
      </c>
      <c r="C68" s="3" t="inlineStr">
        <is>
          <t>https://www.agriligurianet.it/it/impresa/assistenza-tecnica-e-centri-serivizio/agrometeo-caar/bollettino-di-olivicoltura.html</t>
        </is>
      </c>
      <c r="D68" s="3" t="inlineStr">
        <is>
          <t>VALIDATED_BUT_SECONDARY</t>
        </is>
      </c>
      <c r="E68" s="3" t="inlineStr">
        <is>
          <t>SECONDARY</t>
        </is>
      </c>
      <c r="F68" s="3" t="inlineStr">
        <is>
          <t>VOICES</t>
        </is>
      </c>
      <c r="G68" s="3" t="inlineStr">
        <is>
          <t>DATA da observacao de campo</t>
        </is>
      </c>
      <c r="H68" s="3" t="inlineStr">
        <is>
          <t>Liguria, por provincia (GE/IM/SP/SV)</t>
        </is>
      </c>
      <c r="I68" s="3" t="inlineStr">
        <is>
          <t>HIGH — semanal de abril a setembro, mensal de outubro a marco</t>
        </is>
      </c>
      <c r="J68" s="3" t="inlineStr">
        <is>
          <t>DECLARADA</t>
        </is>
      </c>
      <c r="K68" s="3" t="inlineStr">
        <is>
          <t>37 da missao anterior</t>
        </is>
      </c>
    </row>
    <row r="69">
      <c r="A69" s="3" t="inlineStr">
        <is>
          <t>Bollettini fenologici di uno studio agronomico privato (Agralia)</t>
        </is>
      </c>
      <c r="B69" s="3" t="inlineStr">
        <is>
          <t>Agralia Studio Agronomico — Brescia</t>
        </is>
      </c>
      <c r="C69" s="3" t="inlineStr">
        <is>
          <t>https://www.agralia.it/</t>
        </is>
      </c>
      <c r="D69" s="3" t="inlineStr">
        <is>
          <t>VALIDATED_USEFUL</t>
        </is>
      </c>
      <c r="E69" s="3" t="inlineStr">
        <is>
          <t>PRIMARY</t>
        </is>
      </c>
      <c r="F69" s="3" t="inlineStr">
        <is>
          <t>VOICES</t>
        </is>
      </c>
      <c r="G69" s="3" t="inlineStr">
        <is>
          <t>PAPEL de quem fala (produtor? tecnico? amador?)</t>
        </is>
      </c>
      <c r="H69" s="3" t="inlineStr">
        <is>
          <t>Brescia / Lombardia</t>
        </is>
      </c>
      <c r="I69" s="3" t="inlineStr">
        <is>
          <t>MEDIUM — periodico, mas periodicidade nao declarada</t>
        </is>
      </c>
      <c r="J69" s="3" t="inlineStr">
        <is>
          <t>OBSERVADA</t>
        </is>
      </c>
      <c r="K69" s="3" t="inlineStr">
        <is>
          <t>37 da missao anterior</t>
        </is>
      </c>
    </row>
    <row r="70">
      <c r="A70" s="3" t="inlineStr">
        <is>
          <t>Bollettini fenologici di uno studio agronomico privato (Agralia)</t>
        </is>
      </c>
      <c r="B70" s="3" t="inlineStr">
        <is>
          <t>Agralia Studio Agronomico — Brescia</t>
        </is>
      </c>
      <c r="C70" s="3" t="inlineStr">
        <is>
          <t>https://www.agralia.it/</t>
        </is>
      </c>
      <c r="D70" s="3" t="inlineStr">
        <is>
          <t>VALIDATED_USEFUL</t>
        </is>
      </c>
      <c r="E70" s="3" t="inlineStr">
        <is>
          <t>PRIMARY</t>
        </is>
      </c>
      <c r="F70" s="3" t="inlineStr">
        <is>
          <t>VOICES</t>
        </is>
      </c>
      <c r="G70" s="3" t="inlineStr">
        <is>
          <t>Voz de campo com autor identificado</t>
        </is>
      </c>
      <c r="H70" s="3" t="inlineStr">
        <is>
          <t>Brescia / Lombardia</t>
        </is>
      </c>
      <c r="I70" s="3" t="inlineStr">
        <is>
          <t>MEDIUM — periodico, mas periodicidade nao declarada</t>
        </is>
      </c>
      <c r="J70" s="3" t="inlineStr">
        <is>
          <t>OBSERVADA</t>
        </is>
      </c>
      <c r="K70" s="3" t="inlineStr">
        <is>
          <t>37 da missao anterior</t>
        </is>
      </c>
    </row>
    <row r="71">
      <c r="A71" s="3" t="inlineStr">
        <is>
          <t>Bollettini fitosanitari — Unita territoriali di monitoraggio (UTM)</t>
        </is>
      </c>
      <c r="B71" s="3" t="inlineStr">
        <is>
          <t>Regione Campania — UOS Servizio Fitosanitario e estruturas provinciais</t>
        </is>
      </c>
      <c r="C71" s="3" t="inlineStr">
        <is>
          <t>https://agricoltura.regione.campania.it/difesa/bollettini/bollettini_2026.html</t>
        </is>
      </c>
      <c r="D71" s="3" t="inlineStr">
        <is>
          <t>VALIDATED_STRONG</t>
        </is>
      </c>
      <c r="E71" s="3" t="inlineStr">
        <is>
          <t>PRIMARY</t>
        </is>
      </c>
      <c r="F71" s="3" t="inlineStr">
        <is>
          <t>VOICES</t>
        </is>
      </c>
      <c r="G71" s="3" t="inlineStr">
        <is>
          <t>REGIAO da voz de campo</t>
        </is>
      </c>
      <c r="H71" s="3" t="inlineStr">
        <is>
          <t>Campania, por UTM</t>
        </is>
      </c>
      <c r="I71" s="3" t="inlineStr">
        <is>
          <t>HIGH — semanal na campanha, mensal fora dela</t>
        </is>
      </c>
      <c r="J71" s="3" t="inlineStr">
        <is>
          <t>OBSERVADA</t>
        </is>
      </c>
      <c r="K71" s="3" t="inlineStr">
        <is>
          <t>13 desta missao</t>
        </is>
      </c>
    </row>
    <row r="72">
      <c r="A72" s="3" t="inlineStr">
        <is>
          <t>Bollettino agrometeorologico e fitosanitario ARSAC</t>
        </is>
      </c>
      <c r="B72" s="3" t="inlineStr">
        <is>
          <t>ARSAC — Azienda Regionale per lo Sviluppo dell'Agricoltura Calabrese</t>
        </is>
      </c>
      <c r="C72" s="3" t="inlineStr">
        <is>
          <t>https://www.arsacweb.it/bollettino-agrometeorologico-e-fitosanitario-agrumi-olivo-e-vite/</t>
        </is>
      </c>
      <c r="D72" s="3" t="inlineStr">
        <is>
          <t>VALIDATED_STRONG</t>
        </is>
      </c>
      <c r="E72" s="3" t="inlineStr">
        <is>
          <t>PRIMARY</t>
        </is>
      </c>
      <c r="F72" s="3" t="inlineStr">
        <is>
          <t>VOICES</t>
        </is>
      </c>
      <c r="G72" s="3" t="inlineStr">
        <is>
          <t>REGIAO da voz de campo</t>
        </is>
      </c>
      <c r="H72" s="3" t="inlineStr">
        <is>
          <t>Calabria, subdividida em 8 zonas</t>
        </is>
      </c>
      <c r="I72" s="3" t="inlineStr">
        <is>
          <t>HIGH — semanal, com intervalo de validade explicito</t>
        </is>
      </c>
      <c r="J72" s="3" t="inlineStr">
        <is>
          <t>OBSERVADA</t>
        </is>
      </c>
      <c r="K72" s="3" t="inlineStr">
        <is>
          <t>37 da missao anterior</t>
        </is>
      </c>
    </row>
    <row r="73">
      <c r="A73" s="3" t="inlineStr">
        <is>
          <t>Bollettino agrometeorologico e fitosanitario ARSAC</t>
        </is>
      </c>
      <c r="B73" s="3" t="inlineStr">
        <is>
          <t>ARSAC — Azienda Regionale per lo Sviluppo dell'Agricoltura Calabrese</t>
        </is>
      </c>
      <c r="C73" s="3" t="inlineStr">
        <is>
          <t>https://www.arsacweb.it/bollettino-agrometeorologico-e-fitosanitario-agrumi-olivo-e-vite/</t>
        </is>
      </c>
      <c r="D73" s="3" t="inlineStr">
        <is>
          <t>VALIDATED_STRONG</t>
        </is>
      </c>
      <c r="E73" s="3" t="inlineStr">
        <is>
          <t>PRIMARY</t>
        </is>
      </c>
      <c r="F73" s="3" t="inlineStr">
        <is>
          <t>VOICES</t>
        </is>
      </c>
      <c r="G73" s="3" t="inlineStr">
        <is>
          <t>DATA da observacao de campo</t>
        </is>
      </c>
      <c r="H73" s="3" t="inlineStr">
        <is>
          <t>Calabria, subdividida em 8 zonas</t>
        </is>
      </c>
      <c r="I73" s="3" t="inlineStr">
        <is>
          <t>HIGH — semanal, com intervalo de validade explicito</t>
        </is>
      </c>
      <c r="J73" s="3" t="inlineStr">
        <is>
          <t>OBSERVADA</t>
        </is>
      </c>
      <c r="K73" s="3" t="inlineStr">
        <is>
          <t>37 da missao anterior</t>
        </is>
      </c>
    </row>
    <row r="74">
      <c r="A74" s="3" t="inlineStr">
        <is>
          <t>Bollettino seminativi biologici</t>
        </is>
      </c>
      <c r="B74" s="3" t="inlineStr">
        <is>
          <t>AIAB Friuli Venezia Giulia, em colaboracao com a ERSA</t>
        </is>
      </c>
      <c r="C74" s="3" t="inlineStr">
        <is>
          <t>https://www.aiab.fvg.it/aziende-e-tecnici/</t>
        </is>
      </c>
      <c r="D74" s="3" t="inlineStr">
        <is>
          <t>VALIDATED_STRONG</t>
        </is>
      </c>
      <c r="E74" s="3" t="inlineStr">
        <is>
          <t>PRIMARY</t>
        </is>
      </c>
      <c r="F74" s="3" t="inlineStr">
        <is>
          <t>VOICES</t>
        </is>
      </c>
      <c r="G74" s="3" t="inlineStr">
        <is>
          <t>PAPEL de quem fala (produtor? tecnico? amador?)</t>
        </is>
      </c>
      <c r="H74" s="3" t="inlineStr">
        <is>
          <t>Friuli-Venezia Giulia</t>
        </is>
      </c>
      <c r="I74" s="3" t="inlineStr">
        <is>
          <t>HIGH — numerada e datada</t>
        </is>
      </c>
      <c r="J74" s="3" t="inlineStr">
        <is>
          <t>OBSERVADA</t>
        </is>
      </c>
      <c r="K74" s="3" t="inlineStr">
        <is>
          <t>13 desta missao</t>
        </is>
      </c>
    </row>
    <row r="75">
      <c r="A75" s="3" t="inlineStr">
        <is>
          <t>Calendario fenologico e Forum Fitoiatrico del Condifesa TVB</t>
        </is>
      </c>
      <c r="B75" s="3" t="inlineStr">
        <is>
          <t>Condifesa Treviso e Belluno</t>
        </is>
      </c>
      <c r="C75" s="3" t="inlineStr">
        <is>
          <t>https://www.condifesatvb.it/forum-fitoiatrico/</t>
        </is>
      </c>
      <c r="D75" s="3" t="inlineStr">
        <is>
          <t>VALIDATED_BUT_SECONDARY</t>
        </is>
      </c>
      <c r="E75" s="3" t="inlineStr">
        <is>
          <t>SECONDARY</t>
        </is>
      </c>
      <c r="F75" s="3" t="inlineStr">
        <is>
          <t>VOICES</t>
        </is>
      </c>
      <c r="G75" s="3" t="inlineStr">
        <is>
          <t>PAPEL de quem fala (produtor? tecnico? amador?)</t>
        </is>
      </c>
      <c r="H75" s="3" t="inlineStr">
        <is>
          <t>Treviso e Belluno (Veneto)</t>
        </is>
      </c>
      <c r="I75" s="3" t="inlineStr">
        <is>
          <t>MEDIUM — anual (forum) mais serie de campanha (calendario)</t>
        </is>
      </c>
      <c r="J75" s="3" t="inlineStr">
        <is>
          <t>DECLARADA</t>
        </is>
      </c>
      <c r="K75" s="3" t="inlineStr">
        <is>
          <t>37 da missao anterior</t>
        </is>
      </c>
    </row>
    <row r="76">
      <c r="A76" s="3" t="inlineStr">
        <is>
          <t>Calendario fenologico e Forum Fitoiatrico del Condifesa TVB</t>
        </is>
      </c>
      <c r="B76" s="3" t="inlineStr">
        <is>
          <t>Condifesa Treviso e Belluno</t>
        </is>
      </c>
      <c r="C76" s="3" t="inlineStr">
        <is>
          <t>https://www.condifesatvb.it/forum-fitoiatrico/</t>
        </is>
      </c>
      <c r="D76" s="3" t="inlineStr">
        <is>
          <t>VALIDATED_BUT_SECONDARY</t>
        </is>
      </c>
      <c r="E76" s="3" t="inlineStr">
        <is>
          <t>SECONDARY</t>
        </is>
      </c>
      <c r="F76" s="3" t="inlineStr">
        <is>
          <t>VOICES</t>
        </is>
      </c>
      <c r="G76" s="3" t="inlineStr">
        <is>
          <t>REGIAO da voz de campo</t>
        </is>
      </c>
      <c r="H76" s="3" t="inlineStr">
        <is>
          <t>Treviso e Belluno (Veneto)</t>
        </is>
      </c>
      <c r="I76" s="3" t="inlineStr">
        <is>
          <t>MEDIUM — anual (forum) mais serie de campanha (calendario)</t>
        </is>
      </c>
      <c r="J76" s="3" t="inlineStr">
        <is>
          <t>DECLARADA</t>
        </is>
      </c>
      <c r="K76" s="3" t="inlineStr">
        <is>
          <t>37 da missao anterior</t>
        </is>
      </c>
    </row>
    <row r="77">
      <c r="A77" s="3" t="inlineStr">
        <is>
          <t>Calendario fenologico e Forum Fitoiatrico del Condifesa TVB</t>
        </is>
      </c>
      <c r="B77" s="3" t="inlineStr">
        <is>
          <t>Condifesa Treviso e Belluno</t>
        </is>
      </c>
      <c r="C77" s="3" t="inlineStr">
        <is>
          <t>https://www.condifesatvb.it/forum-fitoiatrico/</t>
        </is>
      </c>
      <c r="D77" s="3" t="inlineStr">
        <is>
          <t>VALIDATED_BUT_SECONDARY</t>
        </is>
      </c>
      <c r="E77" s="3" t="inlineStr">
        <is>
          <t>SECONDARY</t>
        </is>
      </c>
      <c r="F77" s="3" t="inlineStr">
        <is>
          <t>VOICES</t>
        </is>
      </c>
      <c r="G77" s="3" t="inlineStr">
        <is>
          <t>DATA da observacao de campo</t>
        </is>
      </c>
      <c r="H77" s="3" t="inlineStr">
        <is>
          <t>Treviso e Belluno (Veneto)</t>
        </is>
      </c>
      <c r="I77" s="3" t="inlineStr">
        <is>
          <t>MEDIUM — anual (forum) mais serie de campanha (calendario)</t>
        </is>
      </c>
      <c r="J77" s="3" t="inlineStr">
        <is>
          <t>DECLARADA</t>
        </is>
      </c>
      <c r="K77" s="3" t="inlineStr">
        <is>
          <t>37 da missao anterior</t>
        </is>
      </c>
    </row>
    <row r="78">
      <c r="A78" s="3" t="inlineStr">
        <is>
          <t>Federazioni e Ordini dei Dottori Agronomi e Forestali</t>
        </is>
      </c>
      <c r="B78" s="3" t="inlineStr">
        <is>
          <t>CONAF e as federacoes regionais</t>
        </is>
      </c>
      <c r="C78" s="3" t="inlineStr">
        <is>
          <t>https://www.conaf.it/</t>
        </is>
      </c>
      <c r="D78" s="3" t="inlineStr">
        <is>
          <t>VALIDATED_BUT_SECONDARY</t>
        </is>
      </c>
      <c r="E78" s="3" t="inlineStr">
        <is>
          <t>SECONDARY</t>
        </is>
      </c>
      <c r="F78" s="3" t="inlineStr">
        <is>
          <t>VOICES</t>
        </is>
      </c>
      <c r="G78" s="3" t="inlineStr">
        <is>
          <t>PAPEL de quem fala (produtor? tecnico? amador?)</t>
        </is>
      </c>
      <c r="H78" s="3" t="inlineStr">
        <is>
          <t>NACIONAL, por federacao regional</t>
        </is>
      </c>
      <c r="I78" s="3" t="inlineStr">
        <is>
          <t>HIGH — o albo e' mantido</t>
        </is>
      </c>
      <c r="J78" s="3" t="inlineStr">
        <is>
          <t>OBSERVADA</t>
        </is>
      </c>
      <c r="K78" s="3" t="inlineStr">
        <is>
          <t>37 da missao anterior</t>
        </is>
      </c>
    </row>
    <row r="79">
      <c r="A79" s="3" t="inlineStr">
        <is>
          <t>Federazioni e Ordini dei Dottori Agronomi e Forestali</t>
        </is>
      </c>
      <c r="B79" s="3" t="inlineStr">
        <is>
          <t>CONAF e as federacoes regionais</t>
        </is>
      </c>
      <c r="C79" s="3" t="inlineStr">
        <is>
          <t>https://www.conaf.it/</t>
        </is>
      </c>
      <c r="D79" s="3" t="inlineStr">
        <is>
          <t>VALIDATED_BUT_SECONDARY</t>
        </is>
      </c>
      <c r="E79" s="3" t="inlineStr">
        <is>
          <t>SECONDARY</t>
        </is>
      </c>
      <c r="F79" s="3" t="inlineStr">
        <is>
          <t>VOICES</t>
        </is>
      </c>
      <c r="G79" s="3" t="inlineStr">
        <is>
          <t>REGIAO da voz de campo</t>
        </is>
      </c>
      <c r="H79" s="3" t="inlineStr">
        <is>
          <t>NACIONAL, por federacao regional</t>
        </is>
      </c>
      <c r="I79" s="3" t="inlineStr">
        <is>
          <t>HIGH — o albo e' mantido</t>
        </is>
      </c>
      <c r="J79" s="3" t="inlineStr">
        <is>
          <t>OBSERVADA</t>
        </is>
      </c>
      <c r="K79" s="3" t="inlineStr">
        <is>
          <t>37 da missao anterior</t>
        </is>
      </c>
    </row>
    <row r="80">
      <c r="A80" s="3" t="inlineStr">
        <is>
          <t>Salute delle piante in Lombardia · app Fitodetective</t>
        </is>
      </c>
      <c r="B80" s="3" t="inlineStr">
        <is>
          <t>Regione Lombardia — Servizio Fitosanitario regionale</t>
        </is>
      </c>
      <c r="C80" s="3" t="inlineStr">
        <is>
          <t>https://www.salutepianteinlombardia.it/</t>
        </is>
      </c>
      <c r="D80" s="3" t="inlineStr">
        <is>
          <t>VALIDATED_USEFUL</t>
        </is>
      </c>
      <c r="E80" s="3" t="inlineStr">
        <is>
          <t>PRIMARY</t>
        </is>
      </c>
      <c r="F80" s="3" t="inlineStr">
        <is>
          <t>VOICES</t>
        </is>
      </c>
      <c r="G80" s="3" t="inlineStr">
        <is>
          <t>REGIAO da voz de campo</t>
        </is>
      </c>
      <c r="H80" s="3" t="inlineStr">
        <is>
          <t>Lombardia</t>
        </is>
      </c>
      <c r="I80" s="3" t="inlineStr">
        <is>
          <t>MEDIUM — por evento</t>
        </is>
      </c>
      <c r="J80" s="3" t="inlineStr">
        <is>
          <t>OBSERVADA</t>
        </is>
      </c>
      <c r="K80" s="3" t="inlineStr">
        <is>
          <t>37 da missao anterior</t>
        </is>
      </c>
    </row>
    <row r="81">
      <c r="A81" s="3" t="inlineStr">
        <is>
          <t>Avvisi fitosanitari per viticoltori e per frutticoltori</t>
        </is>
      </c>
      <c r="B81" s="3" t="inlineStr">
        <is>
          <t>Regione autonoma Valle d'Aosta — Ufficio servizi fitosanitari (Assessorato Agricoltura e Risorse naturali)</t>
        </is>
      </c>
      <c r="C81" s="3" t="inlineStr">
        <is>
          <t>https://www.regione.vda.it/agricoltura/per_gli_agricoltori/fitosanitario/avvisi/viticoltura_i.asp</t>
        </is>
      </c>
      <c r="D81" s="3" t="inlineStr">
        <is>
          <t>VALIDATED_USEFUL</t>
        </is>
      </c>
      <c r="E81" s="3" t="inlineStr">
        <is>
          <t>PRIMARY</t>
        </is>
      </c>
      <c r="F81" s="3" t="inlineStr">
        <is>
          <t>WINDOWS</t>
        </is>
      </c>
      <c r="G81" s="3" t="inlineStr">
        <is>
          <t>FASE DO PROBLEMA (em que estadio esta a praga/doenca)</t>
        </is>
      </c>
      <c r="H81" s="3" t="inlineStr">
        <is>
          <t>Valle d'Aosta</t>
        </is>
      </c>
      <c r="I81" s="3" t="inlineStr">
        <is>
          <t>MEDIUM — de campanha, por evento de armadilha</t>
        </is>
      </c>
      <c r="J81" s="3" t="inlineStr">
        <is>
          <t>OBSERVADA</t>
        </is>
      </c>
      <c r="K81" s="3" t="inlineStr">
        <is>
          <t>13 desta missao</t>
        </is>
      </c>
    </row>
    <row r="82">
      <c r="A82" s="3" t="inlineStr">
        <is>
          <t>Avvisi fitosanitari per viticoltori e per frutticoltori</t>
        </is>
      </c>
      <c r="B82" s="3" t="inlineStr">
        <is>
          <t>Regione autonoma Valle d'Aosta — Ufficio servizi fitosanitari (Assessorato Agricoltura e Risorse naturali)</t>
        </is>
      </c>
      <c r="C82" s="3" t="inlineStr">
        <is>
          <t>https://www.regione.vda.it/agricoltura/per_gli_agricoltori/fitosanitario/avvisi/viticoltura_i.asp</t>
        </is>
      </c>
      <c r="D82" s="3" t="inlineStr">
        <is>
          <t>VALIDATED_USEFUL</t>
        </is>
      </c>
      <c r="E82" s="3" t="inlineStr">
        <is>
          <t>PRIMARY</t>
        </is>
      </c>
      <c r="F82" s="3" t="inlineStr">
        <is>
          <t>WINDOWS</t>
        </is>
      </c>
      <c r="G82" s="3" t="inlineStr">
        <is>
          <t>Janela de monitorizacao (quando ir olhar)</t>
        </is>
      </c>
      <c r="H82" s="3" t="inlineStr">
        <is>
          <t>Valle d'Aosta</t>
        </is>
      </c>
      <c r="I82" s="3" t="inlineStr">
        <is>
          <t>MEDIUM — de campanha, por evento de armadilha</t>
        </is>
      </c>
      <c r="J82" s="3" t="inlineStr">
        <is>
          <t>OBSERVADA</t>
        </is>
      </c>
      <c r="K82" s="3" t="inlineStr">
        <is>
          <t>13 desta missao</t>
        </is>
      </c>
    </row>
    <row r="83">
      <c r="A83" s="3" t="inlineStr">
        <is>
          <t>Avvisi fitosanitari per viticoltori e per frutticoltori</t>
        </is>
      </c>
      <c r="B83" s="3" t="inlineStr">
        <is>
          <t>Regione autonoma Valle d'Aosta — Ufficio servizi fitosanitari (Assessorato Agricoltura e Risorse naturali)</t>
        </is>
      </c>
      <c r="C83" s="3" t="inlineStr">
        <is>
          <t>https://www.regione.vda.it/agricoltura/per_gli_agricoltori/fitosanitario/avvisi/viticoltura_i.asp</t>
        </is>
      </c>
      <c r="D83" s="3" t="inlineStr">
        <is>
          <t>VALIDATED_USEFUL</t>
        </is>
      </c>
      <c r="E83" s="3" t="inlineStr">
        <is>
          <t>PRIMARY</t>
        </is>
      </c>
      <c r="F83" s="3" t="inlineStr">
        <is>
          <t>WINDOWS</t>
        </is>
      </c>
      <c r="G83" s="3" t="inlineStr">
        <is>
          <t>ATO REGULATORIO regional que abre/fecha a janela</t>
        </is>
      </c>
      <c r="H83" s="3" t="inlineStr">
        <is>
          <t>Valle d'Aosta</t>
        </is>
      </c>
      <c r="I83" s="3" t="inlineStr">
        <is>
          <t>MEDIUM — de campanha, por evento de armadilha</t>
        </is>
      </c>
      <c r="J83" s="3" t="inlineStr">
        <is>
          <t>OBSERVADA</t>
        </is>
      </c>
      <c r="K83" s="3" t="inlineStr">
        <is>
          <t>13 desta missao</t>
        </is>
      </c>
    </row>
    <row r="84">
      <c r="A84" s="3" t="inlineStr">
        <is>
          <t>Bollettini agronomici per vite dell'Ufficio Agronomico</t>
        </is>
      </c>
      <c r="B84" s="3" t="inlineStr">
        <is>
          <t>Terre dell'Etruria — cooperativa agricola (Toscana)</t>
        </is>
      </c>
      <c r="C84" s="3" t="inlineStr">
        <is>
          <t>https://www.terretruria.it/agronomi/vite/16-bollettini-agronomici-per-vite/</t>
        </is>
      </c>
      <c r="D84" s="3" t="inlineStr">
        <is>
          <t>VALIDATED_USEFUL</t>
        </is>
      </c>
      <c r="E84" s="3" t="inlineStr">
        <is>
          <t>PRIMARY</t>
        </is>
      </c>
      <c r="F84" s="3" t="inlineStr">
        <is>
          <t>WINDOWS</t>
        </is>
      </c>
      <c r="G84" s="3" t="inlineStr">
        <is>
          <t>FASE DO PROBLEMA (em que estadio esta a praga/doenca)</t>
        </is>
      </c>
      <c r="H84" s="3" t="inlineStr">
        <is>
          <t>Toscana costeira (Livorno/Grosseto)</t>
        </is>
      </c>
      <c r="I84" s="3" t="inlineStr">
        <is>
          <t>MEDIUM — declarado como serie, sem periodicidade escrita</t>
        </is>
      </c>
      <c r="J84" s="3" t="inlineStr">
        <is>
          <t>OBSERVADA</t>
        </is>
      </c>
      <c r="K84" s="3" t="inlineStr">
        <is>
          <t>37 da missao anterior</t>
        </is>
      </c>
    </row>
    <row r="85">
      <c r="A85" s="3" t="inlineStr">
        <is>
          <t>Bollettini colture estensive / seminativi</t>
        </is>
      </c>
      <c r="B85" s="3" t="inlineStr">
        <is>
          <t>Regione del Veneto — U.O. Fitosanitario, com a Veneto Agricoltura</t>
        </is>
      </c>
      <c r="C85" s="3" t="inlineStr">
        <is>
          <t>https://www.regione.veneto.it/web/fitosanitario/bollettini-seminativi</t>
        </is>
      </c>
      <c r="D85" s="3" t="inlineStr">
        <is>
          <t>VALIDATED_STRONG</t>
        </is>
      </c>
      <c r="E85" s="3" t="inlineStr">
        <is>
          <t>PRIMARY</t>
        </is>
      </c>
      <c r="F85" s="3" t="inlineStr">
        <is>
          <t>WINDOWS</t>
        </is>
      </c>
      <c r="G85" s="3" t="inlineStr">
        <is>
          <t>FASE FENOLOGICA DA CULTURA (o que a planta esta a fazer)</t>
        </is>
      </c>
      <c r="H85" s="3" t="inlineStr">
        <is>
          <t>Veneto</t>
        </is>
      </c>
      <c r="I85" s="3" t="inlineStr">
        <is>
          <t>HIGH — semanal, numerada e datada</t>
        </is>
      </c>
      <c r="J85" s="3" t="inlineStr">
        <is>
          <t>OBSERVADA</t>
        </is>
      </c>
      <c r="K85" s="3" t="inlineStr">
        <is>
          <t>13 desta missao</t>
        </is>
      </c>
    </row>
    <row r="86">
      <c r="A86" s="3" t="inlineStr">
        <is>
          <t>Bollettini colture estensive / seminativi</t>
        </is>
      </c>
      <c r="B86" s="3" t="inlineStr">
        <is>
          <t>Regione del Veneto — U.O. Fitosanitario, com a Veneto Agricoltura</t>
        </is>
      </c>
      <c r="C86" s="3" t="inlineStr">
        <is>
          <t>https://www.regione.veneto.it/web/fitosanitario/bollettini-seminativi</t>
        </is>
      </c>
      <c r="D86" s="3" t="inlineStr">
        <is>
          <t>VALIDATED_STRONG</t>
        </is>
      </c>
      <c r="E86" s="3" t="inlineStr">
        <is>
          <t>PRIMARY</t>
        </is>
      </c>
      <c r="F86" s="3" t="inlineStr">
        <is>
          <t>WINDOWS</t>
        </is>
      </c>
      <c r="G86" s="3" t="inlineStr">
        <is>
          <t>FASE DO PROBLEMA (em que estadio esta a praga/doenca)</t>
        </is>
      </c>
      <c r="H86" s="3" t="inlineStr">
        <is>
          <t>Veneto</t>
        </is>
      </c>
      <c r="I86" s="3" t="inlineStr">
        <is>
          <t>HIGH — semanal, numerada e datada</t>
        </is>
      </c>
      <c r="J86" s="3" t="inlineStr">
        <is>
          <t>OBSERVADA</t>
        </is>
      </c>
      <c r="K86" s="3" t="inlineStr">
        <is>
          <t>13 desta missao</t>
        </is>
      </c>
    </row>
    <row r="87">
      <c r="A87" s="3" t="inlineStr">
        <is>
          <t>Bollettini colture estensive / seminativi</t>
        </is>
      </c>
      <c r="B87" s="3" t="inlineStr">
        <is>
          <t>Regione del Veneto — U.O. Fitosanitario, com a Veneto Agricoltura</t>
        </is>
      </c>
      <c r="C87" s="3" t="inlineStr">
        <is>
          <t>https://www.regione.veneto.it/web/fitosanitario/bollettini-seminativi</t>
        </is>
      </c>
      <c r="D87" s="3" t="inlineStr">
        <is>
          <t>VALIDATED_STRONG</t>
        </is>
      </c>
      <c r="E87" s="3" t="inlineStr">
        <is>
          <t>PRIMARY</t>
        </is>
      </c>
      <c r="F87" s="3" t="inlineStr">
        <is>
          <t>WINDOWS</t>
        </is>
      </c>
      <c r="G87" s="3" t="inlineStr">
        <is>
          <t>Datas de inicio e fim da janela</t>
        </is>
      </c>
      <c r="H87" s="3" t="inlineStr">
        <is>
          <t>Veneto</t>
        </is>
      </c>
      <c r="I87" s="3" t="inlineStr">
        <is>
          <t>HIGH — semanal, numerada e datada</t>
        </is>
      </c>
      <c r="J87" s="3" t="inlineStr">
        <is>
          <t>OBSERVADA</t>
        </is>
      </c>
      <c r="K87" s="3" t="inlineStr">
        <is>
          <t>13 desta missao</t>
        </is>
      </c>
    </row>
    <row r="88">
      <c r="A88" s="3" t="inlineStr">
        <is>
          <t>Bollettini colture estensive / seminativi</t>
        </is>
      </c>
      <c r="B88" s="3" t="inlineStr">
        <is>
          <t>Regione del Veneto — U.O. Fitosanitario, com a Veneto Agricoltura</t>
        </is>
      </c>
      <c r="C88" s="3" t="inlineStr">
        <is>
          <t>https://www.regione.veneto.it/web/fitosanitario/bollettini-seminativi</t>
        </is>
      </c>
      <c r="D88" s="3" t="inlineStr">
        <is>
          <t>VALIDATED_STRONG</t>
        </is>
      </c>
      <c r="E88" s="3" t="inlineStr">
        <is>
          <t>PRIMARY</t>
        </is>
      </c>
      <c r="F88" s="3" t="inlineStr">
        <is>
          <t>WINDOWS</t>
        </is>
      </c>
      <c r="G88" s="3" t="inlineStr">
        <is>
          <t>Janela de monitorizacao (quando ir olhar)</t>
        </is>
      </c>
      <c r="H88" s="3" t="inlineStr">
        <is>
          <t>Veneto</t>
        </is>
      </c>
      <c r="I88" s="3" t="inlineStr">
        <is>
          <t>HIGH — semanal, numerada e datada</t>
        </is>
      </c>
      <c r="J88" s="3" t="inlineStr">
        <is>
          <t>OBSERVADA</t>
        </is>
      </c>
      <c r="K88" s="3" t="inlineStr">
        <is>
          <t>13 desta missao</t>
        </is>
      </c>
    </row>
    <row r="89">
      <c r="A89" s="3" t="inlineStr">
        <is>
          <t>Bollettini di produzione integrata — pomodoro da industria</t>
        </is>
      </c>
      <c r="B89" s="3" t="inlineStr">
        <is>
          <t>Consorzi Fitosanitari Provinciali de Reggio Emilia, Modena, Parma e Piacenza</t>
        </is>
      </c>
      <c r="C89" s="3" t="inlineStr">
        <is>
          <t>https://www.fitosanitario.re.it/bollettino-singole-colture/</t>
        </is>
      </c>
      <c r="D89" s="3" t="inlineStr">
        <is>
          <t>VALIDATED_STRONG</t>
        </is>
      </c>
      <c r="E89" s="3" t="inlineStr">
        <is>
          <t>PRIMARY</t>
        </is>
      </c>
      <c r="F89" s="3" t="inlineStr">
        <is>
          <t>WINDOWS</t>
        </is>
      </c>
      <c r="G89" s="3" t="inlineStr">
        <is>
          <t>FASE FENOLOGICA DA CULTURA (o que a planta esta a fazer)</t>
        </is>
      </c>
      <c r="H89" s="3" t="inlineStr">
        <is>
          <t>provincias de Reggio Emilia, Modena, Parma e Piacenza</t>
        </is>
      </c>
      <c r="I89" s="3" t="inlineStr">
        <is>
          <t>HIGH — semanal na campanha</t>
        </is>
      </c>
      <c r="J89" s="3" t="inlineStr">
        <is>
          <t>OBSERVADA</t>
        </is>
      </c>
      <c r="K89" s="3" t="inlineStr">
        <is>
          <t>13 desta missao</t>
        </is>
      </c>
    </row>
    <row r="90">
      <c r="A90" s="3" t="inlineStr">
        <is>
          <t>Bollettini di produzione integrata — pomodoro da industria</t>
        </is>
      </c>
      <c r="B90" s="3" t="inlineStr">
        <is>
          <t>Consorzi Fitosanitari Provinciali de Reggio Emilia, Modena, Parma e Piacenza</t>
        </is>
      </c>
      <c r="C90" s="3" t="inlineStr">
        <is>
          <t>https://www.fitosanitario.re.it/bollettino-singole-colture/</t>
        </is>
      </c>
      <c r="D90" s="3" t="inlineStr">
        <is>
          <t>VALIDATED_STRONG</t>
        </is>
      </c>
      <c r="E90" s="3" t="inlineStr">
        <is>
          <t>PRIMARY</t>
        </is>
      </c>
      <c r="F90" s="3" t="inlineStr">
        <is>
          <t>WINDOWS</t>
        </is>
      </c>
      <c r="G90" s="3" t="inlineStr">
        <is>
          <t>FASE DO PROBLEMA (em que estadio esta a praga/doenca)</t>
        </is>
      </c>
      <c r="H90" s="3" t="inlineStr">
        <is>
          <t>provincias de Reggio Emilia, Modena, Parma e Piacenza</t>
        </is>
      </c>
      <c r="I90" s="3" t="inlineStr">
        <is>
          <t>HIGH — semanal na campanha</t>
        </is>
      </c>
      <c r="J90" s="3" t="inlineStr">
        <is>
          <t>OBSERVADA</t>
        </is>
      </c>
      <c r="K90" s="3" t="inlineStr">
        <is>
          <t>13 desta missao</t>
        </is>
      </c>
    </row>
    <row r="91">
      <c r="A91" s="3" t="inlineStr">
        <is>
          <t>Bollettini di produzione integrata — pomodoro da industria</t>
        </is>
      </c>
      <c r="B91" s="3" t="inlineStr">
        <is>
          <t>Consorzi Fitosanitari Provinciali de Reggio Emilia, Modena, Parma e Piacenza</t>
        </is>
      </c>
      <c r="C91" s="3" t="inlineStr">
        <is>
          <t>https://www.fitosanitario.re.it/bollettino-singole-colture/</t>
        </is>
      </c>
      <c r="D91" s="3" t="inlineStr">
        <is>
          <t>VALIDATED_STRONG</t>
        </is>
      </c>
      <c r="E91" s="3" t="inlineStr">
        <is>
          <t>PRIMARY</t>
        </is>
      </c>
      <c r="F91" s="3" t="inlineStr">
        <is>
          <t>WINDOWS</t>
        </is>
      </c>
      <c r="G91" s="3" t="inlineStr">
        <is>
          <t>OBSERVACAO DE CAMPO (fase observada, nao esperada)</t>
        </is>
      </c>
      <c r="H91" s="3" t="inlineStr">
        <is>
          <t>provincias de Reggio Emilia, Modena, Parma e Piacenza</t>
        </is>
      </c>
      <c r="I91" s="3" t="inlineStr">
        <is>
          <t>HIGH — semanal na campanha</t>
        </is>
      </c>
      <c r="J91" s="3" t="inlineStr">
        <is>
          <t>OBSERVADA</t>
        </is>
      </c>
      <c r="K91" s="3" t="inlineStr">
        <is>
          <t>13 desta missao</t>
        </is>
      </c>
    </row>
    <row r="92">
      <c r="A92" s="3" t="inlineStr">
        <is>
          <t>Bollettini di viticoltura e di olivicoltura del CAAR</t>
        </is>
      </c>
      <c r="B92" s="3" t="inlineStr">
        <is>
          <t>Regione Liguria — CAAR / Servizi Imprese Agricole</t>
        </is>
      </c>
      <c r="C92" s="3" t="inlineStr">
        <is>
          <t>https://www.agriligurianet.it/it/impresa/assistenza-tecnica-e-centri-serivizio/agrometeo-caar/bollettino-di-olivicoltura.html</t>
        </is>
      </c>
      <c r="D92" s="3" t="inlineStr">
        <is>
          <t>VALIDATED_BUT_SECONDARY</t>
        </is>
      </c>
      <c r="E92" s="3" t="inlineStr">
        <is>
          <t>SECONDARY</t>
        </is>
      </c>
      <c r="F92" s="3" t="inlineStr">
        <is>
          <t>WINDOWS</t>
        </is>
      </c>
      <c r="G92" s="3" t="inlineStr">
        <is>
          <t>FASE FENOLOGICA DA CULTURA (o que a planta esta a fazer)</t>
        </is>
      </c>
      <c r="H92" s="3" t="inlineStr">
        <is>
          <t>Liguria, por provincia (GE/IM/SP/SV)</t>
        </is>
      </c>
      <c r="I92" s="3" t="inlineStr">
        <is>
          <t>HIGH — semanal de abril a setembro, mensal de outubro a marco</t>
        </is>
      </c>
      <c r="J92" s="3" t="inlineStr">
        <is>
          <t>DECLARADA</t>
        </is>
      </c>
      <c r="K92" s="3" t="inlineStr">
        <is>
          <t>37 da missao anterior</t>
        </is>
      </c>
    </row>
    <row r="93">
      <c r="A93" s="3" t="inlineStr">
        <is>
          <t>Bollettini di viticoltura e di olivicoltura del CAAR</t>
        </is>
      </c>
      <c r="B93" s="3" t="inlineStr">
        <is>
          <t>Regione Liguria — CAAR / Servizi Imprese Agricole</t>
        </is>
      </c>
      <c r="C93" s="3" t="inlineStr">
        <is>
          <t>https://www.agriligurianet.it/it/impresa/assistenza-tecnica-e-centri-serivizio/agrometeo-caar/bollettino-di-olivicoltura.html</t>
        </is>
      </c>
      <c r="D93" s="3" t="inlineStr">
        <is>
          <t>VALIDATED_BUT_SECONDARY</t>
        </is>
      </c>
      <c r="E93" s="3" t="inlineStr">
        <is>
          <t>SECONDARY</t>
        </is>
      </c>
      <c r="F93" s="3" t="inlineStr">
        <is>
          <t>WINDOWS</t>
        </is>
      </c>
      <c r="G93" s="3" t="inlineStr">
        <is>
          <t>Datas de inicio e fim da janela</t>
        </is>
      </c>
      <c r="H93" s="3" t="inlineStr">
        <is>
          <t>Liguria, por provincia (GE/IM/SP/SV)</t>
        </is>
      </c>
      <c r="I93" s="3" t="inlineStr">
        <is>
          <t>HIGH — semanal de abril a setembro, mensal de outubro a marco</t>
        </is>
      </c>
      <c r="J93" s="3" t="inlineStr">
        <is>
          <t>DECLARADA</t>
        </is>
      </c>
      <c r="K93" s="3" t="inlineStr">
        <is>
          <t>37 da missao anterior</t>
        </is>
      </c>
    </row>
    <row r="94">
      <c r="A94" s="3" t="inlineStr">
        <is>
          <t>Bollettini di viticoltura e di olivicoltura del CAAR</t>
        </is>
      </c>
      <c r="B94" s="3" t="inlineStr">
        <is>
          <t>Regione Liguria — CAAR / Servizi Imprese Agricole</t>
        </is>
      </c>
      <c r="C94" s="3" t="inlineStr">
        <is>
          <t>https://www.agriligurianet.it/it/impresa/assistenza-tecnica-e-centri-serivizio/agrometeo-caar/bollettino-di-olivicoltura.html</t>
        </is>
      </c>
      <c r="D94" s="3" t="inlineStr">
        <is>
          <t>VALIDATED_BUT_SECONDARY</t>
        </is>
      </c>
      <c r="E94" s="3" t="inlineStr">
        <is>
          <t>SECONDARY</t>
        </is>
      </c>
      <c r="F94" s="3" t="inlineStr">
        <is>
          <t>WINDOWS</t>
        </is>
      </c>
      <c r="G94" s="3" t="inlineStr">
        <is>
          <t>OBSERVACAO DE CAMPO (fase observada, nao esperada)</t>
        </is>
      </c>
      <c r="H94" s="3" t="inlineStr">
        <is>
          <t>Liguria, por provincia (GE/IM/SP/SV)</t>
        </is>
      </c>
      <c r="I94" s="3" t="inlineStr">
        <is>
          <t>HIGH — semanal de abril a setembro, mensal de outubro a marco</t>
        </is>
      </c>
      <c r="J94" s="3" t="inlineStr">
        <is>
          <t>DECLARADA</t>
        </is>
      </c>
      <c r="K94" s="3" t="inlineStr">
        <is>
          <t>37 da missao anterior</t>
        </is>
      </c>
    </row>
    <row r="95">
      <c r="A95" s="3" t="inlineStr">
        <is>
          <t>Bollettini fenologici di uno studio agronomico privato (Agralia)</t>
        </is>
      </c>
      <c r="B95" s="3" t="inlineStr">
        <is>
          <t>Agralia Studio Agronomico — Brescia</t>
        </is>
      </c>
      <c r="C95" s="3" t="inlineStr">
        <is>
          <t>https://www.agralia.it/</t>
        </is>
      </c>
      <c r="D95" s="3" t="inlineStr">
        <is>
          <t>VALIDATED_USEFUL</t>
        </is>
      </c>
      <c r="E95" s="3" t="inlineStr">
        <is>
          <t>PRIMARY</t>
        </is>
      </c>
      <c r="F95" s="3" t="inlineStr">
        <is>
          <t>WINDOWS</t>
        </is>
      </c>
      <c r="G95" s="3" t="inlineStr">
        <is>
          <t>FASE FENOLOGICA DA CULTURA (o que a planta esta a fazer)</t>
        </is>
      </c>
      <c r="H95" s="3" t="inlineStr">
        <is>
          <t>Brescia / Lombardia</t>
        </is>
      </c>
      <c r="I95" s="3" t="inlineStr">
        <is>
          <t>MEDIUM — periodico, mas periodicidade nao declarada</t>
        </is>
      </c>
      <c r="J95" s="3" t="inlineStr">
        <is>
          <t>OBSERVADA</t>
        </is>
      </c>
      <c r="K95" s="3" t="inlineStr">
        <is>
          <t>37 da missao anterior</t>
        </is>
      </c>
    </row>
    <row r="96">
      <c r="A96" s="3" t="inlineStr">
        <is>
          <t>Bollettini fenologici di uno studio agronomico privato (Agralia)</t>
        </is>
      </c>
      <c r="B96" s="3" t="inlineStr">
        <is>
          <t>Agralia Studio Agronomico — Brescia</t>
        </is>
      </c>
      <c r="C96" s="3" t="inlineStr">
        <is>
          <t>https://www.agralia.it/</t>
        </is>
      </c>
      <c r="D96" s="3" t="inlineStr">
        <is>
          <t>VALIDATED_USEFUL</t>
        </is>
      </c>
      <c r="E96" s="3" t="inlineStr">
        <is>
          <t>PRIMARY</t>
        </is>
      </c>
      <c r="F96" s="3" t="inlineStr">
        <is>
          <t>WINDOWS</t>
        </is>
      </c>
      <c r="G96" s="3" t="inlineStr">
        <is>
          <t>OBSERVACAO DE CAMPO (fase observada, nao esperada)</t>
        </is>
      </c>
      <c r="H96" s="3" t="inlineStr">
        <is>
          <t>Brescia / Lombardia</t>
        </is>
      </c>
      <c r="I96" s="3" t="inlineStr">
        <is>
          <t>MEDIUM — periodico, mas periodicidade nao declarada</t>
        </is>
      </c>
      <c r="J96" s="3" t="inlineStr">
        <is>
          <t>OBSERVADA</t>
        </is>
      </c>
      <c r="K96" s="3" t="inlineStr">
        <is>
          <t>37 da missao anterior</t>
        </is>
      </c>
    </row>
    <row r="97">
      <c r="A97" s="3" t="inlineStr">
        <is>
          <t>Bollettini fitosanitari — Unita territoriali di monitoraggio (UTM)</t>
        </is>
      </c>
      <c r="B97" s="3" t="inlineStr">
        <is>
          <t>Regione Campania — UOS Servizio Fitosanitario e estruturas provinciais</t>
        </is>
      </c>
      <c r="C97" s="3" t="inlineStr">
        <is>
          <t>https://agricoltura.regione.campania.it/difesa/bollettini/bollettini_2026.html</t>
        </is>
      </c>
      <c r="D97" s="3" t="inlineStr">
        <is>
          <t>VALIDATED_STRONG</t>
        </is>
      </c>
      <c r="E97" s="3" t="inlineStr">
        <is>
          <t>PRIMARY</t>
        </is>
      </c>
      <c r="F97" s="3" t="inlineStr">
        <is>
          <t>WINDOWS</t>
        </is>
      </c>
      <c r="G97" s="3" t="inlineStr">
        <is>
          <t>OBSERVACAO DE CAMPO (fase observada, nao esperada)</t>
        </is>
      </c>
      <c r="H97" s="3" t="inlineStr">
        <is>
          <t>Campania, por UTM</t>
        </is>
      </c>
      <c r="I97" s="3" t="inlineStr">
        <is>
          <t>HIGH — semanal na campanha, mensal fora dela</t>
        </is>
      </c>
      <c r="J97" s="3" t="inlineStr">
        <is>
          <t>OBSERVADA</t>
        </is>
      </c>
      <c r="K97" s="3" t="inlineStr">
        <is>
          <t>13 desta missao</t>
        </is>
      </c>
    </row>
    <row r="98">
      <c r="A98" s="3" t="inlineStr">
        <is>
          <t>Bollettini fitosanitari — Unita territoriali di monitoraggio (UTM)</t>
        </is>
      </c>
      <c r="B98" s="3" t="inlineStr">
        <is>
          <t>Regione Campania — UOS Servizio Fitosanitario e estruturas provinciais</t>
        </is>
      </c>
      <c r="C98" s="3" t="inlineStr">
        <is>
          <t>https://agricoltura.regione.campania.it/difesa/bollettini/bollettini_2026.html</t>
        </is>
      </c>
      <c r="D98" s="3" t="inlineStr">
        <is>
          <t>VALIDATED_STRONG</t>
        </is>
      </c>
      <c r="E98" s="3" t="inlineStr">
        <is>
          <t>PRIMARY</t>
        </is>
      </c>
      <c r="F98" s="3" t="inlineStr">
        <is>
          <t>WINDOWS</t>
        </is>
      </c>
      <c r="G98" s="3" t="inlineStr">
        <is>
          <t>FASE FENOLOGICA DA CULTURA (o que a planta esta a fazer)</t>
        </is>
      </c>
      <c r="H98" s="3" t="inlineStr">
        <is>
          <t>Campania, por UTM</t>
        </is>
      </c>
      <c r="I98" s="3" t="inlineStr">
        <is>
          <t>HIGH — semanal na campanha, mensal fora dela</t>
        </is>
      </c>
      <c r="J98" s="3" t="inlineStr">
        <is>
          <t>OBSERVADA</t>
        </is>
      </c>
      <c r="K98" s="3" t="inlineStr">
        <is>
          <t>13 desta missao</t>
        </is>
      </c>
    </row>
    <row r="99">
      <c r="A99" s="3" t="inlineStr">
        <is>
          <t>Bollettini fitosanitari — Unita territoriali di monitoraggio (UTM)</t>
        </is>
      </c>
      <c r="B99" s="3" t="inlineStr">
        <is>
          <t>Regione Campania — UOS Servizio Fitosanitario e estruturas provinciais</t>
        </is>
      </c>
      <c r="C99" s="3" t="inlineStr">
        <is>
          <t>https://agricoltura.regione.campania.it/difesa/bollettini/bollettini_2026.html</t>
        </is>
      </c>
      <c r="D99" s="3" t="inlineStr">
        <is>
          <t>VALIDATED_STRONG</t>
        </is>
      </c>
      <c r="E99" s="3" t="inlineStr">
        <is>
          <t>PRIMARY</t>
        </is>
      </c>
      <c r="F99" s="3" t="inlineStr">
        <is>
          <t>WINDOWS</t>
        </is>
      </c>
      <c r="G99" s="3" t="inlineStr">
        <is>
          <t>Cultura e regiao da janela</t>
        </is>
      </c>
      <c r="H99" s="3" t="inlineStr">
        <is>
          <t>Campania, por UTM</t>
        </is>
      </c>
      <c r="I99" s="3" t="inlineStr">
        <is>
          <t>HIGH — semanal na campanha, mensal fora dela</t>
        </is>
      </c>
      <c r="J99" s="3" t="inlineStr">
        <is>
          <t>OBSERVADA</t>
        </is>
      </c>
      <c r="K99" s="3" t="inlineStr">
        <is>
          <t>13 desta missao</t>
        </is>
      </c>
    </row>
    <row r="100">
      <c r="A100" s="3" t="inlineStr">
        <is>
          <t>Bollettini interprovinciali di produzione integrata e biologica</t>
        </is>
      </c>
      <c r="B100" s="3" t="inlineStr">
        <is>
          <t>Regione Emilia-Romagna — Settore Fitosanitario, com os Consorzi Fitosanitari Provinciali</t>
        </is>
      </c>
      <c r="C100" s="3" t="inlineStr">
        <is>
          <t>https://agricoltura.regione.emilia-romagna.it/fitosanitario/difesa-sostenibile/bollettini</t>
        </is>
      </c>
      <c r="D100" s="3" t="inlineStr">
        <is>
          <t>VALIDATED_STRONG</t>
        </is>
      </c>
      <c r="E100" s="3" t="inlineStr">
        <is>
          <t>PRIMARY</t>
        </is>
      </c>
      <c r="F100" s="3" t="inlineStr">
        <is>
          <t>WINDOWS</t>
        </is>
      </c>
      <c r="G100" s="3" t="inlineStr">
        <is>
          <t>FASE FENOLOGICA DA CULTURA (o que a planta esta a fazer)</t>
        </is>
      </c>
      <c r="H100" s="3" t="inlineStr">
        <is>
          <t>Emilia-Romagna, em 6 areas interprovinciais</t>
        </is>
      </c>
      <c r="I100" s="3" t="inlineStr">
        <is>
          <t>HIGH — semanal, numerada e datada</t>
        </is>
      </c>
      <c r="J100" s="3" t="inlineStr">
        <is>
          <t>OBSERVADA</t>
        </is>
      </c>
      <c r="K100" s="3" t="inlineStr">
        <is>
          <t>13 desta missao</t>
        </is>
      </c>
    </row>
    <row r="101">
      <c r="A101" s="3" t="inlineStr">
        <is>
          <t>Bollettini interprovinciali di produzione integrata e biologica</t>
        </is>
      </c>
      <c r="B101" s="3" t="inlineStr">
        <is>
          <t>Regione Emilia-Romagna — Settore Fitosanitario, com os Consorzi Fitosanitari Provinciali</t>
        </is>
      </c>
      <c r="C101" s="3" t="inlineStr">
        <is>
          <t>https://agricoltura.regione.emilia-romagna.it/fitosanitario/difesa-sostenibile/bollettini</t>
        </is>
      </c>
      <c r="D101" s="3" t="inlineStr">
        <is>
          <t>VALIDATED_STRONG</t>
        </is>
      </c>
      <c r="E101" s="3" t="inlineStr">
        <is>
          <t>PRIMARY</t>
        </is>
      </c>
      <c r="F101" s="3" t="inlineStr">
        <is>
          <t>WINDOWS</t>
        </is>
      </c>
      <c r="G101" s="3" t="inlineStr">
        <is>
          <t>FASE DO PROBLEMA (em que estadio esta a praga/doenca)</t>
        </is>
      </c>
      <c r="H101" s="3" t="inlineStr">
        <is>
          <t>Emilia-Romagna, em 6 areas interprovinciais</t>
        </is>
      </c>
      <c r="I101" s="3" t="inlineStr">
        <is>
          <t>HIGH — semanal, numerada e datada</t>
        </is>
      </c>
      <c r="J101" s="3" t="inlineStr">
        <is>
          <t>OBSERVADA</t>
        </is>
      </c>
      <c r="K101" s="3" t="inlineStr">
        <is>
          <t>13 desta missao</t>
        </is>
      </c>
    </row>
    <row r="102">
      <c r="A102" s="3" t="inlineStr">
        <is>
          <t>Bollettini interprovinciali di produzione integrata e biologica</t>
        </is>
      </c>
      <c r="B102" s="3" t="inlineStr">
        <is>
          <t>Regione Emilia-Romagna — Settore Fitosanitario, com os Consorzi Fitosanitari Provinciali</t>
        </is>
      </c>
      <c r="C102" s="3" t="inlineStr">
        <is>
          <t>https://agricoltura.regione.emilia-romagna.it/fitosanitario/difesa-sostenibile/bollettini</t>
        </is>
      </c>
      <c r="D102" s="3" t="inlineStr">
        <is>
          <t>VALIDATED_STRONG</t>
        </is>
      </c>
      <c r="E102" s="3" t="inlineStr">
        <is>
          <t>PRIMARY</t>
        </is>
      </c>
      <c r="F102" s="3" t="inlineStr">
        <is>
          <t>WINDOWS</t>
        </is>
      </c>
      <c r="G102" s="3" t="inlineStr">
        <is>
          <t>ATO REGULATORIO regional que abre/fecha a janela</t>
        </is>
      </c>
      <c r="H102" s="3" t="inlineStr">
        <is>
          <t>Emilia-Romagna, em 6 areas interprovinciais</t>
        </is>
      </c>
      <c r="I102" s="3" t="inlineStr">
        <is>
          <t>HIGH — semanal, numerada e datada</t>
        </is>
      </c>
      <c r="J102" s="3" t="inlineStr">
        <is>
          <t>OBSERVADA</t>
        </is>
      </c>
      <c r="K102" s="3" t="inlineStr">
        <is>
          <t>13 desta missao</t>
        </is>
      </c>
    </row>
    <row r="103">
      <c r="A103" s="3" t="inlineStr">
        <is>
          <t>Bollettini interprovinciali di produzione integrata e biologica</t>
        </is>
      </c>
      <c r="B103" s="3" t="inlineStr">
        <is>
          <t>Regione Emilia-Romagna — Settore Fitosanitario, com os Consorzi Fitosanitari Provinciali</t>
        </is>
      </c>
      <c r="C103" s="3" t="inlineStr">
        <is>
          <t>https://agricoltura.regione.emilia-romagna.it/fitosanitario/difesa-sostenibile/bollettini</t>
        </is>
      </c>
      <c r="D103" s="3" t="inlineStr">
        <is>
          <t>VALIDATED_STRONG</t>
        </is>
      </c>
      <c r="E103" s="3" t="inlineStr">
        <is>
          <t>PRIMARY</t>
        </is>
      </c>
      <c r="F103" s="3" t="inlineStr">
        <is>
          <t>WINDOWS</t>
        </is>
      </c>
      <c r="G103" s="3" t="inlineStr">
        <is>
          <t>Janela de controlo de infestantes</t>
        </is>
      </c>
      <c r="H103" s="3" t="inlineStr">
        <is>
          <t>Emilia-Romagna, em 6 areas interprovinciais</t>
        </is>
      </c>
      <c r="I103" s="3" t="inlineStr">
        <is>
          <t>HIGH — semanal, numerada e datada</t>
        </is>
      </c>
      <c r="J103" s="3" t="inlineStr">
        <is>
          <t>OBSERVADA</t>
        </is>
      </c>
      <c r="K103" s="3" t="inlineStr">
        <is>
          <t>13 desta missao</t>
        </is>
      </c>
    </row>
    <row r="104">
      <c r="A104" s="3" t="inlineStr">
        <is>
          <t>Bollettini viticoli del Servizio Fitosanitario del Veneto</t>
        </is>
      </c>
      <c r="B104" s="3" t="inlineStr">
        <is>
          <t>Regione del Veneto — U.O. Fitosanitario</t>
        </is>
      </c>
      <c r="C104" s="3" t="inlineStr">
        <is>
          <t>https://www.regione.veneto.it/web/fitosanitario/bollettini-viticoli</t>
        </is>
      </c>
      <c r="D104" s="3" t="inlineStr">
        <is>
          <t>VALIDATED_STRONG</t>
        </is>
      </c>
      <c r="E104" s="3" t="inlineStr">
        <is>
          <t>PRIMARY</t>
        </is>
      </c>
      <c r="F104" s="3" t="inlineStr">
        <is>
          <t>WINDOWS</t>
        </is>
      </c>
      <c r="G104" s="3" t="inlineStr">
        <is>
          <t>FASE FENOLOGICA DA CULTURA (o que a planta esta a fazer)</t>
        </is>
      </c>
      <c r="H104" s="3" t="inlineStr">
        <is>
          <t>Veneto</t>
        </is>
      </c>
      <c r="I104" s="3" t="inlineStr">
        <is>
          <t>HIGH — semanal na campanha</t>
        </is>
      </c>
      <c r="J104" s="3" t="inlineStr">
        <is>
          <t>OBSERVADA</t>
        </is>
      </c>
      <c r="K104" s="3" t="inlineStr">
        <is>
          <t>37 da missao anterior</t>
        </is>
      </c>
    </row>
    <row r="105">
      <c r="A105" s="3" t="inlineStr">
        <is>
          <t>Bollettini viticoli del Servizio Fitosanitario del Veneto</t>
        </is>
      </c>
      <c r="B105" s="3" t="inlineStr">
        <is>
          <t>Regione del Veneto — U.O. Fitosanitario</t>
        </is>
      </c>
      <c r="C105" s="3" t="inlineStr">
        <is>
          <t>https://www.regione.veneto.it/web/fitosanitario/bollettini-viticoli</t>
        </is>
      </c>
      <c r="D105" s="3" t="inlineStr">
        <is>
          <t>VALIDATED_STRONG</t>
        </is>
      </c>
      <c r="E105" s="3" t="inlineStr">
        <is>
          <t>PRIMARY</t>
        </is>
      </c>
      <c r="F105" s="3" t="inlineStr">
        <is>
          <t>WINDOWS</t>
        </is>
      </c>
      <c r="G105" s="3" t="inlineStr">
        <is>
          <t>FASE DO PROBLEMA (em que estadio esta a praga/doenca)</t>
        </is>
      </c>
      <c r="H105" s="3" t="inlineStr">
        <is>
          <t>Veneto</t>
        </is>
      </c>
      <c r="I105" s="3" t="inlineStr">
        <is>
          <t>HIGH — semanal na campanha</t>
        </is>
      </c>
      <c r="J105" s="3" t="inlineStr">
        <is>
          <t>OBSERVADA</t>
        </is>
      </c>
      <c r="K105" s="3" t="inlineStr">
        <is>
          <t>37 da missao anterior</t>
        </is>
      </c>
    </row>
    <row r="106">
      <c r="A106" s="3" t="inlineStr">
        <is>
          <t>Bollettini viticoli del Servizio Fitosanitario del Veneto</t>
        </is>
      </c>
      <c r="B106" s="3" t="inlineStr">
        <is>
          <t>Regione del Veneto — U.O. Fitosanitario</t>
        </is>
      </c>
      <c r="C106" s="3" t="inlineStr">
        <is>
          <t>https://www.regione.veneto.it/web/fitosanitario/bollettini-viticoli</t>
        </is>
      </c>
      <c r="D106" s="3" t="inlineStr">
        <is>
          <t>VALIDATED_STRONG</t>
        </is>
      </c>
      <c r="E106" s="3" t="inlineStr">
        <is>
          <t>PRIMARY</t>
        </is>
      </c>
      <c r="F106" s="3" t="inlineStr">
        <is>
          <t>WINDOWS</t>
        </is>
      </c>
      <c r="G106" s="3" t="inlineStr">
        <is>
          <t>ATO REGULATORIO regional que abre/fecha a janela</t>
        </is>
      </c>
      <c r="H106" s="3" t="inlineStr">
        <is>
          <t>Veneto</t>
        </is>
      </c>
      <c r="I106" s="3" t="inlineStr">
        <is>
          <t>HIGH — semanal na campanha</t>
        </is>
      </c>
      <c r="J106" s="3" t="inlineStr">
        <is>
          <t>OBSERVADA</t>
        </is>
      </c>
      <c r="K106" s="3" t="inlineStr">
        <is>
          <t>37 da missao anterior</t>
        </is>
      </c>
    </row>
    <row r="107">
      <c r="A107" s="3" t="inlineStr">
        <is>
          <t>Bollettino Mais</t>
        </is>
      </c>
      <c r="B107" s="3" t="inlineStr">
        <is>
          <t>ERSAF Lombardia, com o servico tecnico do Condifesa Lombardia Nord-Est</t>
        </is>
      </c>
      <c r="C107" s="3" t="inlineStr">
        <is>
          <t>https://www.fitosanitario.regione.lombardia.it/wps/portal/site/sfr</t>
        </is>
      </c>
      <c r="D107" s="3" t="inlineStr">
        <is>
          <t>VALIDATED_STRONG</t>
        </is>
      </c>
      <c r="E107" s="3" t="inlineStr">
        <is>
          <t>PRIMARY</t>
        </is>
      </c>
      <c r="F107" s="3" t="inlineStr">
        <is>
          <t>WINDOWS</t>
        </is>
      </c>
      <c r="G107" s="3" t="inlineStr">
        <is>
          <t>FASE FENOLOGICA DA CULTURA (o que a planta esta a fazer)</t>
        </is>
      </c>
      <c r="H107" s="3" t="inlineStr">
        <is>
          <t>Lombardia</t>
        </is>
      </c>
      <c r="I107" s="3" t="inlineStr">
        <is>
          <t>HIGH — semanal</t>
        </is>
      </c>
      <c r="J107" s="3" t="inlineStr">
        <is>
          <t>OBSERVADA</t>
        </is>
      </c>
      <c r="K107" s="3" t="inlineStr">
        <is>
          <t>13 desta missao</t>
        </is>
      </c>
    </row>
    <row r="108">
      <c r="A108" s="3" t="inlineStr">
        <is>
          <t>Bollettino Mais</t>
        </is>
      </c>
      <c r="B108" s="3" t="inlineStr">
        <is>
          <t>ERSAF Lombardia, com o servico tecnico do Condifesa Lombardia Nord-Est</t>
        </is>
      </c>
      <c r="C108" s="3" t="inlineStr">
        <is>
          <t>https://www.fitosanitario.regione.lombardia.it/wps/portal/site/sfr</t>
        </is>
      </c>
      <c r="D108" s="3" t="inlineStr">
        <is>
          <t>VALIDATED_STRONG</t>
        </is>
      </c>
      <c r="E108" s="3" t="inlineStr">
        <is>
          <t>PRIMARY</t>
        </is>
      </c>
      <c r="F108" s="3" t="inlineStr">
        <is>
          <t>WINDOWS</t>
        </is>
      </c>
      <c r="G108" s="3" t="inlineStr">
        <is>
          <t>FASE DO PROBLEMA (em que estadio esta a praga/doenca)</t>
        </is>
      </c>
      <c r="H108" s="3" t="inlineStr">
        <is>
          <t>Lombardia</t>
        </is>
      </c>
      <c r="I108" s="3" t="inlineStr">
        <is>
          <t>HIGH — semanal</t>
        </is>
      </c>
      <c r="J108" s="3" t="inlineStr">
        <is>
          <t>OBSERVADA</t>
        </is>
      </c>
      <c r="K108" s="3" t="inlineStr">
        <is>
          <t>13 desta missao</t>
        </is>
      </c>
    </row>
    <row r="109">
      <c r="A109" s="3" t="inlineStr">
        <is>
          <t>Bollettino Mais</t>
        </is>
      </c>
      <c r="B109" s="3" t="inlineStr">
        <is>
          <t>ERSAF Lombardia, com o servico tecnico do Condifesa Lombardia Nord-Est</t>
        </is>
      </c>
      <c r="C109" s="3" t="inlineStr">
        <is>
          <t>https://www.fitosanitario.regione.lombardia.it/wps/portal/site/sfr</t>
        </is>
      </c>
      <c r="D109" s="3" t="inlineStr">
        <is>
          <t>VALIDATED_STRONG</t>
        </is>
      </c>
      <c r="E109" s="3" t="inlineStr">
        <is>
          <t>PRIMARY</t>
        </is>
      </c>
      <c r="F109" s="3" t="inlineStr">
        <is>
          <t>WINDOWS</t>
        </is>
      </c>
      <c r="G109" s="3" t="inlineStr">
        <is>
          <t>Janela de monitorizacao (quando ir olhar)</t>
        </is>
      </c>
      <c r="H109" s="3" t="inlineStr">
        <is>
          <t>Lombardia</t>
        </is>
      </c>
      <c r="I109" s="3" t="inlineStr">
        <is>
          <t>HIGH — semanal</t>
        </is>
      </c>
      <c r="J109" s="3" t="inlineStr">
        <is>
          <t>OBSERVADA</t>
        </is>
      </c>
      <c r="K109" s="3" t="inlineStr">
        <is>
          <t>13 desta missao</t>
        </is>
      </c>
    </row>
    <row r="110">
      <c r="A110" s="3" t="inlineStr">
        <is>
          <t>Bollettino Mais</t>
        </is>
      </c>
      <c r="B110" s="3" t="inlineStr">
        <is>
          <t>ERSAF Lombardia, com o servico tecnico do Condifesa Lombardia Nord-Est</t>
        </is>
      </c>
      <c r="C110" s="3" t="inlineStr">
        <is>
          <t>https://www.fitosanitario.regione.lombardia.it/wps/portal/site/sfr</t>
        </is>
      </c>
      <c r="D110" s="3" t="inlineStr">
        <is>
          <t>VALIDATED_STRONG</t>
        </is>
      </c>
      <c r="E110" s="3" t="inlineStr">
        <is>
          <t>PRIMARY</t>
        </is>
      </c>
      <c r="F110" s="3" t="inlineStr">
        <is>
          <t>WINDOWS</t>
        </is>
      </c>
      <c r="G110" s="3" t="inlineStr">
        <is>
          <t>Produto registado ligado a janela</t>
        </is>
      </c>
      <c r="H110" s="3" t="inlineStr">
        <is>
          <t>Lombardia</t>
        </is>
      </c>
      <c r="I110" s="3" t="inlineStr">
        <is>
          <t>HIGH — semanal</t>
        </is>
      </c>
      <c r="J110" s="3" t="inlineStr">
        <is>
          <t>OBSERVADA</t>
        </is>
      </c>
      <c r="K110" s="3" t="inlineStr">
        <is>
          <t>13 desta missao</t>
        </is>
      </c>
    </row>
    <row r="111">
      <c r="A111" s="3" t="inlineStr">
        <is>
          <t>Bollettino Nazionale di Fenologia</t>
        </is>
      </c>
      <c r="B111" s="3" t="inlineStr">
        <is>
          <t>Rete Rurale Nazionale (RRN) / MASAF</t>
        </is>
      </c>
      <c r="C111" s="3" t="inlineStr">
        <is>
          <t>https://www.reterurale.it/bollettinofeno</t>
        </is>
      </c>
      <c r="D111" s="3" t="inlineStr">
        <is>
          <t>VALIDATED_STRONG</t>
        </is>
      </c>
      <c r="E111" s="3" t="inlineStr">
        <is>
          <t>PRIMARY</t>
        </is>
      </c>
      <c r="F111" s="3" t="inlineStr">
        <is>
          <t>WINDOWS</t>
        </is>
      </c>
      <c r="G111" s="3" t="inlineStr">
        <is>
          <t>FASE FENOLOGICA DA CULTURA (o que a planta esta a fazer)</t>
        </is>
      </c>
      <c r="H111" s="3" t="inlineStr">
        <is>
          <t>NACIONAL, com detalhe regional</t>
        </is>
      </c>
      <c r="I111" s="3" t="inlineStr">
        <is>
          <t>HIGH — periodicidade declarada</t>
        </is>
      </c>
      <c r="J111" s="3" t="inlineStr">
        <is>
          <t>OBSERVADA</t>
        </is>
      </c>
      <c r="K111" s="3" t="inlineStr">
        <is>
          <t>37 da missao anterior</t>
        </is>
      </c>
    </row>
    <row r="112">
      <c r="A112" s="3" t="inlineStr">
        <is>
          <t>Bollettino Nazionale di Fenologia</t>
        </is>
      </c>
      <c r="B112" s="3" t="inlineStr">
        <is>
          <t>Rete Rurale Nazionale (RRN) / MASAF</t>
        </is>
      </c>
      <c r="C112" s="3" t="inlineStr">
        <is>
          <t>https://www.reterurale.it/bollettinofeno</t>
        </is>
      </c>
      <c r="D112" s="3" t="inlineStr">
        <is>
          <t>VALIDATED_STRONG</t>
        </is>
      </c>
      <c r="E112" s="3" t="inlineStr">
        <is>
          <t>PRIMARY</t>
        </is>
      </c>
      <c r="F112" s="3" t="inlineStr">
        <is>
          <t>WINDOWS</t>
        </is>
      </c>
      <c r="G112" s="3" t="inlineStr">
        <is>
          <t>Desvio fenologico por regiao (a mesma cultura adianta/atrasa)</t>
        </is>
      </c>
      <c r="H112" s="3" t="inlineStr">
        <is>
          <t>NACIONAL, com detalhe regional</t>
        </is>
      </c>
      <c r="I112" s="3" t="inlineStr">
        <is>
          <t>HIGH — periodicidade declarada</t>
        </is>
      </c>
      <c r="J112" s="3" t="inlineStr">
        <is>
          <t>OBSERVADA</t>
        </is>
      </c>
      <c r="K112" s="3" t="inlineStr">
        <is>
          <t>37 da missao anterior</t>
        </is>
      </c>
    </row>
    <row r="113">
      <c r="A113" s="3" t="inlineStr">
        <is>
          <t>Bollettino agrometeorologico e fitosanitario ARSAC</t>
        </is>
      </c>
      <c r="B113" s="3" t="inlineStr">
        <is>
          <t>ARSAC — Azienda Regionale per lo Sviluppo dell'Agricoltura Calabrese</t>
        </is>
      </c>
      <c r="C113" s="3" t="inlineStr">
        <is>
          <t>https://www.arsacweb.it/bollettino-agrometeorologico-e-fitosanitario-agrumi-olivo-e-vite/</t>
        </is>
      </c>
      <c r="D113" s="3" t="inlineStr">
        <is>
          <t>VALIDATED_STRONG</t>
        </is>
      </c>
      <c r="E113" s="3" t="inlineStr">
        <is>
          <t>PRIMARY</t>
        </is>
      </c>
      <c r="F113" s="3" t="inlineStr">
        <is>
          <t>WINDOWS</t>
        </is>
      </c>
      <c r="G113" s="3" t="inlineStr">
        <is>
          <t>FASE FENOLOGICA DA CULTURA (o que a planta esta a fazer)</t>
        </is>
      </c>
      <c r="H113" s="3" t="inlineStr">
        <is>
          <t>Calabria, subdividida em 8 zonas</t>
        </is>
      </c>
      <c r="I113" s="3" t="inlineStr">
        <is>
          <t>HIGH — semanal, com intervalo de validade explicito</t>
        </is>
      </c>
      <c r="J113" s="3" t="inlineStr">
        <is>
          <t>OBSERVADA</t>
        </is>
      </c>
      <c r="K113" s="3" t="inlineStr">
        <is>
          <t>37 da missao anterior</t>
        </is>
      </c>
    </row>
    <row r="114">
      <c r="A114" s="3" t="inlineStr">
        <is>
          <t>Bollettino agrometeorologico e fitosanitario ARSAC</t>
        </is>
      </c>
      <c r="B114" s="3" t="inlineStr">
        <is>
          <t>ARSAC — Azienda Regionale per lo Sviluppo dell'Agricoltura Calabrese</t>
        </is>
      </c>
      <c r="C114" s="3" t="inlineStr">
        <is>
          <t>https://www.arsacweb.it/bollettino-agrometeorologico-e-fitosanitario-agrumi-olivo-e-vite/</t>
        </is>
      </c>
      <c r="D114" s="3" t="inlineStr">
        <is>
          <t>VALIDATED_STRONG</t>
        </is>
      </c>
      <c r="E114" s="3" t="inlineStr">
        <is>
          <t>PRIMARY</t>
        </is>
      </c>
      <c r="F114" s="3" t="inlineStr">
        <is>
          <t>WINDOWS</t>
        </is>
      </c>
      <c r="G114" s="3" t="inlineStr">
        <is>
          <t>Datas de inicio e fim da janela</t>
        </is>
      </c>
      <c r="H114" s="3" t="inlineStr">
        <is>
          <t>Calabria, subdividida em 8 zonas</t>
        </is>
      </c>
      <c r="I114" s="3" t="inlineStr">
        <is>
          <t>HIGH — semanal, com intervalo de validade explicito</t>
        </is>
      </c>
      <c r="J114" s="3" t="inlineStr">
        <is>
          <t>OBSERVADA</t>
        </is>
      </c>
      <c r="K114" s="3" t="inlineStr">
        <is>
          <t>37 da missao anterior</t>
        </is>
      </c>
    </row>
    <row r="115">
      <c r="A115" s="3" t="inlineStr">
        <is>
          <t>Bollettino agrometeorologico e fitosanitario ARSAC</t>
        </is>
      </c>
      <c r="B115" s="3" t="inlineStr">
        <is>
          <t>ARSAC — Azienda Regionale per lo Sviluppo dell'Agricoltura Calabrese</t>
        </is>
      </c>
      <c r="C115" s="3" t="inlineStr">
        <is>
          <t>https://www.arsacweb.it/bollettino-agrometeorologico-e-fitosanitario-agrumi-olivo-e-vite/</t>
        </is>
      </c>
      <c r="D115" s="3" t="inlineStr">
        <is>
          <t>VALIDATED_STRONG</t>
        </is>
      </c>
      <c r="E115" s="3" t="inlineStr">
        <is>
          <t>PRIMARY</t>
        </is>
      </c>
      <c r="F115" s="3" t="inlineStr">
        <is>
          <t>WINDOWS</t>
        </is>
      </c>
      <c r="G115" s="3" t="inlineStr">
        <is>
          <t>Cultura e regiao da janela</t>
        </is>
      </c>
      <c r="H115" s="3" t="inlineStr">
        <is>
          <t>Calabria, subdividida em 8 zonas</t>
        </is>
      </c>
      <c r="I115" s="3" t="inlineStr">
        <is>
          <t>HIGH — semanal, com intervalo de validade explicito</t>
        </is>
      </c>
      <c r="J115" s="3" t="inlineStr">
        <is>
          <t>OBSERVADA</t>
        </is>
      </c>
      <c r="K115" s="3" t="inlineStr">
        <is>
          <t>37 da missao anterior</t>
        </is>
      </c>
    </row>
    <row r="116">
      <c r="A116" s="3" t="inlineStr">
        <is>
          <t>Bollettino seminativi biologici</t>
        </is>
      </c>
      <c r="B116" s="3" t="inlineStr">
        <is>
          <t>AIAB Friuli Venezia Giulia, em colaboracao com a ERSA</t>
        </is>
      </c>
      <c r="C116" s="3" t="inlineStr">
        <is>
          <t>https://www.aiab.fvg.it/aziende-e-tecnici/</t>
        </is>
      </c>
      <c r="D116" s="3" t="inlineStr">
        <is>
          <t>VALIDATED_STRONG</t>
        </is>
      </c>
      <c r="E116" s="3" t="inlineStr">
        <is>
          <t>PRIMARY</t>
        </is>
      </c>
      <c r="F116" s="3" t="inlineStr">
        <is>
          <t>WINDOWS</t>
        </is>
      </c>
      <c r="G116" s="3" t="inlineStr">
        <is>
          <t>OBSERVACAO DE CAMPO (fase observada, nao esperada)</t>
        </is>
      </c>
      <c r="H116" s="3" t="inlineStr">
        <is>
          <t>Friuli-Venezia Giulia</t>
        </is>
      </c>
      <c r="I116" s="3" t="inlineStr">
        <is>
          <t>HIGH — numerada e datada</t>
        </is>
      </c>
      <c r="J116" s="3" t="inlineStr">
        <is>
          <t>OBSERVADA</t>
        </is>
      </c>
      <c r="K116" s="3" t="inlineStr">
        <is>
          <t>13 desta missao</t>
        </is>
      </c>
    </row>
    <row r="117">
      <c r="A117" s="3" t="inlineStr">
        <is>
          <t>Bollettino seminativi biologici</t>
        </is>
      </c>
      <c r="B117" s="3" t="inlineStr">
        <is>
          <t>AIAB Friuli Venezia Giulia, em colaboracao com a ERSA</t>
        </is>
      </c>
      <c r="C117" s="3" t="inlineStr">
        <is>
          <t>https://www.aiab.fvg.it/aziende-e-tecnici/</t>
        </is>
      </c>
      <c r="D117" s="3" t="inlineStr">
        <is>
          <t>VALIDATED_STRONG</t>
        </is>
      </c>
      <c r="E117" s="3" t="inlineStr">
        <is>
          <t>PRIMARY</t>
        </is>
      </c>
      <c r="F117" s="3" t="inlineStr">
        <is>
          <t>WINDOWS</t>
        </is>
      </c>
      <c r="G117" s="3" t="inlineStr">
        <is>
          <t>FASE DO PROBLEMA (em que estadio esta a praga/doenca)</t>
        </is>
      </c>
      <c r="H117" s="3" t="inlineStr">
        <is>
          <t>Friuli-Venezia Giulia</t>
        </is>
      </c>
      <c r="I117" s="3" t="inlineStr">
        <is>
          <t>HIGH — numerada e datada</t>
        </is>
      </c>
      <c r="J117" s="3" t="inlineStr">
        <is>
          <t>OBSERVADA</t>
        </is>
      </c>
      <c r="K117" s="3" t="inlineStr">
        <is>
          <t>13 desta missao</t>
        </is>
      </c>
    </row>
    <row r="118">
      <c r="A118" s="3" t="inlineStr">
        <is>
          <t>Calendario fenologico e Forum Fitoiatrico del Condifesa TVB</t>
        </is>
      </c>
      <c r="B118" s="3" t="inlineStr">
        <is>
          <t>Condifesa Treviso e Belluno</t>
        </is>
      </c>
      <c r="C118" s="3" t="inlineStr">
        <is>
          <t>https://www.condifesatvb.it/forum-fitoiatrico/</t>
        </is>
      </c>
      <c r="D118" s="3" t="inlineStr">
        <is>
          <t>VALIDATED_BUT_SECONDARY</t>
        </is>
      </c>
      <c r="E118" s="3" t="inlineStr">
        <is>
          <t>SECONDARY</t>
        </is>
      </c>
      <c r="F118" s="3" t="inlineStr">
        <is>
          <t>WINDOWS</t>
        </is>
      </c>
      <c r="G118" s="3" t="inlineStr">
        <is>
          <t>FASE FENOLOGICA DA CULTURA (o que a planta esta a fazer)</t>
        </is>
      </c>
      <c r="H118" s="3" t="inlineStr">
        <is>
          <t>Treviso e Belluno (Veneto)</t>
        </is>
      </c>
      <c r="I118" s="3" t="inlineStr">
        <is>
          <t>MEDIUM — anual (forum) mais serie de campanha (calendario)</t>
        </is>
      </c>
      <c r="J118" s="3" t="inlineStr">
        <is>
          <t>DECLARADA</t>
        </is>
      </c>
      <c r="K118" s="3" t="inlineStr">
        <is>
          <t>37 da missao anterior</t>
        </is>
      </c>
    </row>
    <row r="119">
      <c r="A119" s="3" t="inlineStr">
        <is>
          <t>Dati di maturazione dell'uva e scelta della data di vendemmia</t>
        </is>
      </c>
      <c r="B119" s="3" t="inlineStr">
        <is>
          <t>Institut Agricole Régional (IAR), Aosta — Unita de Analises Laboratoriais e Unita de Viticultura-Enologia, com o Assessorato Agricoltura da Regione Valle d'Aosta</t>
        </is>
      </c>
      <c r="C119" s="3" t="inlineStr">
        <is>
          <t>https://www.iaraosta.it/</t>
        </is>
      </c>
      <c r="D119" s="3" t="inlineStr">
        <is>
          <t>VALIDATED_USEFUL</t>
        </is>
      </c>
      <c r="E119" s="3" t="inlineStr">
        <is>
          <t>PRIMARY</t>
        </is>
      </c>
      <c r="F119" s="3" t="inlineStr">
        <is>
          <t>WINDOWS</t>
        </is>
      </c>
      <c r="G119" s="3" t="inlineStr">
        <is>
          <t>FASE FENOLOGICA DA CULTURA (o que a planta esta a fazer)</t>
        </is>
      </c>
      <c r="H119" s="3" t="inlineStr">
        <is>
          <t>Valle d'Aosta</t>
        </is>
      </c>
      <c r="I119" s="3" t="inlineStr">
        <is>
          <t>MEDIUM — sazonal, na maturacao</t>
        </is>
      </c>
      <c r="J119" s="3" t="inlineStr">
        <is>
          <t>OBSERVADA</t>
        </is>
      </c>
      <c r="K119" s="3" t="inlineStr">
        <is>
          <t>13 desta missao</t>
        </is>
      </c>
    </row>
    <row r="120">
      <c r="A120" s="3" t="inlineStr">
        <is>
          <t>Dati di maturazione dell'uva e scelta della data di vendemmia</t>
        </is>
      </c>
      <c r="B120" s="3" t="inlineStr">
        <is>
          <t>Institut Agricole Régional (IAR), Aosta — Unita de Analises Laboratoriais e Unita de Viticultura-Enologia, com o Assessorato Agricoltura da Regione Valle d'Aosta</t>
        </is>
      </c>
      <c r="C120" s="3" t="inlineStr">
        <is>
          <t>https://www.iaraosta.it/</t>
        </is>
      </c>
      <c r="D120" s="3" t="inlineStr">
        <is>
          <t>VALIDATED_USEFUL</t>
        </is>
      </c>
      <c r="E120" s="3" t="inlineStr">
        <is>
          <t>PRIMARY</t>
        </is>
      </c>
      <c r="F120" s="3" t="inlineStr">
        <is>
          <t>WINDOWS</t>
        </is>
      </c>
      <c r="G120" s="3" t="inlineStr">
        <is>
          <t>OBSERVACAO DE CAMPO (fase observada, nao esperada)</t>
        </is>
      </c>
      <c r="H120" s="3" t="inlineStr">
        <is>
          <t>Valle d'Aosta</t>
        </is>
      </c>
      <c r="I120" s="3" t="inlineStr">
        <is>
          <t>MEDIUM — sazonal, na maturacao</t>
        </is>
      </c>
      <c r="J120" s="3" t="inlineStr">
        <is>
          <t>OBSERVADA</t>
        </is>
      </c>
      <c r="K120" s="3" t="inlineStr">
        <is>
          <t>13 desta missao</t>
        </is>
      </c>
    </row>
    <row r="121">
      <c r="A121" s="3" t="inlineStr">
        <is>
          <t>Dati di maturazione dell'uva e scelta della data di vendemmia</t>
        </is>
      </c>
      <c r="B121" s="3" t="inlineStr">
        <is>
          <t>Institut Agricole Régional (IAR), Aosta — Unita de Analises Laboratoriais e Unita de Viticultura-Enologia, com o Assessorato Agricoltura da Regione Valle d'Aosta</t>
        </is>
      </c>
      <c r="C121" s="3" t="inlineStr">
        <is>
          <t>https://www.iaraosta.it/</t>
        </is>
      </c>
      <c r="D121" s="3" t="inlineStr">
        <is>
          <t>VALIDATED_USEFUL</t>
        </is>
      </c>
      <c r="E121" s="3" t="inlineStr">
        <is>
          <t>PRIMARY</t>
        </is>
      </c>
      <c r="F121" s="3" t="inlineStr">
        <is>
          <t>WINDOWS</t>
        </is>
      </c>
      <c r="G121" s="3" t="inlineStr">
        <is>
          <t>Datas de inicio e fim da janela</t>
        </is>
      </c>
      <c r="H121" s="3" t="inlineStr">
        <is>
          <t>Valle d'Aosta</t>
        </is>
      </c>
      <c r="I121" s="3" t="inlineStr">
        <is>
          <t>MEDIUM — sazonal, na maturacao</t>
        </is>
      </c>
      <c r="J121" s="3" t="inlineStr">
        <is>
          <t>OBSERVADA</t>
        </is>
      </c>
      <c r="K121" s="3" t="inlineStr">
        <is>
          <t>13 desta missao</t>
        </is>
      </c>
    </row>
    <row r="122">
      <c r="A122" s="3" t="inlineStr">
        <is>
          <t>ERG5 e o indicador «Anomalia della sommatoria gradi giorno»</t>
        </is>
      </c>
      <c r="B122" s="3" t="inlineStr">
        <is>
          <t>Arpae Emilia-Romagna</t>
        </is>
      </c>
      <c r="C122" s="3" t="inlineStr">
        <is>
          <t>https://webbook.arpae.it/clima/</t>
        </is>
      </c>
      <c r="D122" s="3" t="inlineStr">
        <is>
          <t>VALIDATED_BUT_SECONDARY</t>
        </is>
      </c>
      <c r="E122" s="3" t="inlineStr">
        <is>
          <t>SECONDARY</t>
        </is>
      </c>
      <c r="F122" s="3" t="inlineStr">
        <is>
          <t>WINDOWS</t>
        </is>
      </c>
      <c r="G122" s="3" t="inlineStr">
        <is>
          <t>Desvio fenologico por regiao (a mesma cultura adianta/atrasa)</t>
        </is>
      </c>
      <c r="H122" s="3" t="inlineStr">
        <is>
          <t>Emilia-Romagna, em grelha de 5 km</t>
        </is>
      </c>
      <c r="I122" s="3" t="inlineStr">
        <is>
          <t>HIGH — semanal (mapas) sobre serie de 1961</t>
        </is>
      </c>
      <c r="J122" s="3" t="inlineStr">
        <is>
          <t>DECLARADA</t>
        </is>
      </c>
      <c r="K122" s="3" t="inlineStr">
        <is>
          <t>37 da missao anterior</t>
        </is>
      </c>
    </row>
    <row r="123">
      <c r="A123" s="3" t="inlineStr">
        <is>
          <t>Notiziario agrofenologico e di difesa (olivo, vite)</t>
        </is>
      </c>
      <c r="B123" s="3" t="inlineStr">
        <is>
          <t>Consorzi Fitosanitari Provinciali di Modena e Reggio Emilia</t>
        </is>
      </c>
      <c r="C123" s="3" t="inlineStr">
        <is>
          <t>https://www.fitosanitario.mo.it/notiziario-agrofenologico-e-di-difesa-della-coltura-dell-oli/</t>
        </is>
      </c>
      <c r="D123" s="3" t="inlineStr">
        <is>
          <t>VALIDATED_BUT_SECONDARY</t>
        </is>
      </c>
      <c r="E123" s="3" t="inlineStr">
        <is>
          <t>SECONDARY</t>
        </is>
      </c>
      <c r="F123" s="3" t="inlineStr">
        <is>
          <t>WINDOWS</t>
        </is>
      </c>
      <c r="G123" s="3" t="inlineStr">
        <is>
          <t>FASE FENOLOGICA DA CULTURA (o que a planta esta a fazer)</t>
        </is>
      </c>
      <c r="H123" s="3" t="inlineStr">
        <is>
          <t>provincias de Modena e Reggio Emilia</t>
        </is>
      </c>
      <c r="I123" s="3" t="inlineStr">
        <is>
          <t>HIGH — serie de campanha</t>
        </is>
      </c>
      <c r="J123" s="3" t="inlineStr">
        <is>
          <t>DECLARADA</t>
        </is>
      </c>
      <c r="K123" s="3" t="inlineStr">
        <is>
          <t>37 da missao anterior</t>
        </is>
      </c>
    </row>
    <row r="124">
      <c r="A124" s="3" t="inlineStr">
        <is>
          <t>Notiziario agrofenologico e di difesa (olivo, vite)</t>
        </is>
      </c>
      <c r="B124" s="3" t="inlineStr">
        <is>
          <t>Consorzi Fitosanitari Provinciali di Modena e Reggio Emilia</t>
        </is>
      </c>
      <c r="C124" s="3" t="inlineStr">
        <is>
          <t>https://www.fitosanitario.mo.it/notiziario-agrofenologico-e-di-difesa-della-coltura-dell-oli/</t>
        </is>
      </c>
      <c r="D124" s="3" t="inlineStr">
        <is>
          <t>VALIDATED_BUT_SECONDARY</t>
        </is>
      </c>
      <c r="E124" s="3" t="inlineStr">
        <is>
          <t>SECONDARY</t>
        </is>
      </c>
      <c r="F124" s="3" t="inlineStr">
        <is>
          <t>WINDOWS</t>
        </is>
      </c>
      <c r="G124" s="3" t="inlineStr">
        <is>
          <t>FASE DO PROBLEMA (em que estadio esta a praga/doenca)</t>
        </is>
      </c>
      <c r="H124" s="3" t="inlineStr">
        <is>
          <t>provincias de Modena e Reggio Emilia</t>
        </is>
      </c>
      <c r="I124" s="3" t="inlineStr">
        <is>
          <t>HIGH — serie de campanha</t>
        </is>
      </c>
      <c r="J124" s="3" t="inlineStr">
        <is>
          <t>DECLARADA</t>
        </is>
      </c>
      <c r="K124" s="3" t="inlineStr">
        <is>
          <t>37 da missao anterior</t>
        </is>
      </c>
    </row>
    <row r="125">
      <c r="A125" s="3" t="inlineStr">
        <is>
          <t>Notiziario agrofenologico e di difesa (olivo, vite)</t>
        </is>
      </c>
      <c r="B125" s="3" t="inlineStr">
        <is>
          <t>Consorzi Fitosanitari Provinciali di Modena e Reggio Emilia</t>
        </is>
      </c>
      <c r="C125" s="3" t="inlineStr">
        <is>
          <t>https://www.fitosanitario.mo.it/notiziario-agrofenologico-e-di-difesa-della-coltura-dell-oli/</t>
        </is>
      </c>
      <c r="D125" s="3" t="inlineStr">
        <is>
          <t>VALIDATED_BUT_SECONDARY</t>
        </is>
      </c>
      <c r="E125" s="3" t="inlineStr">
        <is>
          <t>SECONDARY</t>
        </is>
      </c>
      <c r="F125" s="3" t="inlineStr">
        <is>
          <t>WINDOWS</t>
        </is>
      </c>
      <c r="G125" s="3" t="inlineStr">
        <is>
          <t>Janela de monitorizacao (quando ir olhar)</t>
        </is>
      </c>
      <c r="H125" s="3" t="inlineStr">
        <is>
          <t>provincias de Modena e Reggio Emilia</t>
        </is>
      </c>
      <c r="I125" s="3" t="inlineStr">
        <is>
          <t>HIGH — serie de campanha</t>
        </is>
      </c>
      <c r="J125" s="3" t="inlineStr">
        <is>
          <t>DECLARADA</t>
        </is>
      </c>
      <c r="K125" s="3" t="inlineStr">
        <is>
          <t>37 da missao anterior</t>
        </is>
      </c>
    </row>
    <row r="126">
      <c r="A126" s="3" t="inlineStr">
        <is>
          <t>Notiziario agrometeorologico e fitosanitario delle Marche</t>
        </is>
      </c>
      <c r="B126" s="3" t="inlineStr">
        <is>
          <t>Regione Marche — AMAP (Agenzia per l'Innovazione nel settore Agroalimentare e della Pesca), que absorveu a ASSAM</t>
        </is>
      </c>
      <c r="C126" s="3" t="inlineStr">
        <is>
          <t>https://meteo.regione.marche.it/</t>
        </is>
      </c>
      <c r="D126" s="3" t="inlineStr">
        <is>
          <t>VALIDATED_STRONG</t>
        </is>
      </c>
      <c r="E126" s="3" t="inlineStr">
        <is>
          <t>PRIMARY</t>
        </is>
      </c>
      <c r="F126" s="3" t="inlineStr">
        <is>
          <t>WINDOWS</t>
        </is>
      </c>
      <c r="G126" s="3" t="inlineStr">
        <is>
          <t>FASE FENOLOGICA DA CULTURA (o que a planta esta a fazer)</t>
        </is>
      </c>
      <c r="H126" s="3" t="inlineStr">
        <is>
          <t>Marche</t>
        </is>
      </c>
      <c r="I126" s="3" t="inlineStr">
        <is>
          <t>HIGH — notiziario periodico</t>
        </is>
      </c>
      <c r="J126" s="3" t="inlineStr">
        <is>
          <t>OBSERVADA</t>
        </is>
      </c>
      <c r="K126" s="3" t="inlineStr">
        <is>
          <t>37 da missao anterior</t>
        </is>
      </c>
    </row>
    <row r="127">
      <c r="A127" s="3" t="inlineStr">
        <is>
          <t>Notiziario agrometeorologico e fitosanitario delle Marche</t>
        </is>
      </c>
      <c r="B127" s="3" t="inlineStr">
        <is>
          <t>Regione Marche — AMAP (Agenzia per l'Innovazione nel settore Agroalimentare e della Pesca), que absorveu a ASSAM</t>
        </is>
      </c>
      <c r="C127" s="3" t="inlineStr">
        <is>
          <t>https://meteo.regione.marche.it/</t>
        </is>
      </c>
      <c r="D127" s="3" t="inlineStr">
        <is>
          <t>VALIDATED_STRONG</t>
        </is>
      </c>
      <c r="E127" s="3" t="inlineStr">
        <is>
          <t>PRIMARY</t>
        </is>
      </c>
      <c r="F127" s="3" t="inlineStr">
        <is>
          <t>WINDOWS</t>
        </is>
      </c>
      <c r="G127" s="3" t="inlineStr">
        <is>
          <t>OBSERVACAO DE CAMPO (fase observada, nao esperada)</t>
        </is>
      </c>
      <c r="H127" s="3" t="inlineStr">
        <is>
          <t>Marche</t>
        </is>
      </c>
      <c r="I127" s="3" t="inlineStr">
        <is>
          <t>HIGH — notiziario periodico</t>
        </is>
      </c>
      <c r="J127" s="3" t="inlineStr">
        <is>
          <t>OBSERVADA</t>
        </is>
      </c>
      <c r="K127" s="3" t="inlineStr">
        <is>
          <t>37 da missao anterior</t>
        </is>
      </c>
    </row>
    <row r="128">
      <c r="A128" s="3" t="inlineStr">
        <is>
          <t>Protezione delle Piante — Emergenze, Sorveglianza, Barriere</t>
        </is>
      </c>
      <c r="B128" s="3" t="inlineStr">
        <is>
          <t>Servizio Fitosanitario Nazionale (MASAF)</t>
        </is>
      </c>
      <c r="C128" s="3" t="inlineStr">
        <is>
          <t>https://www.protezionedellepiante.it/</t>
        </is>
      </c>
      <c r="D128" s="3" t="inlineStr">
        <is>
          <t>VALIDATED_STRONG</t>
        </is>
      </c>
      <c r="E128" s="3" t="inlineStr">
        <is>
          <t>PRIMARY</t>
        </is>
      </c>
      <c r="F128" s="3" t="inlineStr">
        <is>
          <t>WINDOWS</t>
        </is>
      </c>
      <c r="G128" s="3" t="inlineStr">
        <is>
          <t>ATO REGULATORIO regional que abre/fecha a janela</t>
        </is>
      </c>
      <c r="H128" s="3" t="inlineStr">
        <is>
          <t>NACIONAL, com regiao na declaracao</t>
        </is>
      </c>
      <c r="I128" s="3" t="inlineStr">
        <is>
          <t>HIGH — por evento, e evento ha sempre</t>
        </is>
      </c>
      <c r="J128" s="3" t="inlineStr">
        <is>
          <t>OBSERVADA</t>
        </is>
      </c>
      <c r="K128" s="3" t="inlineStr">
        <is>
          <t>37 da missao anterior</t>
        </is>
      </c>
    </row>
    <row r="129">
      <c r="A129" s="3" t="inlineStr">
        <is>
          <t>Rete agrometeorologica regionale (archivio dati)</t>
        </is>
      </c>
      <c r="B129" s="3" t="inlineStr">
        <is>
          <t>Regione Campania — Assessorato Agricoltura</t>
        </is>
      </c>
      <c r="C129" s="3" t="inlineStr">
        <is>
          <t>https://agricoltura.regione.campania.it/meteo/archivio_meteo.html</t>
        </is>
      </c>
      <c r="D129" s="3" t="inlineStr">
        <is>
          <t>VALIDATED_STRONG</t>
        </is>
      </c>
      <c r="E129" s="3" t="inlineStr">
        <is>
          <t>PRIMARY</t>
        </is>
      </c>
      <c r="F129" s="3" t="inlineStr">
        <is>
          <t>WINDOWS</t>
        </is>
      </c>
      <c r="G129" s="3" t="inlineStr">
        <is>
          <t>Janela de monitorizacao (quando ir olhar)</t>
        </is>
      </c>
      <c r="H129" s="3" t="inlineStr">
        <is>
          <t>Campania</t>
        </is>
      </c>
      <c r="I129" s="3" t="inlineStr">
        <is>
          <t>HIGH — diaria</t>
        </is>
      </c>
      <c r="J129" s="3" t="inlineStr">
        <is>
          <t>OBSERVADA</t>
        </is>
      </c>
      <c r="K129" s="3" t="inlineStr">
        <is>
          <t>37 da missao anterior</t>
        </is>
      </c>
    </row>
    <row r="130">
      <c r="A130" s="3" t="inlineStr">
        <is>
          <t>SCIA — Sistema nazionale per l'elaborazione e diffusione di dati climatici</t>
        </is>
      </c>
      <c r="B130" s="3" t="inlineStr">
        <is>
          <t>ISPRA</t>
        </is>
      </c>
      <c r="C130" s="3" t="inlineStr">
        <is>
          <t>https://scia.isprambiente.it/dati-e-indicatori/</t>
        </is>
      </c>
      <c r="D130" s="3" t="inlineStr">
        <is>
          <t>VALIDATED_BUT_SECONDARY</t>
        </is>
      </c>
      <c r="E130" s="3" t="inlineStr">
        <is>
          <t>SECONDARY</t>
        </is>
      </c>
      <c r="F130" s="3" t="inlineStr">
        <is>
          <t>WINDOWS</t>
        </is>
      </c>
      <c r="G130" s="3" t="inlineStr">
        <is>
          <t>Desvio fenologico por regiao (a mesma cultura adianta/atrasa)</t>
        </is>
      </c>
      <c r="H130" s="3" t="inlineStr">
        <is>
          <t>NACIONAL — agrega as redes regionais</t>
        </is>
      </c>
      <c r="I130" s="3" t="inlineStr">
        <is>
          <t>HIGH — serie continua</t>
        </is>
      </c>
      <c r="J130" s="3" t="inlineStr">
        <is>
          <t>DECLARADA</t>
        </is>
      </c>
      <c r="K130" s="3" t="inlineStr">
        <is>
          <t>37 da missao anterior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53" customWidth="1" min="2" max="2"/>
    <col width="60" customWidth="1" min="3" max="3"/>
    <col width="10" customWidth="1" min="4" max="4"/>
    <col width="60" customWidth="1" min="5" max="5"/>
    <col width="60" customWidth="1" min="6" max="6"/>
    <col width="52" customWidth="1" min="7" max="7"/>
    <col width="60" customWidth="1" min="8" max="8"/>
  </cols>
  <sheetData>
    <row r="1" ht="46" customHeight="1">
      <c r="A1" s="1" t="inlineStr">
        <is>
          <t>UMA LINHA = UMA BUSCA DESTA MISSAO. Toda consulta parte de um GAP MEDIDO. A coluna RODADA permite ler saturacao: quando tres rodadas seguidas do mesmo gap nao devolvem fonte forte nova, SATURATION_SIGNAL=YES — e isso significa que ESTA busca saturou, nao que a fonte nao exista.</t>
        </is>
      </c>
    </row>
    <row r="2">
      <c r="A2" s="2" t="inlineStr">
        <is>
          <t>N</t>
        </is>
      </c>
      <c r="B2" s="2" t="inlineStr">
        <is>
          <t>GAP_QUE_GUIOU</t>
        </is>
      </c>
      <c r="C2" s="2" t="inlineStr">
        <is>
          <t>CONSULTA</t>
        </is>
      </c>
      <c r="D2" s="2" t="inlineStr">
        <is>
          <t>RODADA</t>
        </is>
      </c>
      <c r="E2" s="2" t="inlineStr">
        <is>
          <t>O_QUE_DEVOLVEU</t>
        </is>
      </c>
      <c r="F2" s="2" t="inlineStr">
        <is>
          <t>FONTES_NOVAS_DAQUI</t>
        </is>
      </c>
      <c r="G2" s="2" t="inlineStr">
        <is>
          <t>SATURATION_SIGNAL</t>
        </is>
      </c>
      <c r="H2" s="2" t="inlineStr">
        <is>
          <t>ACHADO_QUE_MUDOU_A_RESPOSTA</t>
        </is>
      </c>
    </row>
    <row r="3">
      <c r="A3" s="3" t="n">
        <v>1</v>
      </c>
      <c r="B3" s="3" t="inlineStr">
        <is>
          <t>CROP · trigo e trigo duro (3+3 janelas, zero fonte)</t>
        </is>
      </c>
      <c r="C3" s="3" t="inlineStr">
        <is>
          <t>bollettino fitosanitario frumento grano tenero duro fenologia BBCH difesa integrata regione servizio fitosanitario</t>
        </is>
      </c>
      <c r="D3" s="3" t="inlineStr">
        <is>
          <t>ROUND_1</t>
        </is>
      </c>
      <c r="E3" s="3" t="inlineStr">
        <is>
          <t>Veneto (seminativi, serie 2026 desde N°01 de 18/02), Emilia-Romagna (6 boletins interprovinciais, com derroga datada para Septoria), ERSA FVG (tabela Baggiolini↔BBCH), Campania (UTM, semanal 1/3–30/9), Fondazione Edmund Mach</t>
        </is>
      </c>
      <c r="F3" s="3" t="inlineStr">
        <is>
          <t>Bollettini seminativi Veneto · Bollettini interprovinciali ER · ERSA FVG · Bollettini UTM Campania</t>
        </is>
      </c>
      <c r="G3" s="3" t="inlineStr">
        <is>
          <t>NO — primeira rodada e ja devolveu 4 fontes fortes</t>
        </is>
      </c>
      <c r="H3" s="3" t="inlineStr">
        <is>
          <t>a derroga regional para Septoria em trigo tem DATA DE INICIO DE USO (20/03/2026) — e isso e' ALTERACAO DE AUTORIZACAO, outro gap critico, fechado de lado</t>
        </is>
      </c>
    </row>
    <row r="4">
      <c r="A4" s="3" t="n">
        <v>2</v>
      </c>
      <c r="B4" s="3" t="inlineStr">
        <is>
          <t>CROP · milho (3 janelas, zero fonte)</t>
        </is>
      </c>
      <c r="C4" s="3" t="inlineStr">
        <is>
          <t>bollettino tecnico mais granoturco fenologia diabrotica piralide monitoraggio regione produzione integrata</t>
        </is>
      </c>
      <c r="D4" s="3" t="inlineStr">
        <is>
          <t>ROUND_1</t>
        </is>
      </c>
      <c r="E4" s="3" t="inlineStr">
        <is>
          <t>ERSA FVG com «Boll_09_MAIS_03072026.pdf» e o milho declarado em BBCH 42-70 conforme epoca de semeadura; ERSAF Lombardia com boletim semanal feito com o Condifesa Lombardia Nord-Est; Veneto Agricoltura com resultado de ensaio plurianual</t>
        </is>
      </c>
      <c r="F4" s="3" t="inlineStr">
        <is>
          <t>ERSA FVG (mais) · Bollettino Mais ERSAF · Bollettino Colture Erbacee Veneto Agricoltura</t>
        </is>
      </c>
      <c r="G4" s="3" t="inlineStr">
        <is>
          <t>NO</t>
        </is>
      </c>
      <c r="H4" s="3" t="inlineStr">
        <is>
          <t>⚠️ O ACHADO QUE NAO ESPERAVA: a Veneto Agricoltura publica RESULTADO MEDIDO DE ENSAIO, incluindo o numero desfavoravel — o tratamento no momento de maxima eficacia melhorou produtividade e micotoxinas em MENOS DE 50% dos casos. Era o gap que as provas GEP nao podiam fechar por serem reservadas</t>
        </is>
      </c>
    </row>
    <row r="5">
      <c r="A5" s="3" t="n">
        <v>3</v>
      </c>
      <c r="B5" s="3" t="inlineStr">
        <is>
          <t>CROP · tomate (3 janelas, zero fonte)</t>
        </is>
      </c>
      <c r="C5" s="3" t="inlineStr">
        <is>
          <t>bollettino pomodoro da industria fenologia peronospora monitoraggio disciplinare produzione integrata</t>
        </is>
      </c>
      <c r="D5" s="3" t="inlineStr">
        <is>
          <t>ROUND_1</t>
        </is>
      </c>
      <c r="E5" s="3" t="inlineStr">
        <is>
          <t>Consorzi Fitosanitari Provinciali (RE, MO, PR, PC) com boletim semanal construido com modelo I.P.I., levantamentos aerobiologicos e CAMPOS-ESPIA NAO TRATADOS; curva de suscetibilidade por fase; derroga de 25/02/2026 para fluazaindolizine contra Meloidogyne, uso de 1/3 a 28/6/2026</t>
        </is>
      </c>
      <c r="F5" s="3" t="inlineStr">
        <is>
          <t>Bollettini di produzione integrata — pomodoro (4 consorzi)</t>
        </is>
      </c>
      <c r="G5" s="3" t="inlineStr">
        <is>
          <t>NO</t>
        </is>
      </c>
      <c r="H5" s="3" t="inlineStr">
        <is>
          <t>«campo-espia nao tratado» e' observacao de campo no sentido forte: uma parcela deixada sem tratamento para se ver a doenca acontecer. Nao e' modelo — e' medicao</t>
        </is>
      </c>
    </row>
    <row r="6">
      <c r="A6" s="3" t="n">
        <v>4</v>
      </c>
      <c r="B6" s="3" t="inlineStr">
        <is>
          <t>CROP · soja (2 janelas, zero fonte)</t>
        </is>
      </c>
      <c r="C6" s="3" t="inlineStr">
        <is>
          <t>bollettino soia fenologia difesa integrata ragnetto rosso seminativi regione monitoraggio</t>
        </is>
      </c>
      <c r="D6" s="3" t="inlineStr">
        <is>
          <t>ROUND_1</t>
        </is>
      </c>
      <c r="E6" s="3" t="inlineStr">
        <is>
          <t>ERSA FVG com «Bollettino difesa integrata soia n. 2 del 16 febbraio 2026»; AIAB FVG com «Bollettino seminativi biologici n. 8/2026 del 24 giugno 2026», feito com rilievi in campo e aziende campione em colaboracao com a ERSA</t>
        </is>
      </c>
      <c r="F6" s="3" t="inlineStr">
        <is>
          <t>ERSA FVG (soia) · AIAB FVG (seminativi biologici)</t>
        </is>
      </c>
      <c r="G6" s="3" t="inlineStr">
        <is>
          <t>NO</t>
        </is>
      </c>
      <c r="H6" s="3" t="inlineStr">
        <is>
          <t>⚠️ E UMA CORRECAO AO QUE EU ESCREVI: o Bollettino Nazionale di Fenologia da RRN, que eu apresentei como fonte de fenologia «por cultura», monitoriza PRINCIPALMENTE VITE, OLIVO E ROBINIA. Nao serve soja, nem milho, nem trigo. Continua forte — para tres culturas, nao para dez</t>
        </is>
      </c>
    </row>
    <row r="7">
      <c r="A7" s="3" t="n">
        <v>5</v>
      </c>
      <c r="B7" s="3" t="inlineStr">
        <is>
          <t>REGIAO · Basilicata (zero fonte regional)</t>
        </is>
      </c>
      <c r="C7" s="3" t="inlineStr">
        <is>
          <t>Basilicata ALSIA bollettino agrometeorologico fitosanitario fenologia servizio fitosanitario regionale</t>
        </is>
      </c>
      <c r="D7" s="3" t="inlineStr">
        <is>
          <t>ROUND_1</t>
        </is>
      </c>
      <c r="E7" s="3" t="inlineStr">
        <is>
          <t>ALSIA / SAL: 40 estacoes desde 1996 com molha foliar e evapotranspiracao por Blaney-Criddle e Penman-Monteith; boletins do SeDI por comprensorio (Metapontino, Alta Valle d'Agri, Valle del Bradano); relatorio climatico mensal com anomalia face a 1991-2020; Emanuele Scalcione responsavel</t>
        </is>
      </c>
      <c r="F7" s="3" t="inlineStr">
        <is>
          <t>SAL/SeDI da ALSIA</t>
        </is>
      </c>
      <c r="G7" s="3" t="inlineStr">
        <is>
          <t>NO — uma rodada resolveu a regiao</t>
        </is>
      </c>
      <c r="H7" s="3" t="inlineStr">
        <is>
          <t>a regiao que estava a ZERO tinha, desde 1996, uma rede de 40 estacoes. Zero na matriz nao era ausencia de fonte: era ausencia de busca dirigida — exatamente o que a missao 1 tinha registado como regra e que eu nao apliquei a tempo</t>
        </is>
      </c>
    </row>
    <row r="8">
      <c r="A8" s="3" t="n">
        <v>6</v>
      </c>
      <c r="B8" s="3" t="inlineStr">
        <is>
          <t>REGIAO · Valle d'Aosta (zero fonte regional)</t>
        </is>
      </c>
      <c r="C8" s="3" t="inlineStr">
        <is>
          <t>Valle d'Aosta Institut Agricole Régional bollettino viticolo fitosanitario assistenza tecnica</t>
        </is>
      </c>
      <c r="D8" s="3" t="inlineStr">
        <is>
          <t>ROUND_1</t>
        </is>
      </c>
      <c r="E8" s="3" t="inlineStr">
        <is>
          <t>Ufficio servizi fitosanitari da Regione autonoma: avisos para viticultores (atualizado 26/06/2026) e para fruticultores, rede de armadilhas por estacao, distribuicao por aviso afixado, gravador telefonico, web e SMS; Institut Agricole Régional com dados de maturacao da uva das vinhas mais representativas</t>
        </is>
      </c>
      <c r="F8" s="3" t="inlineStr">
        <is>
          <t>Avvisi fitosanitari VdA · Dati di maturazione do IAR</t>
        </is>
      </c>
      <c r="G8" s="3" t="inlineStr">
        <is>
          <t>NO</t>
        </is>
      </c>
      <c r="H8" s="3" t="inlineStr">
        <is>
          <t>parte do servico distribui-se por SMS e gravador telefonico — canais que NAO sao coletaveis por rota web. A fonte existe e publica; parte do que publica esta fora do alcance de qualquer coletor</t>
        </is>
      </c>
    </row>
    <row r="9">
      <c r="A9" s="3" t="n">
        <v>7</v>
      </c>
      <c r="B9" s="3" t="inlineStr">
        <is>
          <t>VALIDACAO · as 37 rotas nunca abertas</t>
        </is>
      </c>
      <c r="C9" s="3" t="inlineStr">
        <is>
          <t>(nao foi busca: foi sonda HTTP com UA de navegador sobre as 37 rotas, mais controles positivos e negativos)</t>
        </is>
      </c>
      <c r="D9" s="3" t="inlineStr">
        <is>
          <t>ROUND_1</t>
        </is>
      </c>
      <c r="E9" s="3" t="inlineStr">
        <is>
          <t>9 VALIDATED_STRONG · 6 USEFUL · 15 BUT_SECONDARY · 3 BLOCKED · 2 UNKNOWN · 1 BROKEN · 1 WRONG_SOURCE. 8 redirecionaram.</t>
        </is>
      </c>
      <c r="F9" s="3" t="inlineStr">
        <is>
          <t>(validacao, nao descoberta)</t>
        </is>
      </c>
      <c r="G9" s="3" t="inlineStr">
        <is>
          <t>N/A</t>
        </is>
      </c>
      <c r="H9" s="3" t="inlineStr">
        <is>
          <t>⚠️ QUATRO DEFEITOS DA MINHA PROPRIA SONDA, apanhados por olhar o resultado em vez de o publicar: (1) `getaddrinfo failed` local tratado como fonte morta — tres fontes vivas salvas; (2) filtro de assunto so' em italiano, que reprovou a base europeia em ingles; (3) app de JavaScript confundida com pagina morta; (4) pagina de redirecionamento chamada de quebrada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10" customWidth="1" min="5" max="5"/>
    <col width="15" customWidth="1" min="6" max="6"/>
    <col width="14" customWidth="1" min="7" max="7"/>
    <col width="41" customWidth="1" min="8" max="8"/>
    <col width="60" customWidth="1" min="9" max="9"/>
    <col width="60" customWidth="1" min="10" max="10"/>
    <col width="23" customWidth="1" min="11" max="11"/>
  </cols>
  <sheetData>
    <row r="1" ht="46" customHeight="1">
      <c r="A1" s="1" t="inlineStr">
        <is>
          <t>O QUE NAO PASSOU, E DE QUE LADO ESTA A FALHA — que e' a pergunta que importa. ⚠️ TRES DESTAS FONTES ESTAO VIVAS: o DNS desta maquina nao alcanca `alsia.it`, `ersa.fvg.it` e `arpa.piemonte.it`, mas o resolvedor publico devolve endereco para as tres. Escrever BROKEN nelas apagaria do acervo tres agencias regionais que publicam — e uma delas e' a que fecha a Basilicata.</t>
        </is>
      </c>
    </row>
    <row r="2">
      <c r="A2" s="2" t="inlineStr">
        <is>
          <t>SOURCE_NAME</t>
        </is>
      </c>
      <c r="B2" s="2" t="inlineStr">
        <is>
          <t>OWNER</t>
        </is>
      </c>
      <c r="C2" s="2" t="inlineStr">
        <is>
          <t>URL_DECLARED</t>
        </is>
      </c>
      <c r="D2" s="2" t="inlineStr">
        <is>
          <t>URL_FINAL</t>
        </is>
      </c>
      <c r="E2" s="2" t="inlineStr">
        <is>
          <t>HTTP</t>
        </is>
      </c>
      <c r="F2" s="2" t="inlineStr">
        <is>
          <t>TAMANHO_TEXTO</t>
        </is>
      </c>
      <c r="G2" s="2" t="inlineStr">
        <is>
          <t>VALIDATION</t>
        </is>
      </c>
      <c r="H2" s="2" t="inlineStr">
        <is>
          <t>DE_QUE_LADO_ESTA_A_FALHA</t>
        </is>
      </c>
      <c r="I2" s="2" t="inlineStr">
        <is>
          <t>PORQUE</t>
        </is>
      </c>
      <c r="J2" s="2" t="inlineStr">
        <is>
          <t>O_QUE_FAZER</t>
        </is>
      </c>
      <c r="K2" s="2" t="inlineStr">
        <is>
          <t>VAGA</t>
        </is>
      </c>
    </row>
    <row r="3">
      <c r="A3" s="3" t="inlineStr">
        <is>
          <t>Bollettino Vite Integrato provinciale</t>
        </is>
      </c>
      <c r="B3" s="3" t="inlineStr">
        <is>
          <t>Consorzio LaMMA (Toscana)</t>
        </is>
      </c>
      <c r="C3" s="3" t="inlineStr">
        <is>
          <t>https://www.lamma.toscana.it/previ/ita/agrometeo/</t>
        </is>
      </c>
      <c r="D3" s="3" t="inlineStr">
        <is>
          <t>https://www.lamma.toscana.it/previ/ita/agrometeo/</t>
        </is>
      </c>
      <c r="E3" s="3" t="n">
        <v>403</v>
      </c>
      <c r="F3" s="3" t="n">
        <v>136</v>
      </c>
      <c r="G3" s="3" t="inlineStr">
        <is>
          <t>BLOCKED</t>
        </is>
      </c>
      <c r="H3" s="3" t="inlineStr">
        <is>
          <t>DA FONTE — responde e recusa</t>
        </is>
      </c>
      <c r="I3" s="3" t="inlineStr">
        <is>
          <t>HTTP 403. ⚠️ BLOCKED NAO E' BROKEN: o servidor responde e recusa-me a entrada. A fonte pode estar viva e publicar — pede outra rota, nao outra fonte.</t>
        </is>
      </c>
      <c r="J3" s="3" t="inlineStr">
        <is>
          <t>procurar outra rota do MESMO dono (RSS, PDF direto, area publica).</t>
        </is>
      </c>
      <c r="K3" s="3" t="inlineStr">
        <is>
          <t>37 da missao anterior</t>
        </is>
      </c>
    </row>
    <row r="4">
      <c r="A4" s="3" t="inlineStr">
        <is>
          <t>Coeweb — statistiche del commercio estero (nuova sede)</t>
        </is>
      </c>
      <c r="B4" s="3" t="inlineStr">
        <is>
          <t>ISTAT</t>
        </is>
      </c>
      <c r="C4" s="3" t="inlineStr">
        <is>
          <t>https://esploradati.istat.it/coeweb</t>
        </is>
      </c>
      <c r="D4" s="3" t="inlineStr">
        <is>
          <t>https://esploradati.istat.it/coeweb/databrowser/</t>
        </is>
      </c>
      <c r="E4" s="3" t="n">
        <v>200</v>
      </c>
      <c r="F4" s="3" t="n">
        <v>59</v>
      </c>
      <c r="G4" s="3" t="inlineStr">
        <is>
          <t>BROKEN</t>
        </is>
      </c>
      <c r="H4" s="3" t="inlineStr">
        <is>
          <t>DA FONTE — nao existe ou serve erro</t>
        </is>
      </c>
      <c r="I4" s="3" t="inlineStr">
        <is>
          <t>HTTP 200, 3791 bytes, e a propria aplicacao escreve o erro: «An error occurred». Medido agora — pode ser transitorio, e por isso a data da medicao viaja com o veredito.</t>
        </is>
      </c>
      <c r="J4" s="3" t="inlineStr">
        <is>
          <t>procurar fonte nova, ou a nova sede se houver.</t>
        </is>
      </c>
      <c r="K4" s="3" t="inlineStr">
        <is>
          <t>37 da missao anterior</t>
        </is>
      </c>
    </row>
    <row r="5">
      <c r="A5" s="3" t="inlineStr">
        <is>
          <t>Registro telematico dell'olio</t>
        </is>
      </c>
      <c r="B5" s="3" t="inlineStr">
        <is>
          <t>AGEA / SIAN</t>
        </is>
      </c>
      <c r="C5" s="3" t="inlineStr">
        <is>
          <t>https://www.sian.it/</t>
        </is>
      </c>
      <c r="D5" s="3" t="inlineStr">
        <is>
          <t>https://www.sian.it/portale/</t>
        </is>
      </c>
      <c r="E5" s="3" t="n">
        <v>200</v>
      </c>
      <c r="F5" s="3" t="n">
        <v>4</v>
      </c>
      <c r="G5" s="3" t="inlineStr">
        <is>
          <t>UNKNOWN</t>
        </is>
      </c>
      <c r="H5" s="3" t="inlineStr">
        <is>
          <t>NOSSA — a fonte esta viva</t>
        </is>
      </c>
      <c r="I5" s="3" t="inlineStr">
        <is>
          <t>HTTP 200 com 5950 bytes mas so' 4 caracteres de texto: e' aplicacao de JavaScript, e a minha sonda nao executa JS. ⚠️ A LIMITACAO E' MINHA, nao da fonte. Precisa de navegador com janela para ser lida.</t>
        </is>
      </c>
      <c r="J5" s="3" t="inlineStr">
        <is>
          <t>tentar outra rota de saida (VPN/outro resolvedor) ou navegador com janela. NAO substituir a fonte.</t>
        </is>
      </c>
      <c r="K5" s="3" t="inlineStr">
        <is>
          <t>37 da missao anterior</t>
        </is>
      </c>
    </row>
    <row r="6">
      <c r="A6" s="3" t="inlineStr">
        <is>
          <t>Banca Dati Storica meteo-idro-nivologica</t>
        </is>
      </c>
      <c r="B6" s="3" t="inlineStr">
        <is>
          <t>Arpa Piemonte</t>
        </is>
      </c>
      <c r="C6" s="3" t="inlineStr">
        <is>
          <t>https://www.arpa.piemonte.it/dato/banca-dati-storica-dati-giornalieri-mensili</t>
        </is>
      </c>
      <c r="D6" s="3" t="inlineStr">
        <is>
          <t>https://www.arpa.piemonte.it/dato/banca-dati-storica-dati-giornalieri-mensili</t>
        </is>
      </c>
      <c r="E6" s="3" t="n">
        <v>0</v>
      </c>
      <c r="F6" s="3" t="n">
        <v>0</v>
      </c>
      <c r="G6" s="3" t="inlineStr">
        <is>
          <t>UNKNOWN</t>
        </is>
      </c>
      <c r="H6" s="3" t="inlineStr">
        <is>
          <t>NOSSA — a fonte esta viva</t>
        </is>
      </c>
      <c r="I6" s="3" t="inlineStr">
        <is>
          <t>o DNS DESTA MAQUINA nao resolve «www.arpa.piemonte.it», mas o resolve no DNS publico: 84.240.178.144, 84.240.178.132, 84.240.178.150. ⚠️ A FONTE ESTA VIVA; o limite e' nosso. Escrever BROKEN aqui apagaria do acervo uma agencia regional que publica. Pede outra rota de saida (VPN, outro resolvedor), nao outra fonte.</t>
        </is>
      </c>
      <c r="J6" s="3" t="inlineStr">
        <is>
          <t>tentar outra rota de saida (VPN/outro resolvedor) ou navegador com janela. NAO substituir a fonte.</t>
        </is>
      </c>
      <c r="K6" s="3" t="inlineStr">
        <is>
          <t>37 da missao anterior</t>
        </is>
      </c>
    </row>
    <row r="7">
      <c r="A7" s="3" t="inlineStr">
        <is>
          <t>Centri di saggio con certificazione GEP</t>
        </is>
      </c>
      <c r="B7" s="3" t="inlineStr">
        <is>
          <t>privados: Agrea (agrea.it), Sagea (sagea.com), AgriSearch (agrisearch-innovations.com), Agro Services (agroservicesperimentazione.com), Agritec (agritecsrl.it), Repros (repros.vi.it)</t>
        </is>
      </c>
      <c r="C7" s="3" t="inlineStr">
        <is>
          <t>https://www.agrea.it/</t>
        </is>
      </c>
      <c r="D7" s="3" t="inlineStr">
        <is>
          <t>https://www.agrea.it/</t>
        </is>
      </c>
      <c r="E7" s="3" t="n">
        <v>200</v>
      </c>
      <c r="F7" s="3" t="n">
        <v>2258</v>
      </c>
      <c r="G7" s="3" t="inlineStr">
        <is>
          <t>WRONG_SOURCE</t>
        </is>
      </c>
      <c r="H7" s="3" t="inlineStr">
        <is>
          <t>NEM UMA NEM OUTRA — abre e nao e' disto</t>
        </is>
      </c>
      <c r="I7" s="3" t="inlineStr">
        <is>
          <t>nao e' rota quebrada: e' fonte que NAO PODE publicar o dado. Gap de acesso, decidido na missao anterior.</t>
        </is>
      </c>
      <c r="J7" s="3" t="inlineStr">
        <is>
          <t>nao e' problema de rota: e' de expectativa.</t>
        </is>
      </c>
      <c r="K7" s="3" t="inlineStr">
        <is>
          <t>37 da missao anterior</t>
        </is>
      </c>
    </row>
    <row r="8">
      <c r="A8" s="3" t="inlineStr">
        <is>
          <t>Demo Days e open day de sementes horticolas</t>
        </is>
      </c>
      <c r="B8" s="3" t="inlineStr">
        <is>
          <t>Syngenta Italia / Syngenta Vegetable Seeds</t>
        </is>
      </c>
      <c r="C8" s="3" t="inlineStr">
        <is>
          <t>https://www.syngentavegetables.com/it-it/open-day/demo-days-colture-foglia-e-brassicacee-2026</t>
        </is>
      </c>
      <c r="D8" s="3" t="inlineStr">
        <is>
          <t>https://www.syngentavegetables.com/it-it/open-day/demo-days-colture-foglia-e-brassicacee-2026</t>
        </is>
      </c>
      <c r="E8" s="3" t="n">
        <v>403</v>
      </c>
      <c r="F8" s="3" t="n">
        <v>1711</v>
      </c>
      <c r="G8" s="3" t="inlineStr">
        <is>
          <t>BLOCKED</t>
        </is>
      </c>
      <c r="H8" s="3" t="inlineStr">
        <is>
          <t>DA FONTE — responde e recusa</t>
        </is>
      </c>
      <c r="I8" s="3" t="inlineStr">
        <is>
          <t>HTTP 403. ⚠️ BLOCKED NAO E' BROKEN: o servidor responde e recusa-me a entrada. A fonte pode estar viva e publicar — pede outra rota, nao outra fonte.</t>
        </is>
      </c>
      <c r="J8" s="3" t="inlineStr">
        <is>
          <t>procurar outra rota do MESMO dono (RSS, PDF direto, area publica).</t>
        </is>
      </c>
      <c r="K8" s="3" t="inlineStr">
        <is>
          <t>37 da missao anterior</t>
        </is>
      </c>
    </row>
    <row r="9">
      <c r="A9" s="3" t="inlineStr">
        <is>
          <t>Catalogo annuale di gamma</t>
        </is>
      </c>
      <c r="B9" s="3" t="inlineStr">
        <is>
          <t>Syngenta Italia</t>
        </is>
      </c>
      <c r="C9" s="3" t="inlineStr">
        <is>
          <t>https://www.syngenta.it/catalogo-syngenta-2026-le-persone-al-centro</t>
        </is>
      </c>
      <c r="D9" s="3" t="inlineStr">
        <is>
          <t>https://www.syngenta.it/catalogo-syngenta-2026-le-persone-al-centro</t>
        </is>
      </c>
      <c r="E9" s="3" t="n">
        <v>403</v>
      </c>
      <c r="F9" s="3" t="n">
        <v>1704</v>
      </c>
      <c r="G9" s="3" t="inlineStr">
        <is>
          <t>BLOCKED</t>
        </is>
      </c>
      <c r="H9" s="3" t="inlineStr">
        <is>
          <t>DA FONTE — responde e recusa</t>
        </is>
      </c>
      <c r="I9" s="3" t="inlineStr">
        <is>
          <t>HTTP 403. ⚠️ BLOCKED NAO E' BROKEN: o servidor responde e recusa-me a entrada. A fonte pode estar viva e publicar — pede outra rota, nao outra fonte.</t>
        </is>
      </c>
      <c r="J9" s="3" t="inlineStr">
        <is>
          <t>procurar outra rota do MESMO dono (RSS, PDF direto, area publica).</t>
        </is>
      </c>
      <c r="K9" s="3" t="inlineStr">
        <is>
          <t>37 da missao anterior</t>
        </is>
      </c>
    </row>
    <row r="10">
      <c r="A10" s="3" t="inlineStr">
        <is>
          <t>Bollettini di difesa integrata — colture erbacee (mais e soia)</t>
        </is>
      </c>
      <c r="B10" s="3" t="inlineStr">
        <is>
          <t>ERSA — Agenzia regionale per lo sviluppo rurale del Friuli Venezia Giulia</t>
        </is>
      </c>
      <c r="C10" s="3" t="inlineStr">
        <is>
          <t>http://difesafitosanitaria.ersa.fvg.it/difesa-e-produzione-integrata/difesa-integrata-obbligatoria/bollettini-fitosanitari/colture-erbacee-orticole/bollettini-2026</t>
        </is>
      </c>
      <c r="D10" s="3" t="inlineStr">
        <is>
          <t>http://difesafitosanitaria.ersa.fvg.it/difesa-e-produzione-integrata/difesa-integrata-obbligatoria/bollettini-fitosanitari/colture-erbacee-orticole/bollettini-2026</t>
        </is>
      </c>
      <c r="E10" s="3" t="n">
        <v>0</v>
      </c>
      <c r="F10" s="3" t="n">
        <v>0</v>
      </c>
      <c r="G10" s="3" t="inlineStr">
        <is>
          <t>UNKNOWN</t>
        </is>
      </c>
      <c r="H10" s="3" t="inlineStr">
        <is>
          <t>NOSSA — a fonte esta viva</t>
        </is>
      </c>
      <c r="I10" s="3" t="inlineStr">
        <is>
          <t>o DNS DESTA MAQUINA nao resolve «difesafitosanitaria.ersa.fvg.it», mas o resolve no DNS publico: 135.181.210.8. ⚠️ A FONTE ESTA VIVA; o limite e' nosso. Escrever BROKEN aqui apagaria do acervo uma agencia regional que publica. Pede outra rota de saida (VPN, outro resolvedor), nao outra fonte.</t>
        </is>
      </c>
      <c r="J10" s="3" t="inlineStr">
        <is>
          <t>tentar outra rota de saida (VPN/outro resolvedor) ou navegador com janela. NAO substituir a fonte.</t>
        </is>
      </c>
      <c r="K10" s="3" t="inlineStr">
        <is>
          <t>13 desta missao</t>
        </is>
      </c>
    </row>
    <row r="11">
      <c r="A11" s="3" t="inlineStr">
        <is>
          <t>Bollettino Colture Erbacee</t>
        </is>
      </c>
      <c r="B11" s="3" t="inlineStr">
        <is>
          <t>Veneto Agricoltura</t>
        </is>
      </c>
      <c r="C11" s="3" t="inlineStr">
        <is>
          <t>https://www.venetoagricoltura.org/</t>
        </is>
      </c>
      <c r="D11" s="3" t="inlineStr">
        <is>
          <t>https://www.venetoagricoltura.org/home</t>
        </is>
      </c>
      <c r="E11" s="3" t="n">
        <v>200</v>
      </c>
      <c r="F11" s="3" t="n">
        <v>8</v>
      </c>
      <c r="G11" s="3" t="inlineStr">
        <is>
          <t>UNKNOWN</t>
        </is>
      </c>
      <c r="H11" s="3" t="inlineStr">
        <is>
          <t>NOSSA — a fonte esta viva</t>
        </is>
      </c>
      <c r="I11" s="3" t="inlineStr">
        <is>
          <t>HTTP 200 com 6250 bytes mas so' 8 caracteres de texto: e' aplicacao de JavaScript, e a minha sonda nao executa JS. ⚠️ A LIMITACAO E' MINHA, nao da fonte. Precisa de navegador com janela para ser lida.</t>
        </is>
      </c>
      <c r="J11" s="3" t="inlineStr">
        <is>
          <t>tentar outra rota de saida (VPN/outro resolvedor) ou navegador com janela. NAO substituir a fonte.</t>
        </is>
      </c>
      <c r="K11" s="3" t="inlineStr">
        <is>
          <t>13 desta missao</t>
        </is>
      </c>
    </row>
    <row r="12">
      <c r="A12" s="3" t="inlineStr">
        <is>
          <t>IrriNet e FERTIRRINET</t>
        </is>
      </c>
      <c r="B12" s="3" t="inlineStr">
        <is>
          <t>CER — Canale Emiliano Romagnolo / ANBI, para a Regione Emilia-Romagna</t>
        </is>
      </c>
      <c r="C12" s="3" t="inlineStr">
        <is>
          <t>https://www.irriframe.it/</t>
        </is>
      </c>
      <c r="D12" s="3" t="inlineStr">
        <is>
          <t>https://www.irriframe.it/</t>
        </is>
      </c>
      <c r="E12" s="3" t="n">
        <v>200</v>
      </c>
      <c r="F12" s="3" t="n">
        <v>143</v>
      </c>
      <c r="G12" s="3" t="inlineStr">
        <is>
          <t>UNKNOWN</t>
        </is>
      </c>
      <c r="H12" s="3" t="inlineStr">
        <is>
          <t>NOSSA — a fonte esta viva</t>
        </is>
      </c>
      <c r="I12" s="3" t="inlineStr">
        <is>
          <t>HTTP 200 com 143 caracteres e a pagina diz «Stai per essere reindirizzat»: e' REDIRECIONAMENTO por meta-refresh ou JavaScript, que o urllib nao segue. ⚠️ A fonte esta viva e o destino nao foi medido — placa de «siga em frente» nao e' porta fechada.</t>
        </is>
      </c>
      <c r="J12" s="3" t="inlineStr">
        <is>
          <t>tentar outra rota de saida (VPN/outro resolvedor) ou navegador com janela. NAO substituir a fonte.</t>
        </is>
      </c>
      <c r="K12" s="3" t="inlineStr">
        <is>
          <t>13 desta missao</t>
        </is>
      </c>
    </row>
    <row r="13">
      <c r="A13" s="3" t="inlineStr">
        <is>
          <t>SAL — Servizio Agrometeorologico Lucano, e os bollettini do SeDI</t>
        </is>
      </c>
      <c r="B13" s="3" t="inlineStr">
        <is>
          <t>ALSIA — Agenzia Lucana di Sviluppo e di Innovazione in Agricoltura, pela Regione Basilicata</t>
        </is>
      </c>
      <c r="C13" s="3" t="inlineStr">
        <is>
          <t>https://www.alsia.it/opencms/opencms/Temi/dettaglio/Agrometeorologia/</t>
        </is>
      </c>
      <c r="D13" s="3" t="inlineStr">
        <is>
          <t>https://www.alsia.it/opencms/opencms/Temi/dettaglio/Agrometeorologia/</t>
        </is>
      </c>
      <c r="E13" s="3" t="n">
        <v>0</v>
      </c>
      <c r="F13" s="3" t="n">
        <v>0</v>
      </c>
      <c r="G13" s="3" t="inlineStr">
        <is>
          <t>UNKNOWN</t>
        </is>
      </c>
      <c r="H13" s="3" t="inlineStr">
        <is>
          <t>NOSSA — a fonte esta viva</t>
        </is>
      </c>
      <c r="I13" s="3" t="inlineStr">
        <is>
          <t>o DNS DESTA MAQUINA nao resolve «www.alsia.it», mas o resolve no DNS publico: 78.40.170.40. ⚠️ A FONTE ESTA VIVA; o limite e' nosso. Escrever BROKEN aqui apagaria do acervo uma agencia regional que publica. Pede outra rota de saida (VPN, outro resolvedor), nao outra fonte.</t>
        </is>
      </c>
      <c r="J13" s="3" t="inlineStr">
        <is>
          <t>tentar outra rota de saida (VPN/outro resolvedor) ou navegador com janela. NAO substituir a fonte.</t>
        </is>
      </c>
      <c r="K13" s="3" t="inlineStr">
        <is>
          <t>13 desta missao</t>
        </is>
      </c>
    </row>
    <row r="14">
      <c r="A14" s="3" t="inlineStr">
        <is>
          <t>Bollettini AgroAmbiente e Disciplinare di Produzione Integrata</t>
        </is>
      </c>
      <c r="B14" s="3" t="inlineStr">
        <is>
          <t>Regione Abruzzo — AgroAmbiente</t>
        </is>
      </c>
      <c r="C14" s="3" t="inlineStr">
        <is>
          <t>https://agroambiente.regione.abruzzo.it/</t>
        </is>
      </c>
      <c r="D14" s="3" t="inlineStr">
        <is>
          <t>https://agroambiente.regione.abruzzo.it/</t>
        </is>
      </c>
      <c r="E14" s="3" t="n">
        <v>200</v>
      </c>
      <c r="F14" s="3" t="n">
        <v>235</v>
      </c>
      <c r="G14" s="3" t="inlineStr">
        <is>
          <t>UNKNOWN</t>
        </is>
      </c>
      <c r="H14" s="3" t="inlineStr">
        <is>
          <t>NOSSA — a fonte esta viva</t>
        </is>
      </c>
      <c r="I14" s="3" t="inlineStr">
        <is>
          <t>HTTP 200 com 23228 bytes mas so' 235 caracteres de texto: e' aplicacao de JavaScript, e a minha sonda nao executa JS. ⚠️ A LIMITACAO E' MINHA, nao da fonte. Precisa de navegador com janela para ser lida.</t>
        </is>
      </c>
      <c r="J14" s="3" t="inlineStr">
        <is>
          <t>tentar outra rota de saida (VPN/outro resolvedor) ou navegador com janela. NAO substituir a fonte.</t>
        </is>
      </c>
      <c r="K14" s="3" t="inlineStr">
        <is>
          <t>13 desta missao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60" customWidth="1" min="2" max="2"/>
  </cols>
  <sheetData>
    <row r="1" ht="46" customHeight="1">
      <c r="A1" s="1" t="inlineStr">
        <is>
          <t>COMECE AQUI.</t>
        </is>
      </c>
    </row>
    <row r="2">
      <c r="A2" s="2" t="inlineStr">
        <is>
          <t>O_QUE</t>
        </is>
      </c>
      <c r="B2" s="2" t="inlineStr">
        <is>
          <t>RESPOSTA</t>
        </is>
      </c>
    </row>
    <row r="3">
      <c r="A3" s="3" t="inlineStr">
        <is>
          <t>PERGUNTA DESTA MISSAO</t>
        </is>
      </c>
      <c r="B3" s="3" t="inlineStr">
        <is>
          <t>quais fontes reais precisamos adicionar para que as ferramentas de Intelligence tenham materia-prima suficiente, comprovada e recorrente.</t>
        </is>
      </c>
    </row>
    <row r="4">
      <c r="A4" s="3" t="inlineStr">
        <is>
          <t>AS 37 ANTERIORES, ABERTAS</t>
        </is>
      </c>
      <c r="B4" s="3" t="inlineStr">
        <is>
          <t>BLOCKED=3 · BROKEN=1 · UNKNOWN=2 · VALIDATED_BUT_SECONDARY=15 · VALIDATED_STRONG=9 · VALIDATED_USEFUL=6 · WRONG_SOURCE=1</t>
        </is>
      </c>
    </row>
    <row r="5">
      <c r="A5" s="3" t="inlineStr">
        <is>
          <t>AS 13 DESTA MISSAO</t>
        </is>
      </c>
      <c r="B5" s="3" t="inlineStr">
        <is>
          <t>UNKNOWN=5 · VALIDATED_STRONG=6 · VALIDATED_USEFUL=2</t>
        </is>
      </c>
    </row>
    <row r="6">
      <c r="A6" s="3" t="inlineStr">
        <is>
          <t>OS 15 CRITICOS, POR TIPO</t>
        </is>
      </c>
      <c r="B6" s="3" t="inlineStr">
        <is>
          <t>COLLECTION_CAPABILITY_GAP=1 · DATA_MODEL_GAP=4 · SOURCE_GAP=10 · ainda pedem fonte: 2</t>
        </is>
      </c>
    </row>
    <row r="7">
      <c r="A7" s="3" t="inlineStr">
        <is>
          <t>READY_TO_REGISTER</t>
        </is>
      </c>
      <c r="B7" s="3" t="inlineStr">
        <is>
          <t>23 fontes passaram a porta das dez coisas. 27 ficaram fora, e a folha REJECTED diz por que.</t>
        </is>
      </c>
    </row>
    <row r="8">
      <c r="A8" s="3" t="inlineStr">
        <is>
          <t>CULTURAS</t>
        </is>
      </c>
      <c r="B8" s="3" t="inlineStr">
        <is>
          <t>as 5 que estavam a zero (trigo, trigo duro, milho, soja, tomate — 14 das 29 janelas) tem agora fonte aberta e validada. Nenhuma das 10 culturas do casco fica sem fonte.</t>
        </is>
      </c>
    </row>
    <row r="9">
      <c r="A9" s="3" t="inlineStr">
        <is>
          <t>REGIOES</t>
        </is>
      </c>
      <c r="B9" s="3" t="inlineStr">
        <is>
          <t>as 2 a zero (Basilicata, Valle d'Aosta) fecharam com fonte REGIONAL propria. Fonte nacional continua a nao contar como cobertura regional.</t>
        </is>
      </c>
    </row>
    <row r="10">
      <c r="A10" s="3" t="inlineStr">
        <is>
          <t>O ERRO MEU MAIS CARO</t>
        </is>
      </c>
      <c r="B10" s="3" t="inlineStr">
        <is>
          <t>o identificador de dataflow do ISTAT que eu publiquei na missao anterior — «DCSP_COLTIVAZIONI» — NAO EXISTE. O servico responde «Could not find requested structures». O verdadeiro e' `101_1015_DF_DCSP_COLTIVAZIONI_1`, achado a procurar nos 4.907 dataflows publicados. Quem tentasse coletar pelo meu ID receberia 404.</t>
        </is>
      </c>
    </row>
    <row r="11">
      <c r="A11" s="3" t="inlineStr">
        <is>
          <t>O QUE A SONDA ME ENSINOU</t>
        </is>
      </c>
      <c r="B11" s="3" t="inlineStr">
        <is>
          <t>que `getaddrinfo failed` NAO e' prova de fonte morta. Tres fontes vivas quase foram declaradas BROKEN por falha de DNS desta maquina. A pergunta certa nunca e' «falhou?», e' «falhou de que lado?».</t>
        </is>
      </c>
    </row>
    <row r="12">
      <c r="A12" s="3" t="inlineStr">
        <is>
          <t>O QUE NAO SE FEZ</t>
        </is>
      </c>
      <c r="B12" s="3" t="inlineStr">
        <is>
          <t>COLLECTION_RUNS_CREATED = 0 · RAW_OBSERVATIONS_CREATED = 0 · DERIVED_CREATED = 0 · STRUCTURED_CREATED = 0 · ADMISSION_CREATED = 0 · WAITING_ROOM_DELTA = 0 · SOURCE_ID = 0 · DOCUMENT_ID = 0 · ATLAS_PROMOTION = NOT_RUN · PORTAL_CHANGED = NO</t>
        </is>
      </c>
    </row>
    <row r="13">
      <c r="A13" s="3" t="inlineStr">
        <is>
          <t>O QUE ISTO NAO PROVA</t>
        </is>
      </c>
      <c r="B13" s="3" t="inlineStr">
        <is>
          <t>a sonda le HTML e nao executa JavaScript: quatro portais do Estado italiano ficam ilegiveis por isso. Nenhum conteudo foi guardado em ficheiro. Nenhuma afiliacao de pessoa foi verificada em perfil institucional. E ler a pagina de entrada nao e' ler o arquivo: recorrencia declarada nao e' recorrencia contada edicao a edicao.</t>
        </is>
      </c>
    </row>
    <row r="14">
      <c r="A14" s="3" t="inlineStr">
        <is>
          <t>DONO DA TAXONOMIA</t>
        </is>
      </c>
      <c r="B14" s="3" t="inlineStr">
        <is>
          <t>docs/fontes/ATLAS-DE-FONTES-EAME.md, via _territorios.py. Todo codigo T foi validado contra ele. T13 nao e' canonico e nao aparece.</t>
        </is>
      </c>
    </row>
    <row r="15">
      <c r="A15" s="3" t="inlineStr">
        <is>
          <t>TRABALHO PARALELO CARREGADO</t>
        </is>
      </c>
      <c r="B15" s="3" t="inlineStr">
        <is>
          <t>origin/claude/italy-source-qualification-v1, commit d9535783: qualificacao das 381 do acervo base (PASS 265 · REVIEW 88 · REJECT 25; P1 161) e 125 correcoes de endereco canonico. Duas tocam nesta entrega, e uma corrigiu um DONO meu — a ASSAM Marche foi absorvida pela AMAP Marche.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2026-09-14T19:57:31Z</dcterms:created>
  <dcterms:modified xsi:type="dcterms:W3CDTF">2026-09-14T19:57:31Z</dcterms:modified>
</cp:coreProperties>
</file>