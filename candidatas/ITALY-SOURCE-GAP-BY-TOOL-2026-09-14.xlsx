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OOL_RAW_NEEDS" sheetId="1" state="visible" r:id="rId1"/>
    <sheet name="CURRENT_COVERAGE" sheetId="2" state="visible" r:id="rId2"/>
    <sheet name="CRITICAL_GAPS" sheetId="3" state="visible" r:id="rId3"/>
    <sheet name="NEW_SOURCES" sheetId="4" state="visible" r:id="rId4"/>
    <sheet name="SOURCE_TO_TOOL" sheetId="5" state="visible" r:id="rId5"/>
    <sheet name="RADAR_INPUTS" sheetId="6" state="visible" r:id="rId6"/>
    <sheet name="REGION_GAPS" sheetId="7" state="visible" r:id="rId7"/>
    <sheet name="CROP_GAPS" sheetId="8" state="visible" r:id="rId8"/>
    <sheet name="SOCIAL_GAPS" sheetId="9" state="visible" r:id="rId9"/>
    <sheet name="PEOPLE_GAPS" sheetId="10" state="visible" r:id="rId10"/>
    <sheet name="DEAD_ROUTES" sheetId="11" state="visible" r:id="rId11"/>
    <sheet name="SEARCH_LOG" sheetId="12" state="visible" r:id="rId12"/>
    <sheet name="README" sheetId="13" state="visible" r:id="rId1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7">
    <fill>
      <patternFill/>
    </fill>
    <fill>
      <patternFill patternType="gray125"/>
    </fill>
    <fill>
      <patternFill patternType="solid">
        <fgColor rgb="00FFF2CC"/>
      </patternFill>
    </fill>
    <fill>
      <patternFill patternType="solid">
        <fgColor rgb="001F3864"/>
      </patternFill>
    </fill>
    <fill>
      <patternFill patternType="solid">
        <fgColor rgb="00D9EAD3"/>
      </patternFill>
    </fill>
    <fill>
      <patternFill patternType="solid">
        <fgColor rgb="00F4CCCC"/>
      </patternFill>
    </fill>
    <fill>
      <patternFill patternType="solid">
        <fgColor rgb="00FCE5CD"/>
      </patternFill>
    </fill>
  </fills>
  <borders count="1">
    <border>
      <left/>
      <right/>
      <top/>
      <bottom/>
      <diagonal/>
    </border>
  </borders>
  <cellStyleXfs count="1">
    <xf numFmtId="0" fontId="0" fillId="0" borderId="0"/>
  </cellStyleXfs>
  <cellXfs count="7">
    <xf numFmtId="0" fontId="0" fillId="0" borderId="0" pivotButton="0" quotePrefix="0" xfId="0"/>
    <xf numFmtId="0" fontId="0" fillId="2" borderId="0" applyAlignment="1" pivotButton="0" quotePrefix="0" xfId="0">
      <alignment vertical="top" wrapText="1"/>
    </xf>
    <xf numFmtId="0" fontId="1" fillId="3" borderId="0" applyAlignment="1" pivotButton="0" quotePrefix="0" xfId="0">
      <alignment vertical="center" wrapText="1"/>
    </xf>
    <xf numFmtId="0" fontId="0" fillId="0" borderId="0" applyAlignment="1" pivotButton="0" quotePrefix="0" xfId="0">
      <alignment vertical="top" wrapText="1"/>
    </xf>
    <xf numFmtId="0" fontId="0" fillId="4" borderId="0" applyAlignment="1" pivotButton="0" quotePrefix="0" xfId="0">
      <alignment vertical="top" wrapText="1"/>
    </xf>
    <xf numFmtId="0" fontId="0" fillId="5" borderId="0" applyAlignment="1" pivotButton="0" quotePrefix="0" xfId="0">
      <alignment vertical="top" wrapText="1"/>
    </xf>
    <xf numFmtId="0" fontId="0" fillId="6"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styles" Target="styles.xml" Id="rId14" /><Relationship Type="http://schemas.openxmlformats.org/officeDocument/2006/relationships/theme" Target="theme/theme1.xml" Id="rId1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74"/>
  <sheetViews>
    <sheetView workbookViewId="0">
      <pane ySplit="2" topLeftCell="A3" activePane="bottomLeft" state="frozen"/>
      <selection pane="bottomLeft" activeCell="A1" sqref="A1"/>
    </sheetView>
  </sheetViews>
  <sheetFormatPr baseColWidth="8" defaultRowHeight="15"/>
  <cols>
    <col width="13" customWidth="1" min="1" max="1"/>
    <col width="27" customWidth="1" min="2" max="2"/>
    <col width="20" customWidth="1" min="3" max="3"/>
    <col width="62" customWidth="1" min="4" max="4"/>
    <col width="62" customWidth="1" min="5" max="5"/>
    <col width="62" customWidth="1" min="6" max="6"/>
    <col width="25" customWidth="1" min="7" max="7"/>
    <col width="17" customWidth="1" min="8" max="8"/>
    <col width="11" customWidth="1" min="9" max="9"/>
    <col width="12" customWidth="1" min="10" max="10"/>
    <col width="22" customWidth="1" min="11" max="11"/>
    <col width="62" customWidth="1" min="12" max="12"/>
    <col width="62" customWidth="1" min="13" max="13"/>
  </cols>
  <sheetData>
    <row r="1" ht="44" customHeight="1">
      <c r="A1" s="1" t="inlineStr">
        <is>
          <t>UMA LINHA = UMA MATERIA-PRIMA que uma ferramenta precisa ANTES da Intelligence. As 9 ferramentas foram MEDIDAS no portal (zona Z-TELAS), nao copiadas do pedido: Archivio e Registro delle fonti ficaram fora porque nao sao Intelligence. ANCORA=CONTRATO quer dizer que a necessidade vem de um ficheiro de contrato do bloco; ANCORA=DADO_MEDIDO quer dizer que vem da leitura do dado real.</t>
        </is>
      </c>
    </row>
    <row r="2">
      <c r="A2" s="2" t="inlineStr">
        <is>
          <t>TOOL</t>
        </is>
      </c>
      <c r="B2" s="2" t="inlineStr">
        <is>
          <t>FERRAMENTA_NO_PORTAL</t>
        </is>
      </c>
      <c r="C2" s="2" t="inlineStr">
        <is>
          <t>PECA_NO_MAPA</t>
        </is>
      </c>
      <c r="D2" s="2" t="inlineStr">
        <is>
          <t>PERGUNTA_QUE_A_FERRAMENTA_RESPONDE</t>
        </is>
      </c>
      <c r="E2" s="2" t="inlineStr">
        <is>
          <t>RAW_NEED</t>
        </is>
      </c>
      <c r="F2" s="2" t="inlineStr">
        <is>
          <t>REQUIRED_FIELDS</t>
        </is>
      </c>
      <c r="G2" s="2" t="inlineStr">
        <is>
          <t>FRESHNESS</t>
        </is>
      </c>
      <c r="H2" s="2" t="inlineStr">
        <is>
          <t>GEO</t>
        </is>
      </c>
      <c r="I2" s="2" t="inlineStr">
        <is>
          <t>TEMPORAL</t>
        </is>
      </c>
      <c r="J2" s="2" t="inlineStr">
        <is>
          <t>TERRITORIO</t>
        </is>
      </c>
      <c r="K2" s="2" t="inlineStr">
        <is>
          <t>ANCORA</t>
        </is>
      </c>
      <c r="L2" s="2" t="inlineStr">
        <is>
          <t>PROVA_DA_NECESSIDADE</t>
        </is>
      </c>
      <c r="M2" s="2" t="inlineStr">
        <is>
          <t>O_QUE_O_CASCO_TEM_HOJE</t>
        </is>
      </c>
    </row>
    <row r="3">
      <c r="A3" s="3" t="inlineStr">
        <is>
          <t>WINDOWS</t>
        </is>
      </c>
      <c r="B3" s="3" t="inlineStr">
        <is>
          <t>Finestre Colturali</t>
        </is>
      </c>
      <c r="C3" s="3" t="inlineStr">
        <is>
          <t>C-TELA-WINDOWS</t>
        </is>
      </c>
      <c r="D3" s="3" t="inlineStr">
        <is>
          <t>Que janela de cultura x problema esta aberta agora, em que regiao, e quanto tempo falta para a proxima?</t>
        </is>
      </c>
      <c r="E3" s="3" t="inlineStr">
        <is>
          <t>Cultura e regiao da janela</t>
        </is>
      </c>
      <c r="F3" s="3" t="inlineStr">
        <is>
          <t>CROP_NAME · REGION</t>
        </is>
      </c>
      <c r="G3" s="3" t="inlineStr">
        <is>
          <t>anual</t>
        </is>
      </c>
      <c r="H3" s="3" t="inlineStr">
        <is>
          <t>REGIAO</t>
        </is>
      </c>
      <c r="I3" s="3" t="inlineStr">
        <is>
          <t>temporada</t>
        </is>
      </c>
      <c r="J3" s="3" t="inlineStr">
        <is>
          <t>T1</t>
        </is>
      </c>
      <c r="K3" s="3" t="inlineStr">
        <is>
          <t>CONTRATO</t>
        </is>
      </c>
      <c r="L3" s="3" t="inlineStr">
        <is>
          <t>windows.spec: 29 rows over 10 crops x 9 regions</t>
        </is>
      </c>
      <c r="M3" s="3" t="inlineStr">
        <is>
          <t>CAN.windows CROP_NAME 29/29 · REGION 29/29</t>
        </is>
      </c>
    </row>
    <row r="4">
      <c r="A4" s="3" t="inlineStr">
        <is>
          <t>WINDOWS</t>
        </is>
      </c>
      <c r="B4" s="3" t="inlineStr">
        <is>
          <t>Finestre Colturali</t>
        </is>
      </c>
      <c r="C4" s="3" t="inlineStr">
        <is>
          <t>C-TELA-WINDOWS</t>
        </is>
      </c>
      <c r="D4" s="3" t="inlineStr">
        <is>
          <t>Que janela de cultura x problema esta aberta agora, em que regiao, e quanto tempo falta para a proxima?</t>
        </is>
      </c>
      <c r="E4" s="3" t="inlineStr">
        <is>
          <t>Datas de inicio e fim da janela</t>
        </is>
      </c>
      <c r="F4" s="3" t="inlineStr">
        <is>
          <t>START_DATE · END_DATE · DATE_CONFIDENCE · DATE_STATE</t>
        </is>
      </c>
      <c r="G4" s="3" t="inlineStr">
        <is>
          <t>anual</t>
        </is>
      </c>
      <c r="H4" s="3" t="inlineStr">
        <is>
          <t>REGIAO</t>
        </is>
      </c>
      <c r="I4" s="3" t="inlineStr">
        <is>
          <t>dia</t>
        </is>
      </c>
      <c r="J4" s="3" t="inlineStr">
        <is>
          <t>T1 T3</t>
        </is>
      </c>
      <c r="K4" s="3" t="inlineStr">
        <is>
          <t>CONTRATO</t>
        </is>
      </c>
      <c r="L4" s="3" t="inlineStr">
        <is>
          <t>windows.spec: 24/29 rows have real dates</t>
        </is>
      </c>
      <c r="M4" s="3" t="inlineStr">
        <is>
          <t>CAN.windows START_DATE 24/29 (83%) · END_DATE 24/29</t>
        </is>
      </c>
    </row>
    <row r="5">
      <c r="A5" s="3" t="inlineStr">
        <is>
          <t>WINDOWS</t>
        </is>
      </c>
      <c r="B5" s="3" t="inlineStr">
        <is>
          <t>Finestre Colturali</t>
        </is>
      </c>
      <c r="C5" s="3" t="inlineStr">
        <is>
          <t>C-TELA-WINDOWS</t>
        </is>
      </c>
      <c r="D5" s="3" t="inlineStr">
        <is>
          <t>Que janela de cultura x problema esta aberta agora, em que regiao, e quanto tempo falta para a proxima?</t>
        </is>
      </c>
      <c r="E5" s="3" t="inlineStr">
        <is>
          <t>FASE FENOLOGICA DA CULTURA (o que a planta esta a fazer)</t>
        </is>
      </c>
      <c r="F5" s="3" t="inlineStr">
        <is>
          <t>CROP_STAGE · CROP_STAGE_SOURCE · GENERATION_OR_STAGE · BBCH</t>
        </is>
      </c>
      <c r="G5" s="3" t="inlineStr">
        <is>
          <t>semanal</t>
        </is>
      </c>
      <c r="H5" s="3" t="inlineStr">
        <is>
          <t>REGIAO</t>
        </is>
      </c>
      <c r="I5" s="3" t="inlineStr">
        <is>
          <t>semana</t>
        </is>
      </c>
      <c r="J5" s="3" t="inlineStr">
        <is>
          <t>T1 T3</t>
        </is>
      </c>
      <c r="K5" s="3" t="inlineStr">
        <is>
          <t>CONTRATO+DADO_MEDIDO</t>
        </is>
      </c>
      <c r="L5" s="3" t="inlineStr">
        <is>
          <t>windows.spec fieldsThatDie: 'crop phenology stages (D.CROP_CAL[crop].stages — Sowing, Tillering, ... Harvest)' verdict REMOVE_SUBCOMPONENT</t>
        </is>
      </c>
      <c r="M5" s="3" t="inlineStr">
        <is>
          <t>CAN.windows CROP_STAGE 0/29 · CROP_STAGE_SOURCE 0/29 · GENERATION_OR_STAGE 0/29</t>
        </is>
      </c>
    </row>
    <row r="6">
      <c r="A6" s="3" t="inlineStr">
        <is>
          <t>WINDOWS</t>
        </is>
      </c>
      <c r="B6" s="3" t="inlineStr">
        <is>
          <t>Finestre Colturali</t>
        </is>
      </c>
      <c r="C6" s="3" t="inlineStr">
        <is>
          <t>C-TELA-WINDOWS</t>
        </is>
      </c>
      <c r="D6" s="3" t="inlineStr">
        <is>
          <t>Que janela de cultura x problema esta aberta agora, em que regiao, e quanto tempo falta para a proxima?</t>
        </is>
      </c>
      <c r="E6" s="3" t="inlineStr">
        <is>
          <t>FASE DO PROBLEMA (em que estadio esta a praga/doenca)</t>
        </is>
      </c>
      <c r="F6" s="3" t="inlineStr">
        <is>
          <t>ISSUE_STAGE · ISSUE_STAGE_SOURCE</t>
        </is>
      </c>
      <c r="G6" s="3" t="inlineStr">
        <is>
          <t>semanal</t>
        </is>
      </c>
      <c r="H6" s="3" t="inlineStr">
        <is>
          <t>REGIAO</t>
        </is>
      </c>
      <c r="I6" s="3" t="inlineStr">
        <is>
          <t>semana</t>
        </is>
      </c>
      <c r="J6" s="3" t="inlineStr">
        <is>
          <t>T3</t>
        </is>
      </c>
      <c r="K6" s="3" t="inlineStr">
        <is>
          <t>DADO_MEDIDO</t>
        </is>
      </c>
      <c r="L6" s="3" t="inlineStr">
        <is>
          <t>os campos existem no contrato canonico e estao vazios</t>
        </is>
      </c>
      <c r="M6" s="3" t="inlineStr">
        <is>
          <t>CAN.windows ISSUE_STAGE 0/29 · ISSUE_STAGE_SOURCE 0/29</t>
        </is>
      </c>
    </row>
    <row r="7">
      <c r="A7" s="3" t="inlineStr">
        <is>
          <t>WINDOWS</t>
        </is>
      </c>
      <c r="B7" s="3" t="inlineStr">
        <is>
          <t>Finestre Colturali</t>
        </is>
      </c>
      <c r="C7" s="3" t="inlineStr">
        <is>
          <t>C-TELA-WINDOWS</t>
        </is>
      </c>
      <c r="D7" s="3" t="inlineStr">
        <is>
          <t>Que janela de cultura x problema esta aberta agora, em que regiao, e quanto tempo falta para a proxima?</t>
        </is>
      </c>
      <c r="E7" s="3" t="inlineStr">
        <is>
          <t>OBSERVACAO DE CAMPO (fase observada, nao esperada)</t>
        </is>
      </c>
      <c r="F7" s="3" t="inlineStr">
        <is>
          <t>OBSERVED_STAGE · OBSERVATION_DATE · FIELD_REPORTED_STAGE · FACT_DATE</t>
        </is>
      </c>
      <c r="G7" s="3" t="inlineStr">
        <is>
          <t>semanal</t>
        </is>
      </c>
      <c r="H7" s="3" t="inlineStr">
        <is>
          <t>PONTO/PROVINCIA</t>
        </is>
      </c>
      <c r="I7" s="3" t="inlineStr">
        <is>
          <t>dia</t>
        </is>
      </c>
      <c r="J7" s="3" t="inlineStr">
        <is>
          <t>T3 T7</t>
        </is>
      </c>
      <c r="K7" s="3" t="inlineStr">
        <is>
          <t>CONTRATO</t>
        </is>
      </c>
      <c r="L7" s="3" t="inlineStr">
        <is>
          <t>windows.spec: '0/29 have an observed stage'; e 'plus 2 Modena field-observation rows that are the only OBSERVED_STAGE values in the whole pack'</t>
        </is>
      </c>
      <c r="M7" s="3" t="inlineStr">
        <is>
          <t>ING.CROP_WINDOWS OBSERVATION_DATE 2/7 · FIELD_REPORTED_STAGE 2/7 (5 = NAO SEI)</t>
        </is>
      </c>
    </row>
    <row r="8">
      <c r="A8" s="3" t="inlineStr">
        <is>
          <t>WINDOWS</t>
        </is>
      </c>
      <c r="B8" s="3" t="inlineStr">
        <is>
          <t>Finestre Colturali</t>
        </is>
      </c>
      <c r="C8" s="3" t="inlineStr">
        <is>
          <t>C-TELA-WINDOWS</t>
        </is>
      </c>
      <c r="D8" s="3" t="inlineStr">
        <is>
          <t>Que janela de cultura x problema esta aberta agora, em que regiao, e quanto tempo falta para a proxima?</t>
        </is>
      </c>
      <c r="E8" s="3" t="inlineStr">
        <is>
          <t>Janela de monitorizacao (quando ir olhar)</t>
        </is>
      </c>
      <c r="F8" s="3" t="inlineStr">
        <is>
          <t>MONITORING_WINDOW</t>
        </is>
      </c>
      <c r="G8" s="3" t="inlineStr">
        <is>
          <t>anual</t>
        </is>
      </c>
      <c r="H8" s="3" t="inlineStr">
        <is>
          <t>REGIAO</t>
        </is>
      </c>
      <c r="I8" s="3" t="inlineStr">
        <is>
          <t>semana</t>
        </is>
      </c>
      <c r="J8" s="3" t="inlineStr">
        <is>
          <t>T3</t>
        </is>
      </c>
      <c r="K8" s="3" t="inlineStr">
        <is>
          <t>CONTRATO</t>
        </is>
      </c>
      <c r="L8" s="3" t="inlineStr">
        <is>
          <t>windows.spec fieldsThatDie: 'monitoring window' verdict DERIVABLE_FROM_REAL</t>
        </is>
      </c>
      <c r="M8" s="3" t="inlineStr">
        <is>
          <t>ING.CROP_WINDOWS MONITORING_WINDOW 7/7 · CAN.windows: nao tem o campo</t>
        </is>
      </c>
    </row>
    <row r="9">
      <c r="A9" s="3" t="inlineStr">
        <is>
          <t>WINDOWS</t>
        </is>
      </c>
      <c r="B9" s="3" t="inlineStr">
        <is>
          <t>Finestre Colturali</t>
        </is>
      </c>
      <c r="C9" s="3" t="inlineStr">
        <is>
          <t>C-TELA-WINDOWS</t>
        </is>
      </c>
      <c r="D9" s="3" t="inlineStr">
        <is>
          <t>Que janela de cultura x problema esta aberta agora, em que regiao, e quanto tempo falta para a proxima?</t>
        </is>
      </c>
      <c r="E9" s="3" t="inlineStr">
        <is>
          <t>Janela de controlo de infestantes</t>
        </is>
      </c>
      <c r="F9" s="3" t="inlineStr">
        <is>
          <t>weed window (inicio/fim)</t>
        </is>
      </c>
      <c r="G9" s="3" t="inlineStr">
        <is>
          <t>anual</t>
        </is>
      </c>
      <c r="H9" s="3" t="inlineStr">
        <is>
          <t>REGIAO</t>
        </is>
      </c>
      <c r="I9" s="3" t="inlineStr">
        <is>
          <t>semana</t>
        </is>
      </c>
      <c r="J9" s="3" t="inlineStr">
        <is>
          <t>T3</t>
        </is>
      </c>
      <c r="K9" s="3" t="inlineStr">
        <is>
          <t>CONTRATO</t>
        </is>
      </c>
      <c r="L9" s="3" t="inlineStr">
        <is>
          <t>windows.spec fieldsThatDie: 'weed-control windows (D.CROP_CAL[crop].weed)'</t>
        </is>
      </c>
      <c r="M9" s="3" t="inlineStr">
        <is>
          <t>nenhum campo de infestante nas 29 janelas canonicas</t>
        </is>
      </c>
    </row>
    <row r="10">
      <c r="A10" s="3" t="inlineStr">
        <is>
          <t>WINDOWS</t>
        </is>
      </c>
      <c r="B10" s="3" t="inlineStr">
        <is>
          <t>Finestre Colturali</t>
        </is>
      </c>
      <c r="C10" s="3" t="inlineStr">
        <is>
          <t>C-TELA-WINDOWS</t>
        </is>
      </c>
      <c r="D10" s="3" t="inlineStr">
        <is>
          <t>Que janela de cultura x problema esta aberta agora, em que regiao, e quanto tempo falta para a proxima?</t>
        </is>
      </c>
      <c r="E10" s="3" t="inlineStr">
        <is>
          <t>ATO REGULATORIO regional que abre/fecha a janela</t>
        </is>
      </c>
      <c r="F10" s="3" t="inlineStr">
        <is>
          <t>REGULATORY_ACT · REGULATORY_WINDOW · REGULATORY_SOURCE · REGULATORY_TIMING</t>
        </is>
      </c>
      <c r="G10" s="3" t="inlineStr">
        <is>
          <t>por ato</t>
        </is>
      </c>
      <c r="H10" s="3" t="inlineStr">
        <is>
          <t>REGIAO</t>
        </is>
      </c>
      <c r="I10" s="3" t="inlineStr">
        <is>
          <t>dia</t>
        </is>
      </c>
      <c r="J10" s="3" t="inlineStr">
        <is>
          <t>T4 T12</t>
        </is>
      </c>
      <c r="K10" s="3" t="inlineStr">
        <is>
          <t>CONTRATO</t>
        </is>
      </c>
      <c r="L10" s="3" t="inlineStr">
        <is>
          <t>windows.spec: '2/29 (Veneto, Piemonte Flavescenza) gain a real regulatory act'</t>
        </is>
      </c>
      <c r="M10" s="3" t="inlineStr">
        <is>
          <t>CAN.windows REGULATORY_SOURCE 0/29 · ING.CROP_WINDOWS REGULATORY_ACT 5/7</t>
        </is>
      </c>
    </row>
    <row r="11">
      <c r="A11" s="3" t="inlineStr">
        <is>
          <t>WINDOWS</t>
        </is>
      </c>
      <c r="B11" s="3" t="inlineStr">
        <is>
          <t>Finestre Colturali</t>
        </is>
      </c>
      <c r="C11" s="3" t="inlineStr">
        <is>
          <t>C-TELA-WINDOWS</t>
        </is>
      </c>
      <c r="D11" s="3" t="inlineStr">
        <is>
          <t>Que janela de cultura x problema esta aberta agora, em que regiao, e quanto tempo falta para a proxima?</t>
        </is>
      </c>
      <c r="E11" s="3" t="inlineStr">
        <is>
          <t>Produto registado ligado a janela</t>
        </is>
      </c>
      <c r="F11" s="3" t="inlineStr">
        <is>
          <t>PRODUCT_MATCHES · LABEL_SOURCE · LABEL_TRIGGER</t>
        </is>
      </c>
      <c r="G11" s="3" t="inlineStr">
        <is>
          <t>por alteracao de rotulo</t>
        </is>
      </c>
      <c r="H11" s="3" t="inlineStr">
        <is>
          <t>PAIS</t>
        </is>
      </c>
      <c r="I11" s="3" t="inlineStr">
        <is>
          <t>dia</t>
        </is>
      </c>
      <c r="J11" s="3" t="inlineStr">
        <is>
          <t>T4</t>
        </is>
      </c>
      <c r="K11" s="3" t="inlineStr">
        <is>
          <t>CONTRATO</t>
        </is>
      </c>
      <c r="L11" s="3" t="inlineStr">
        <is>
          <t>windows.spec: 'all 29 canonical windows measure PRODUCT_MATCHES = []'; '11/29 have a verified ADAMA product' via ITALY_LABEL_VERDICTS</t>
        </is>
      </c>
      <c r="M11" s="3" t="inlineStr">
        <is>
          <t>CAN.windows PRODUCT_MATCHES 0/29 · LABEL_SOURCE 0/29 · LABEL_TRIGGER 0/29</t>
        </is>
      </c>
    </row>
    <row r="12">
      <c r="A12" s="3" t="inlineStr">
        <is>
          <t>WINDOWS</t>
        </is>
      </c>
      <c r="B12" s="3" t="inlineStr">
        <is>
          <t>Finestre Colturali</t>
        </is>
      </c>
      <c r="C12" s="3" t="inlineStr">
        <is>
          <t>C-TELA-WINDOWS</t>
        </is>
      </c>
      <c r="D12" s="3" t="inlineStr">
        <is>
          <t>Que janela de cultura x problema esta aberta agora, em que regiao, e quanto tempo falta para a proxima?</t>
        </is>
      </c>
      <c r="E12" s="3" t="inlineStr">
        <is>
          <t>RASTREABILIDADE: que fonte sustenta esta janela</t>
        </is>
      </c>
      <c r="F12" s="3" t="inlineStr">
        <is>
          <t>SOURCE_IDS</t>
        </is>
      </c>
      <c r="G12" s="3" t="inlineStr">
        <is>
          <t>—</t>
        </is>
      </c>
      <c r="H12" s="3" t="inlineStr">
        <is>
          <t>—</t>
        </is>
      </c>
      <c r="I12" s="3" t="inlineStr">
        <is>
          <t>—</t>
        </is>
      </c>
      <c r="J12" s="3" t="inlineStr">
        <is>
          <t>T1 T3</t>
        </is>
      </c>
      <c r="K12" s="3" t="inlineStr">
        <is>
          <t>CONTRATO</t>
        </is>
      </c>
      <c r="L12" s="3" t="inlineStr">
        <is>
          <t>windows.spec openQuestion: 'SOURCE_IDS is empty on all 29 windows. Should a window inherit the source ids of the regional regulatory act it joins?'</t>
        </is>
      </c>
      <c r="M12" s="3" t="inlineStr">
        <is>
          <t>CAN.windows SOURCE_IDS 0/29</t>
        </is>
      </c>
    </row>
    <row r="13">
      <c r="A13" s="3" t="inlineStr">
        <is>
          <t>WINDOWS</t>
        </is>
      </c>
      <c r="B13" s="3" t="inlineStr">
        <is>
          <t>Finestre Colturali</t>
        </is>
      </c>
      <c r="C13" s="3" t="inlineStr">
        <is>
          <t>C-TELA-WINDOWS</t>
        </is>
      </c>
      <c r="D13" s="3" t="inlineStr">
        <is>
          <t>Que janela de cultura x problema esta aberta agora, em que regiao, e quanto tempo falta para a proxima?</t>
        </is>
      </c>
      <c r="E13" s="3" t="inlineStr">
        <is>
          <t>Area/hectares da cultura por regiao (escala)</t>
        </is>
      </c>
      <c r="F13" s="3" t="inlineStr">
        <is>
          <t>hectares por cultura x regiao</t>
        </is>
      </c>
      <c r="G13" s="3" t="inlineStr">
        <is>
          <t>anual</t>
        </is>
      </c>
      <c r="H13" s="3" t="inlineStr">
        <is>
          <t>REGIAO</t>
        </is>
      </c>
      <c r="I13" s="3" t="inlineStr">
        <is>
          <t>ano</t>
        </is>
      </c>
      <c r="J13" s="3" t="inlineStr">
        <is>
          <t>T1</t>
        </is>
      </c>
      <c r="K13" s="3" t="inlineStr">
        <is>
          <t>CONTRATO</t>
        </is>
      </c>
      <c r="L13" s="3" t="inlineStr">
        <is>
          <t>windows.spec fieldsThatDie: 'row hectares (rendered as ~350k ha) and the HIGH/MEDIUM/LOW crop-scale label derived from it'; e 'IG.CROPS[17] has NO region and NO area fields'</t>
        </is>
      </c>
      <c r="M13" s="3" t="inlineStr">
        <is>
          <t>ING.CROPS 17 registos, sem regiao e sem area</t>
        </is>
      </c>
    </row>
    <row r="14">
      <c r="A14" s="3" t="inlineStr">
        <is>
          <t>WINDOWS</t>
        </is>
      </c>
      <c r="B14" s="3" t="inlineStr">
        <is>
          <t>Finestre Colturali</t>
        </is>
      </c>
      <c r="C14" s="3" t="inlineStr">
        <is>
          <t>C-TELA-WINDOWS</t>
        </is>
      </c>
      <c r="D14" s="3" t="inlineStr">
        <is>
          <t>Que janela de cultura x problema esta aberta agora, em que regiao, e quanto tempo falta para a proxima?</t>
        </is>
      </c>
      <c r="E14" s="3" t="inlineStr">
        <is>
          <t>Desvio fenologico por regiao (a mesma cultura adianta/atrasa)</t>
        </is>
      </c>
      <c r="F14" s="3" t="inlineStr">
        <is>
          <t>offset em dias por regiao</t>
        </is>
      </c>
      <c r="G14" s="3" t="inlineStr">
        <is>
          <t>anual</t>
        </is>
      </c>
      <c r="H14" s="3" t="inlineStr">
        <is>
          <t>REGIAO</t>
        </is>
      </c>
      <c r="I14" s="3" t="inlineStr">
        <is>
          <t>dia</t>
        </is>
      </c>
      <c r="J14" s="3" t="inlineStr">
        <is>
          <t>T1 T2</t>
        </is>
      </c>
      <c r="K14" s="3" t="inlineStr">
        <is>
          <t>CONTRATO</t>
        </is>
      </c>
      <c r="L14" s="3" t="inlineStr">
        <is>
          <t>windows.spec fieldsThatDie: 'per-region phenology offset (values -14 to +7 days)'</t>
        </is>
      </c>
      <c r="M14" s="3" t="inlineStr">
        <is>
          <t>nao existe campo nenhum de offset no dado real</t>
        </is>
      </c>
    </row>
    <row r="15">
      <c r="A15" s="3" t="inlineStr">
        <is>
          <t>MARKET</t>
        </is>
      </c>
      <c r="B15" s="3" t="inlineStr">
        <is>
          <t>Polso di Mercato</t>
        </is>
      </c>
      <c r="C15" s="3" t="inlineStr">
        <is>
          <t>C-TELA-MARKET</t>
        </is>
      </c>
      <c r="D15" s="3" t="inlineStr">
        <is>
          <t>Como esta o mercado de cada cultura — preco, producao, oferta e custo — e o que mudou?</t>
        </is>
      </c>
      <c r="E15" s="3" t="inlineStr">
        <is>
          <t>Preco por cultura e por praca</t>
        </is>
      </c>
      <c r="F15" s="3" t="inlineStr">
        <is>
          <t>PRICE_NUM · UNIT · MARKET · REFERENCE_PERIOD · SOURCE_ID</t>
        </is>
      </c>
      <c r="G15" s="3" t="inlineStr">
        <is>
          <t>semanal</t>
        </is>
      </c>
      <c r="H15" s="3" t="inlineStr">
        <is>
          <t>PRACA</t>
        </is>
      </c>
      <c r="I15" s="3" t="inlineStr">
        <is>
          <t>semana</t>
        </is>
      </c>
      <c r="J15" s="3" t="inlineStr">
        <is>
          <t>T10</t>
        </is>
      </c>
      <c r="K15" s="3" t="inlineStr">
        <is>
          <t>CONTRATO</t>
        </is>
      </c>
      <c r="L15" s="3" t="inlineStr">
        <is>
          <t>market.spec: '77 records, all provenance REAL_SOURCE, all sourceId IT-SRC-AGRIFOOD, FREQUENCY weekly, LATEST_OBSERVATION 2026-08-23'</t>
        </is>
      </c>
      <c r="M15" s="3" t="inlineStr">
        <is>
          <t>ING.MARKET PRICE_NUM 77/77 — mas UMA fonte so</t>
        </is>
      </c>
    </row>
    <row r="16">
      <c r="A16" s="3" t="inlineStr">
        <is>
          <t>MARKET</t>
        </is>
      </c>
      <c r="B16" s="3" t="inlineStr">
        <is>
          <t>Polso di Mercato</t>
        </is>
      </c>
      <c r="C16" s="3" t="inlineStr">
        <is>
          <t>C-TELA-MARKET</t>
        </is>
      </c>
      <c r="D16" s="3" t="inlineStr">
        <is>
          <t>Como esta o mercado de cada cultura — preco, producao, oferta e custo — e o que mudou?</t>
        </is>
      </c>
      <c r="E16" s="3" t="inlineStr">
        <is>
          <t>Serie de preco com 3+ pontos (para tendencia)</t>
        </is>
      </c>
      <c r="F16" s="3" t="inlineStr">
        <is>
          <t>serie temporal por produto x praca</t>
        </is>
      </c>
      <c r="G16" s="3" t="inlineStr">
        <is>
          <t>semanal</t>
        </is>
      </c>
      <c r="H16" s="3" t="inlineStr">
        <is>
          <t>PRACA</t>
        </is>
      </c>
      <c r="I16" s="3" t="inlineStr">
        <is>
          <t>semana</t>
        </is>
      </c>
      <c r="J16" s="3" t="inlineStr">
        <is>
          <t>T10</t>
        </is>
      </c>
      <c r="K16" s="3" t="inlineStr">
        <is>
          <t>CONTRATO</t>
        </is>
      </c>
      <c r="L16" s="3" t="inlineStr">
        <is>
          <t>market.spec fieldsThatDie: 'spark — requires 3+ points in one series. Real data has exactly ...'</t>
        </is>
      </c>
      <c r="M16" s="3" t="inlineStr">
        <is>
          <t>OBSERVATIONS_IN_SERIES existe; series curtas</t>
        </is>
      </c>
    </row>
    <row r="17">
      <c r="A17" s="3" t="inlineStr">
        <is>
          <t>MARKET</t>
        </is>
      </c>
      <c r="B17" s="3" t="inlineStr">
        <is>
          <t>Polso di Mercato</t>
        </is>
      </c>
      <c r="C17" s="3" t="inlineStr">
        <is>
          <t>C-TELA-MARKET</t>
        </is>
      </c>
      <c r="D17" s="3" t="inlineStr">
        <is>
          <t>Como esta o mercado de cada cultura — preco, producao, oferta e custo — e o que mudou?</t>
        </is>
      </c>
      <c r="E17" s="3" t="inlineStr">
        <is>
          <t>PRODUCAO, AREA e RENDIMENTO por cultura</t>
        </is>
      </c>
      <c r="F17" s="3" t="inlineStr">
        <is>
          <t>PRODUCTION · AREA · YIELD</t>
        </is>
      </c>
      <c r="G17" s="3" t="inlineStr">
        <is>
          <t>anual</t>
        </is>
      </c>
      <c r="H17" s="3" t="inlineStr">
        <is>
          <t>REGIAO</t>
        </is>
      </c>
      <c r="I17" s="3" t="inlineStr">
        <is>
          <t>ano</t>
        </is>
      </c>
      <c r="J17" s="3" t="inlineStr">
        <is>
          <t>T1 T10</t>
        </is>
      </c>
      <c r="K17" s="3" t="inlineStr">
        <is>
          <t>CONTRATO</t>
        </is>
      </c>
      <c r="L17" s="3" t="inlineStr">
        <is>
          <t>market.spec fieldsThatDie: 'production[] — Production / Area / Yield / Stocks tonnages' · nota: 'No production, area, yield ...'</t>
        </is>
      </c>
      <c r="M17" s="3" t="inlineStr">
        <is>
          <t>ING.MARKET nao tem coluna de producao, area nem rendimento</t>
        </is>
      </c>
    </row>
    <row r="18">
      <c r="A18" s="3" t="inlineStr">
        <is>
          <t>MARKET</t>
        </is>
      </c>
      <c r="B18" s="3" t="inlineStr">
        <is>
          <t>Polso di Mercato</t>
        </is>
      </c>
      <c r="C18" s="3" t="inlineStr">
        <is>
          <t>C-TELA-MARKET</t>
        </is>
      </c>
      <c r="D18" s="3" t="inlineStr">
        <is>
          <t>Como esta o mercado de cada cultura — preco, producao, oferta e custo — e o que mudou?</t>
        </is>
      </c>
      <c r="E18" s="3" t="inlineStr">
        <is>
          <t>STOCKS / existencias</t>
        </is>
      </c>
      <c r="F18" s="3" t="inlineStr">
        <is>
          <t>STOCK</t>
        </is>
      </c>
      <c r="G18" s="3" t="inlineStr">
        <is>
          <t>mensal</t>
        </is>
      </c>
      <c r="H18" s="3" t="inlineStr">
        <is>
          <t>PAIS</t>
        </is>
      </c>
      <c r="I18" s="3" t="inlineStr">
        <is>
          <t>mes</t>
        </is>
      </c>
      <c r="J18" s="3" t="inlineStr">
        <is>
          <t>T10</t>
        </is>
      </c>
      <c r="K18" s="3" t="inlineStr">
        <is>
          <t>CONTRATO</t>
        </is>
      </c>
      <c r="L18" s="3" t="inlineStr">
        <is>
          <t>market.spec fieldsThatDie: 'STOCKS' dentro de production[]</t>
        </is>
      </c>
      <c r="M18" s="3" t="inlineStr">
        <is>
          <t>ausente</t>
        </is>
      </c>
    </row>
    <row r="19">
      <c r="A19" s="3" t="inlineStr">
        <is>
          <t>MARKET</t>
        </is>
      </c>
      <c r="B19" s="3" t="inlineStr">
        <is>
          <t>Polso di Mercato</t>
        </is>
      </c>
      <c r="C19" s="3" t="inlineStr">
        <is>
          <t>C-TELA-MARKET</t>
        </is>
      </c>
      <c r="D19" s="3" t="inlineStr">
        <is>
          <t>Como esta o mercado de cada cultura — preco, producao, oferta e custo — e o que mudou?</t>
        </is>
      </c>
      <c r="E19" s="3" t="inlineStr">
        <is>
          <t>IMPORTACAO e EXPORTACAO</t>
        </is>
      </c>
      <c r="F19" s="3" t="inlineStr">
        <is>
          <t>IMPORT · EXPORT</t>
        </is>
      </c>
      <c r="G19" s="3" t="inlineStr">
        <is>
          <t>mensal</t>
        </is>
      </c>
      <c r="H19" s="3" t="inlineStr">
        <is>
          <t>PAIS</t>
        </is>
      </c>
      <c r="I19" s="3" t="inlineStr">
        <is>
          <t>mes</t>
        </is>
      </c>
      <c r="J19" s="3" t="inlineStr">
        <is>
          <t>T10</t>
        </is>
      </c>
      <c r="K19" s="3" t="inlineStr">
        <is>
          <t>CONTRATO</t>
        </is>
      </c>
      <c r="L19" s="3" t="inlineStr">
        <is>
          <t>market.spec fieldsThatDie: 'trade + flow — SUPPLY &amp; TRADE card with PRODUCTION/IMPORTS/EXPORTS/STOCKS bars'</t>
        </is>
      </c>
      <c r="M19" s="3" t="inlineStr">
        <is>
          <t>ausente</t>
        </is>
      </c>
    </row>
    <row r="20">
      <c r="A20" s="3" t="inlineStr">
        <is>
          <t>MARKET</t>
        </is>
      </c>
      <c r="B20" s="3" t="inlineStr">
        <is>
          <t>Polso di Mercato</t>
        </is>
      </c>
      <c r="C20" s="3" t="inlineStr">
        <is>
          <t>C-TELA-MARKET</t>
        </is>
      </c>
      <c r="D20" s="3" t="inlineStr">
        <is>
          <t>Como esta o mercado de cada cultura — preco, producao, oferta e custo — e o que mudou?</t>
        </is>
      </c>
      <c r="E20" s="3" t="inlineStr">
        <is>
          <t>CUSTO DE INSUMO (pressao de custo)</t>
        </is>
      </c>
      <c r="F20" s="3" t="inlineStr">
        <is>
          <t>input cost index</t>
        </is>
      </c>
      <c r="G20" s="3" t="inlineStr">
        <is>
          <t>mensal</t>
        </is>
      </c>
      <c r="H20" s="3" t="inlineStr">
        <is>
          <t>PAIS</t>
        </is>
      </c>
      <c r="I20" s="3" t="inlineStr">
        <is>
          <t>mes</t>
        </is>
      </c>
      <c r="J20" s="3" t="inlineStr">
        <is>
          <t>T10</t>
        </is>
      </c>
      <c r="K20" s="3" t="inlineStr">
        <is>
          <t>CONTRATO</t>
        </is>
      </c>
      <c r="L20" s="3" t="inlineStr">
        <is>
          <t>market.spec fieldsThatDie: 'inputs — INPUT COST PRESSURE incl. the Baltic Dry Index 2,843 OBSERVED value'</t>
        </is>
      </c>
      <c r="M20" s="3" t="inlineStr">
        <is>
          <t>ausente do dado real (esta no fixture)</t>
        </is>
      </c>
    </row>
    <row r="21">
      <c r="A21" s="3" t="inlineStr">
        <is>
          <t>MARKET</t>
        </is>
      </c>
      <c r="B21" s="3" t="inlineStr">
        <is>
          <t>Polso di Mercato</t>
        </is>
      </c>
      <c r="C21" s="3" t="inlineStr">
        <is>
          <t>C-TELA-MARKET</t>
        </is>
      </c>
      <c r="D21" s="3" t="inlineStr">
        <is>
          <t>Como esta o mercado de cada cultura — preco, producao, oferta e custo — e o que mudou?</t>
        </is>
      </c>
      <c r="E21" s="3" t="inlineStr">
        <is>
          <t>CLIMA DE CONFIANCA do produtor</t>
        </is>
      </c>
      <c r="F21" s="3" t="inlineStr">
        <is>
          <t>indice de confianca</t>
        </is>
      </c>
      <c r="G21" s="3" t="inlineStr">
        <is>
          <t>trimestral</t>
        </is>
      </c>
      <c r="H21" s="3" t="inlineStr">
        <is>
          <t>PAIS</t>
        </is>
      </c>
      <c r="I21" s="3" t="inlineStr">
        <is>
          <t>trimestre</t>
        </is>
      </c>
      <c r="J21" s="3" t="inlineStr">
        <is>
          <t>T10 T8</t>
        </is>
      </c>
      <c r="K21" s="3" t="inlineStr">
        <is>
          <t>CONTRATO</t>
        </is>
      </c>
      <c r="L21" s="3" t="inlineStr">
        <is>
          <t>market.spec fieldsThatDie: 'confidence — ISMEA Indice del Clima di Fiducia (-1.4, Q1 2025)' — no fixture, nao ingerido</t>
        </is>
      </c>
      <c r="M21" s="3" t="inlineStr">
        <is>
          <t>ausente do dado real</t>
        </is>
      </c>
    </row>
    <row r="22">
      <c r="A22" s="3" t="inlineStr">
        <is>
          <t>MARKET</t>
        </is>
      </c>
      <c r="B22" s="3" t="inlineStr">
        <is>
          <t>Polso di Mercato</t>
        </is>
      </c>
      <c r="C22" s="3" t="inlineStr">
        <is>
          <t>C-TELA-MARKET</t>
        </is>
      </c>
      <c r="D22" s="3" t="inlineStr">
        <is>
          <t>Como esta o mercado de cada cultura — preco, producao, oferta e custo — e o que mudou?</t>
        </is>
      </c>
      <c r="E22" s="3" t="inlineStr">
        <is>
          <t>Preco para TOMATE, BETERRABA e MACA</t>
        </is>
      </c>
      <c r="F22" s="3" t="inlineStr">
        <is>
          <t>PRICE por essas culturas</t>
        </is>
      </c>
      <c r="G22" s="3" t="inlineStr">
        <is>
          <t>semanal</t>
        </is>
      </c>
      <c r="H22" s="3" t="inlineStr">
        <is>
          <t>PRACA</t>
        </is>
      </c>
      <c r="I22" s="3" t="inlineStr">
        <is>
          <t>semana</t>
        </is>
      </c>
      <c r="J22" s="3" t="inlineStr">
        <is>
          <t>T10</t>
        </is>
      </c>
      <c r="K22" s="3" t="inlineStr">
        <is>
          <t>CONTRATO</t>
        </is>
      </c>
      <c r="L22" s="3" t="inlineStr">
        <is>
          <t>market.spec: 'Tomato 0; Sugar Beet 0; Apple 0' e fieldsThatDie 'tomato / sugarbeet / apple crop tabs ... Measured 0 market records'</t>
        </is>
      </c>
      <c r="M22" s="3" t="inlineStr">
        <is>
          <t>0 registos para as tres culturas</t>
        </is>
      </c>
    </row>
    <row r="23">
      <c r="A23" s="3" t="inlineStr">
        <is>
          <t>MARKET</t>
        </is>
      </c>
      <c r="B23" s="3" t="inlineStr">
        <is>
          <t>Polso di Mercato</t>
        </is>
      </c>
      <c r="C23" s="3" t="inlineStr">
        <is>
          <t>C-TELA-MARKET</t>
        </is>
      </c>
      <c r="D23" s="3" t="inlineStr">
        <is>
          <t>Como esta o mercado de cada cultura — preco, producao, oferta e custo — e o que mudou?</t>
        </is>
      </c>
      <c r="E23" s="3" t="inlineStr">
        <is>
          <t>Serie de preco de UVA/VINHO viva</t>
        </is>
      </c>
      <c r="F23" s="3" t="inlineStr">
        <is>
          <t>PRICE vinho/uva</t>
        </is>
      </c>
      <c r="G23" s="3" t="inlineStr">
        <is>
          <t>semanal</t>
        </is>
      </c>
      <c r="H23" s="3" t="inlineStr">
        <is>
          <t>PRACA</t>
        </is>
      </c>
      <c r="I23" s="3" t="inlineStr">
        <is>
          <t>semana</t>
        </is>
      </c>
      <c r="J23" s="3" t="inlineStr">
        <is>
          <t>T10</t>
        </is>
      </c>
      <c r="K23" s="3" t="inlineStr">
        <is>
          <t>CONTRATO</t>
        </is>
      </c>
      <c r="L23" s="3" t="inlineStr">
        <is>
          <t>market.spec: 'Grapevine 1 record, series stopped in 2025'</t>
        </is>
      </c>
      <c r="M23" s="3" t="inlineStr">
        <is>
          <t>1 registo, serie parada em 2025</t>
        </is>
      </c>
    </row>
    <row r="24">
      <c r="A24" s="3" t="inlineStr">
        <is>
          <t>MARKET</t>
        </is>
      </c>
      <c r="B24" s="3" t="inlineStr">
        <is>
          <t>Polso di Mercato</t>
        </is>
      </c>
      <c r="C24" s="3" t="inlineStr">
        <is>
          <t>C-TELA-MARKET</t>
        </is>
      </c>
      <c r="D24" s="3" t="inlineStr">
        <is>
          <t>Como esta o mercado de cada cultura — preco, producao, oferta e custo — e o que mudou?</t>
        </is>
      </c>
      <c r="E24" s="3" t="inlineStr">
        <is>
          <t>Condicao de cultura / meteo agregado para mercado</t>
        </is>
      </c>
      <c r="F24" s="3" t="inlineStr">
        <is>
          <t>crop condition</t>
        </is>
      </c>
      <c r="G24" s="3" t="inlineStr">
        <is>
          <t>mensal</t>
        </is>
      </c>
      <c r="H24" s="3" t="inlineStr">
        <is>
          <t>REGIAO</t>
        </is>
      </c>
      <c r="I24" s="3" t="inlineStr">
        <is>
          <t>mes</t>
        </is>
      </c>
      <c r="J24" s="3" t="inlineStr">
        <is>
          <t>T2 T10</t>
        </is>
      </c>
      <c r="K24" s="3" t="inlineStr">
        <is>
          <t>CONTRATO</t>
        </is>
      </c>
      <c r="L24" s="3" t="inlineStr">
        <is>
          <t>market.spec fieldsThatDie: 'weather — JRC MARS is not a registered source; no crop-condition record exists'</t>
        </is>
      </c>
      <c r="M24" s="3" t="inlineStr">
        <is>
          <t>ausente</t>
        </is>
      </c>
    </row>
    <row r="25">
      <c r="A25" s="3" t="inlineStr">
        <is>
          <t>PORTFOLIO</t>
        </is>
      </c>
      <c r="B25" s="3" t="inlineStr">
        <is>
          <t>Portafoglio</t>
        </is>
      </c>
      <c r="C25" s="3" t="inlineStr">
        <is>
          <t>C-TELA-PORTFOLIO</t>
        </is>
      </c>
      <c r="D25" s="3" t="inlineStr">
        <is>
          <t>Que produto esta registado para que cultura e que alvo, com que dose e que restricao, e ate quando?</t>
        </is>
      </c>
      <c r="E25" s="3" t="inlineStr">
        <is>
          <t>Produto, registo e titular</t>
        </is>
      </c>
      <c r="F25" s="3" t="inlineStr">
        <is>
          <t>name · reg · holder · status · expiry</t>
        </is>
      </c>
      <c r="G25" s="3" t="inlineStr">
        <is>
          <t>por alteracao</t>
        </is>
      </c>
      <c r="H25" s="3" t="inlineStr">
        <is>
          <t>PAIS</t>
        </is>
      </c>
      <c r="I25" s="3" t="inlineStr">
        <is>
          <t>dia</t>
        </is>
      </c>
      <c r="J25" s="3" t="inlineStr">
        <is>
          <t>T4</t>
        </is>
      </c>
      <c r="K25" s="3" t="inlineStr">
        <is>
          <t>CONTRATO</t>
        </is>
      </c>
      <c r="L25" s="3" t="inlineStr">
        <is>
          <t>portfolio.spec: 'Product identity keeps coming from IG.PRODUCTS (163)'</t>
        </is>
      </c>
      <c r="M25" s="3" t="inlineStr">
        <is>
          <t>ING.PRODUCTS 163 · reg/holder/status/expiry cheios</t>
        </is>
      </c>
    </row>
    <row r="26">
      <c r="A26" s="3" t="inlineStr">
        <is>
          <t>PORTFOLIO</t>
        </is>
      </c>
      <c r="B26" s="3" t="inlineStr">
        <is>
          <t>Portafoglio</t>
        </is>
      </c>
      <c r="C26" s="3" t="inlineStr">
        <is>
          <t>C-TELA-PORTFOLIO</t>
        </is>
      </c>
      <c r="D26" s="3" t="inlineStr">
        <is>
          <t>Que produto esta registado para que cultura e que alvo, com que dose e que restricao, e ate quando?</t>
        </is>
      </c>
      <c r="E26" s="3" t="inlineStr">
        <is>
          <t>Substancia ativa do produto</t>
        </is>
      </c>
      <c r="F26" s="3" t="inlineStr">
        <is>
          <t>ai</t>
        </is>
      </c>
      <c r="G26" s="3" t="inlineStr">
        <is>
          <t>por alteracao</t>
        </is>
      </c>
      <c r="H26" s="3" t="inlineStr">
        <is>
          <t>PAIS</t>
        </is>
      </c>
      <c r="I26" s="3" t="inlineStr">
        <is>
          <t>dia</t>
        </is>
      </c>
      <c r="J26" s="3" t="inlineStr">
        <is>
          <t>T4</t>
        </is>
      </c>
      <c r="K26" s="3" t="inlineStr">
        <is>
          <t>CONTRATO</t>
        </is>
      </c>
      <c r="L26" s="3" t="inlineStr">
        <is>
          <t>IG.LINKS carrega 'ai'</t>
        </is>
      </c>
      <c r="M26" s="3" t="inlineStr">
        <is>
          <t>ING.PRODUCTS ai 163/163 · ING.LINKS ai 219/219</t>
        </is>
      </c>
    </row>
    <row r="27">
      <c r="A27" s="3" t="inlineStr">
        <is>
          <t>PORTFOLIO</t>
        </is>
      </c>
      <c r="B27" s="3" t="inlineStr">
        <is>
          <t>Portafoglio</t>
        </is>
      </c>
      <c r="C27" s="3" t="inlineStr">
        <is>
          <t>C-TELA-PORTFOLIO</t>
        </is>
      </c>
      <c r="D27" s="3" t="inlineStr">
        <is>
          <t>Que produto esta registado para que cultura e que alvo, com que dose e que restricao, e ate quando?</t>
        </is>
      </c>
      <c r="E27" s="3" t="inlineStr">
        <is>
          <t>Cultura e ALVO autorizados por produto</t>
        </is>
      </c>
      <c r="F27" s="3" t="inlineStr">
        <is>
          <t>crop · target · cropTerm</t>
        </is>
      </c>
      <c r="G27" s="3" t="inlineStr">
        <is>
          <t>por alteracao</t>
        </is>
      </c>
      <c r="H27" s="3" t="inlineStr">
        <is>
          <t>PAIS</t>
        </is>
      </c>
      <c r="I27" s="3" t="inlineStr">
        <is>
          <t>dia</t>
        </is>
      </c>
      <c r="J27" s="3" t="inlineStr">
        <is>
          <t>T4</t>
        </is>
      </c>
      <c r="K27" s="3" t="inlineStr">
        <is>
          <t>CONTRATO</t>
        </is>
      </c>
      <c r="L27" s="3" t="inlineStr">
        <is>
          <t>portfolio.spec: 'IG.LINKS — 219 rows ... carrying crop enum + Latin target + product + reg + ai + moa + labelUrl, covering only 19 distinct products'</t>
        </is>
      </c>
      <c r="M27" s="3" t="inlineStr">
        <is>
          <t>ING.LINKS crop/target 219/219 — mas so 19 produtos distintos de 163</t>
        </is>
      </c>
    </row>
    <row r="28">
      <c r="A28" s="3" t="inlineStr">
        <is>
          <t>PORTFOLIO</t>
        </is>
      </c>
      <c r="B28" s="3" t="inlineStr">
        <is>
          <t>Portafoglio</t>
        </is>
      </c>
      <c r="C28" s="3" t="inlineStr">
        <is>
          <t>C-TELA-PORTFOLIO</t>
        </is>
      </c>
      <c r="D28" s="3" t="inlineStr">
        <is>
          <t>Que produto esta registado para que cultura e que alvo, com que dose e que restricao, e ate quando?</t>
        </is>
      </c>
      <c r="E28" s="3" t="inlineStr">
        <is>
          <t>DOSE autorizada</t>
        </is>
      </c>
      <c r="F28" s="3" t="inlineStr">
        <is>
          <t>doses</t>
        </is>
      </c>
      <c r="G28" s="3" t="inlineStr">
        <is>
          <t>por alteracao</t>
        </is>
      </c>
      <c r="H28" s="3" t="inlineStr">
        <is>
          <t>PAIS</t>
        </is>
      </c>
      <c r="I28" s="3" t="inlineStr">
        <is>
          <t>dia</t>
        </is>
      </c>
      <c r="J28" s="3" t="inlineStr">
        <is>
          <t>T4</t>
        </is>
      </c>
      <c r="K28" s="3" t="inlineStr">
        <is>
          <t>CONTRATO+DADO_MEDIDO</t>
        </is>
      </c>
      <c r="L28" s="3" t="inlineStr">
        <is>
          <t>portfolio.spec fieldsThatDie: 'Product dose' verdict SHOW_UNKNOWN</t>
        </is>
      </c>
      <c r="M28" s="3" t="inlineStr">
        <is>
          <t>ING.LINKS doses 35/219 (16%)</t>
        </is>
      </c>
    </row>
    <row r="29">
      <c r="A29" s="3" t="inlineStr">
        <is>
          <t>PORTFOLIO</t>
        </is>
      </c>
      <c r="B29" s="3" t="inlineStr">
        <is>
          <t>Portafoglio</t>
        </is>
      </c>
      <c r="C29" s="3" t="inlineStr">
        <is>
          <t>C-TELA-PORTFOLIO</t>
        </is>
      </c>
      <c r="D29" s="3" t="inlineStr">
        <is>
          <t>Que produto esta registado para que cultura e que alvo, com que dose e que restricao, e ate quando?</t>
        </is>
      </c>
      <c r="E29" s="3" t="inlineStr">
        <is>
          <t>INTERVALO DE SEGURANCA (PHI) e n.o maximo de aplicacoes</t>
        </is>
      </c>
      <c r="F29" s="3" t="inlineStr">
        <is>
          <t>interval · maxApp</t>
        </is>
      </c>
      <c r="G29" s="3" t="inlineStr">
        <is>
          <t>por alteracao</t>
        </is>
      </c>
      <c r="H29" s="3" t="inlineStr">
        <is>
          <t>PAIS</t>
        </is>
      </c>
      <c r="I29" s="3" t="inlineStr">
        <is>
          <t>dia</t>
        </is>
      </c>
      <c r="J29" s="3" t="inlineStr">
        <is>
          <t>T4</t>
        </is>
      </c>
      <c r="K29" s="3" t="inlineStr">
        <is>
          <t>DADO_MEDIDO</t>
        </is>
      </c>
      <c r="L29" s="3" t="inlineStr">
        <is>
          <t>os campos existem em IG.LINKS e estao quase vazios</t>
        </is>
      </c>
      <c r="M29" s="3" t="inlineStr">
        <is>
          <t>ING.LINKS interval 15/219 (7%) · maxApp 0/219 (0%)</t>
        </is>
      </c>
    </row>
    <row r="30">
      <c r="A30" s="3" t="inlineStr">
        <is>
          <t>PORTFOLIO</t>
        </is>
      </c>
      <c r="B30" s="3" t="inlineStr">
        <is>
          <t>Portafoglio</t>
        </is>
      </c>
      <c r="C30" s="3" t="inlineStr">
        <is>
          <t>C-TELA-PORTFOLIO</t>
        </is>
      </c>
      <c r="D30" s="3" t="inlineStr">
        <is>
          <t>Que produto esta registado para que cultura e que alvo, com que dose e que restricao, e ate quando?</t>
        </is>
      </c>
      <c r="E30" s="3" t="inlineStr">
        <is>
          <t>MOMENTO DE APLICACAO / fase da cultura na aplicacao</t>
        </is>
      </c>
      <c r="F30" s="3" t="inlineStr">
        <is>
          <t>timing (fase da cultura)</t>
        </is>
      </c>
      <c r="G30" s="3" t="inlineStr">
        <is>
          <t>por alteracao</t>
        </is>
      </c>
      <c r="H30" s="3" t="inlineStr">
        <is>
          <t>PAIS</t>
        </is>
      </c>
      <c r="I30" s="3" t="inlineStr">
        <is>
          <t>fase</t>
        </is>
      </c>
      <c r="J30" s="3" t="inlineStr">
        <is>
          <t>T4 T1</t>
        </is>
      </c>
      <c r="K30" s="3" t="inlineStr">
        <is>
          <t>CONTRATO</t>
        </is>
      </c>
      <c r="L30" s="3" t="inlineStr">
        <is>
          <t>portfolio.spec fieldsThatDie: 'Application timing / crop stage for a product use (Post-emergence · crop 2-6 leaves)' REMOVE_SUBCOMPONENT</t>
        </is>
      </c>
      <c r="M30" s="3" t="inlineStr">
        <is>
          <t>ING.LINKS tem 'timing' mas o contrato diz que o valor renderizado e fixture</t>
        </is>
      </c>
    </row>
    <row r="31">
      <c r="A31" s="3" t="inlineStr">
        <is>
          <t>PORTFOLIO</t>
        </is>
      </c>
      <c r="B31" s="3" t="inlineStr">
        <is>
          <t>Portafoglio</t>
        </is>
      </c>
      <c r="C31" s="3" t="inlineStr">
        <is>
          <t>C-TELA-PORTFOLIO</t>
        </is>
      </c>
      <c r="D31" s="3" t="inlineStr">
        <is>
          <t>Que produto esta registado para que cultura e que alvo, com que dose e que restricao, e ate quando?</t>
        </is>
      </c>
      <c r="E31" s="3" t="inlineStr">
        <is>
          <t>MECANISMO DE ACAO (FRAC/HRAC/IRAC)</t>
        </is>
      </c>
      <c r="F31" s="3" t="inlineStr">
        <is>
          <t>frac · hrac · irac · moa</t>
        </is>
      </c>
      <c r="G31" s="3" t="inlineStr">
        <is>
          <t>por alteracao</t>
        </is>
      </c>
      <c r="H31" s="3" t="inlineStr">
        <is>
          <t>—</t>
        </is>
      </c>
      <c r="I31" s="3" t="inlineStr">
        <is>
          <t>—</t>
        </is>
      </c>
      <c r="J31" s="3" t="inlineStr">
        <is>
          <t>T4 T5</t>
        </is>
      </c>
      <c r="K31" s="3" t="inlineStr">
        <is>
          <t>DADO_MEDIDO</t>
        </is>
      </c>
      <c r="L31" s="3" t="inlineStr">
        <is>
          <t>medido nos 163 produtos</t>
        </is>
      </c>
      <c r="M31" s="3" t="inlineStr">
        <is>
          <t>ING.PRODUCTS frac 8/163 (5%) · irac 10/163 (6%) · hrac 52/163 (32%)</t>
        </is>
      </c>
    </row>
    <row r="32">
      <c r="A32" s="3" t="inlineStr">
        <is>
          <t>PORTFOLIO</t>
        </is>
      </c>
      <c r="B32" s="3" t="inlineStr">
        <is>
          <t>Portafoglio</t>
        </is>
      </c>
      <c r="C32" s="3" t="inlineStr">
        <is>
          <t>C-TELA-PORTFOLIO</t>
        </is>
      </c>
      <c r="D32" s="3" t="inlineStr">
        <is>
          <t>Que produto esta registado para que cultura e que alvo, com que dose e que restricao, e ate quando?</t>
        </is>
      </c>
      <c r="E32" s="3" t="inlineStr">
        <is>
          <t>Documento oficial do rotulo (PDF) e a sua data/versao</t>
        </is>
      </c>
      <c r="F32" s="3" t="inlineStr">
        <is>
          <t>labelUrl · LABEL_DATE · LABEL_VERSION</t>
        </is>
      </c>
      <c r="G32" s="3" t="inlineStr">
        <is>
          <t>por alteracao</t>
        </is>
      </c>
      <c r="H32" s="3" t="inlineStr">
        <is>
          <t>PAIS</t>
        </is>
      </c>
      <c r="I32" s="3" t="inlineStr">
        <is>
          <t>dia</t>
        </is>
      </c>
      <c r="J32" s="3" t="inlineStr">
        <is>
          <t>T4</t>
        </is>
      </c>
      <c r="K32" s="3" t="inlineStr">
        <is>
          <t>CONTRATO</t>
        </is>
      </c>
      <c r="L32" s="3" t="inlineStr">
        <is>
          <t>portfolio.spec: ITALY_LABEL_VERDICTS source = 'Claude Code reading of 163 official Italian product labels', audit date 2026-09-02</t>
        </is>
      </c>
      <c r="M32" s="3" t="inlineStr">
        <is>
          <t>ING.PRODUCTS labelUrl 163/163 · nao existe LABEL_DATE nem LABEL_VERSION</t>
        </is>
      </c>
    </row>
    <row r="33">
      <c r="A33" s="3" t="inlineStr">
        <is>
          <t>PORTFOLIO</t>
        </is>
      </c>
      <c r="B33" s="3" t="inlineStr">
        <is>
          <t>Portafoglio</t>
        </is>
      </c>
      <c r="C33" s="3" t="inlineStr">
        <is>
          <t>C-TELA-PORTFOLIO</t>
        </is>
      </c>
      <c r="D33" s="3" t="inlineStr">
        <is>
          <t>Que produto esta registado para que cultura e que alvo, com que dose e que restricao, e ate quando?</t>
        </is>
      </c>
      <c r="E33" s="3" t="inlineStr">
        <is>
          <t>ALTERACAO de autorizacao (o que mudou e quando)</t>
        </is>
      </c>
      <c r="F33" s="3" t="inlineStr">
        <is>
          <t>CHANGE · data da alteracao · retirada · extensao de uso</t>
        </is>
      </c>
      <c r="G33" s="3" t="inlineStr">
        <is>
          <t>por alteracao</t>
        </is>
      </c>
      <c r="H33" s="3" t="inlineStr">
        <is>
          <t>PAIS</t>
        </is>
      </c>
      <c r="I33" s="3" t="inlineStr">
        <is>
          <t>dia</t>
        </is>
      </c>
      <c r="J33" s="3" t="inlineStr">
        <is>
          <t>T4</t>
        </is>
      </c>
      <c r="K33" s="3" t="inlineStr">
        <is>
          <t>CONTRATO</t>
        </is>
      </c>
      <c r="L33" s="3" t="inlineStr">
        <is>
          <t>o contrato so tem um instantaneo datado (2026-09-02); nao existe colecao de alteracoes</t>
        </is>
      </c>
      <c r="M33" s="3" t="inlineStr">
        <is>
          <t>ausente — nao existe registo de delta de autorizacao</t>
        </is>
      </c>
    </row>
    <row r="34">
      <c r="A34" s="3" t="inlineStr">
        <is>
          <t>PORTFOLIO</t>
        </is>
      </c>
      <c r="B34" s="3" t="inlineStr">
        <is>
          <t>Portafoglio</t>
        </is>
      </c>
      <c r="C34" s="3" t="inlineStr">
        <is>
          <t>C-TELA-PORTFOLIO</t>
        </is>
      </c>
      <c r="D34" s="3" t="inlineStr">
        <is>
          <t>Que produto esta registado para que cultura e que alvo, com que dose e que restricao, e ate quando?</t>
        </is>
      </c>
      <c r="E34" s="3" t="inlineStr">
        <is>
          <t>AUTORIZACAO EXCECIONAL (art. 53)</t>
        </is>
      </c>
      <c r="F34" s="3" t="inlineStr">
        <is>
          <t>autorizacao excecional · validade · cultura · alvo</t>
        </is>
      </c>
      <c r="G34" s="3" t="inlineStr">
        <is>
          <t>por acto</t>
        </is>
      </c>
      <c r="H34" s="3" t="inlineStr">
        <is>
          <t>PAIS/REGIAO</t>
        </is>
      </c>
      <c r="I34" s="3" t="inlineStr">
        <is>
          <t>dia</t>
        </is>
      </c>
      <c r="J34" s="3" t="inlineStr">
        <is>
          <t>T4</t>
        </is>
      </c>
      <c r="K34" s="3" t="inlineStr">
        <is>
          <t>DADO_MEDIDO</t>
        </is>
      </c>
      <c r="L34" s="3" t="inlineStr">
        <is>
          <t>ES-T4-002 existe no atlas para Espanha; equivalente italiano nao esta no casco</t>
        </is>
      </c>
      <c r="M34" s="3" t="inlineStr">
        <is>
          <t>ausente para Italia</t>
        </is>
      </c>
    </row>
    <row r="35">
      <c r="A35" s="3" t="inlineStr">
        <is>
          <t>PORTFOLIO</t>
        </is>
      </c>
      <c r="B35" s="3" t="inlineStr">
        <is>
          <t>Portafoglio</t>
        </is>
      </c>
      <c r="C35" s="3" t="inlineStr">
        <is>
          <t>C-TELA-PORTFOLIO</t>
        </is>
      </c>
      <c r="D35" s="3" t="inlineStr">
        <is>
          <t>Que produto esta registado para que cultura e que alvo, com que dose e que restricao, e ate quando?</t>
        </is>
      </c>
      <c r="E35" s="3" t="inlineStr">
        <is>
          <t>Ligacao produto x janela de cultura</t>
        </is>
      </c>
      <c r="F35" s="3" t="inlineStr">
        <is>
          <t>PRODUCT_MATCHES por WINDOW_ID</t>
        </is>
      </c>
      <c r="G35" s="3" t="inlineStr">
        <is>
          <t>anual</t>
        </is>
      </c>
      <c r="H35" s="3" t="inlineStr">
        <is>
          <t>REGIAO</t>
        </is>
      </c>
      <c r="I35" s="3" t="inlineStr">
        <is>
          <t>temporada</t>
        </is>
      </c>
      <c r="J35" s="3" t="inlineStr">
        <is>
          <t>T4 T1</t>
        </is>
      </c>
      <c r="K35" s="3" t="inlineStr">
        <is>
          <t>CONTRATO</t>
        </is>
      </c>
      <c r="L35" s="3" t="inlineStr">
        <is>
          <t>portfolio.spec: 'ITALY_CANONICAL.windows[].PRODUCT_MATCHES — MEASURED EMPTY: all 29 windows have PRODUCT_MATCHES = [], so this tier contributes 0 rows today'</t>
        </is>
      </c>
      <c r="M35" s="3" t="inlineStr">
        <is>
          <t>0/29 · so ITALY_LABEL_VERDICTS (12 VERIFIED) liga produto a problema</t>
        </is>
      </c>
    </row>
    <row r="36">
      <c r="A36" s="3" t="inlineStr">
        <is>
          <t>SCIENCE</t>
        </is>
      </c>
      <c r="B36" s="3" t="inlineStr">
        <is>
          <t>Intelligence Scientifica</t>
        </is>
      </c>
      <c r="C36" s="3" t="inlineStr">
        <is>
          <t>C-TELA-SCIENCE</t>
        </is>
      </c>
      <c r="D36" s="3" t="inlineStr">
        <is>
          <t>Que ciencia existe sobre esta cultura e este problema, quem a faz, onde, e o que ela mediu?</t>
        </is>
      </c>
      <c r="E36" s="3" t="inlineStr">
        <is>
          <t>Trabalho cientifico com identidade</t>
        </is>
      </c>
      <c r="F36" s="3" t="inlineStr">
        <is>
          <t>TITLE · DOI · PUBLISHED_AT · VENUE · SOURCE_URL</t>
        </is>
      </c>
      <c r="G36" s="3" t="inlineStr">
        <is>
          <t>continua</t>
        </is>
      </c>
      <c r="H36" s="3" t="inlineStr">
        <is>
          <t>—</t>
        </is>
      </c>
      <c r="I36" s="3" t="inlineStr">
        <is>
          <t>dia</t>
        </is>
      </c>
      <c r="J36" s="3" t="inlineStr">
        <is>
          <t>T5</t>
        </is>
      </c>
      <c r="K36" s="3" t="inlineStr">
        <is>
          <t>CONTRATO</t>
        </is>
      </c>
      <c r="L36" s="3" t="inlineStr">
        <is>
          <t>science.spec: 'APP.collections.scienceRecords (88, from IG.SCIENCE)'</t>
        </is>
      </c>
      <c r="M36" s="3" t="inlineStr">
        <is>
          <t>ING.SCIENCE 88 · DOI 86/88 (98%) · restantes campos 100%</t>
        </is>
      </c>
    </row>
    <row r="37">
      <c r="A37" s="3" t="inlineStr">
        <is>
          <t>SCIENCE</t>
        </is>
      </c>
      <c r="B37" s="3" t="inlineStr">
        <is>
          <t>Intelligence Scientifica</t>
        </is>
      </c>
      <c r="C37" s="3" t="inlineStr">
        <is>
          <t>C-TELA-SCIENCE</t>
        </is>
      </c>
      <c r="D37" s="3" t="inlineStr">
        <is>
          <t>Que ciencia existe sobre esta cultura e este problema, quem a faz, onde, e o que ela mediu?</t>
        </is>
      </c>
      <c r="E37" s="3" t="inlineStr">
        <is>
          <t>Autor e instituicao do trabalho</t>
        </is>
      </c>
      <c r="F37" s="3" t="inlineStr">
        <is>
          <t>AUTHOR · INSTITUTION · ORCID</t>
        </is>
      </c>
      <c r="G37" s="3" t="inlineStr">
        <is>
          <t>continua</t>
        </is>
      </c>
      <c r="H37" s="3" t="inlineStr">
        <is>
          <t>—</t>
        </is>
      </c>
      <c r="I37" s="3" t="inlineStr">
        <is>
          <t>—</t>
        </is>
      </c>
      <c r="J37" s="3" t="inlineStr">
        <is>
          <t>T5 T6</t>
        </is>
      </c>
      <c r="K37" s="3" t="inlineStr">
        <is>
          <t>CONTRATO</t>
        </is>
      </c>
      <c r="L37" s="3" t="inlineStr">
        <is>
          <t>science.spec: 'IG.SCIENCE[].INSTITUTION — 6 distinct values, the FIRST AUTHOR affiliation'</t>
        </is>
      </c>
      <c r="M37" s="3" t="inlineStr">
        <is>
          <t>ING.SCIENCE AUTHOR/INSTITUTION/ORCID 88/88 — mas so 6 instituicoes distintas</t>
        </is>
      </c>
    </row>
    <row r="38">
      <c r="A38" s="3" t="inlineStr">
        <is>
          <t>SCIENCE</t>
        </is>
      </c>
      <c r="B38" s="3" t="inlineStr">
        <is>
          <t>Intelligence Scientifica</t>
        </is>
      </c>
      <c r="C38" s="3" t="inlineStr">
        <is>
          <t>C-TELA-SCIENCE</t>
        </is>
      </c>
      <c r="D38" s="3" t="inlineStr">
        <is>
          <t>Que ciencia existe sobre esta cultura e este problema, quem a faz, onde, e o que ela mediu?</t>
        </is>
      </c>
      <c r="E38" s="3" t="inlineStr">
        <is>
          <t>Cultura e problema do trabalho</t>
        </is>
      </c>
      <c r="F38" s="3" t="inlineStr">
        <is>
          <t>CROP · ISSUE</t>
        </is>
      </c>
      <c r="G38" s="3" t="inlineStr">
        <is>
          <t>continua</t>
        </is>
      </c>
      <c r="H38" s="3" t="inlineStr">
        <is>
          <t>—</t>
        </is>
      </c>
      <c r="I38" s="3" t="inlineStr">
        <is>
          <t>—</t>
        </is>
      </c>
      <c r="J38" s="3" t="inlineStr">
        <is>
          <t>T5 T3</t>
        </is>
      </c>
      <c r="K38" s="3" t="inlineStr">
        <is>
          <t>CONTRATO</t>
        </is>
      </c>
      <c r="L38" s="3" t="inlineStr">
        <is>
          <t>IG.SCIENCE tem CROP e ISSUE</t>
        </is>
      </c>
      <c r="M38" s="3" t="inlineStr">
        <is>
          <t>ING.SCIENCE CROP/ISSUE 88/88</t>
        </is>
      </c>
    </row>
    <row r="39">
      <c r="A39" s="3" t="inlineStr">
        <is>
          <t>SCIENCE</t>
        </is>
      </c>
      <c r="B39" s="3" t="inlineStr">
        <is>
          <t>Intelligence Scientifica</t>
        </is>
      </c>
      <c r="C39" s="3" t="inlineStr">
        <is>
          <t>C-TELA-SCIENCE</t>
        </is>
      </c>
      <c r="D39" s="3" t="inlineStr">
        <is>
          <t>Que ciencia existe sobre esta cultura e este problema, quem a faz, onde, e o que ela mediu?</t>
        </is>
      </c>
      <c r="E39" s="3" t="inlineStr">
        <is>
          <t>LOCAL DO ESTUDO (onde o ensaio foi feito)</t>
        </is>
      </c>
      <c r="F39" s="3" t="inlineStr">
        <is>
          <t>study location</t>
        </is>
      </c>
      <c r="G39" s="3" t="inlineStr">
        <is>
          <t>continua</t>
        </is>
      </c>
      <c r="H39" s="3" t="inlineStr">
        <is>
          <t>REGIAO</t>
        </is>
      </c>
      <c r="I39" s="3" t="inlineStr">
        <is>
          <t>—</t>
        </is>
      </c>
      <c r="J39" s="3" t="inlineStr">
        <is>
          <t>T5</t>
        </is>
      </c>
      <c r="K39" s="3" t="inlineStr">
        <is>
          <t>CONTRATO</t>
        </is>
      </c>
      <c r="L39" s="3" t="inlineStr">
        <is>
          <t>science.spec fieldsThatDie: 'record.location / locationShort (study area)' verdict SHOW_UNKNOWN</t>
        </is>
      </c>
      <c r="M39" s="3" t="inlineStr">
        <is>
          <t>ausente — IG.SCIENCE tem COUNTRY_OF_FACT, nao local do ensaio</t>
        </is>
      </c>
    </row>
    <row r="40">
      <c r="A40" s="3" t="inlineStr">
        <is>
          <t>SCIENCE</t>
        </is>
      </c>
      <c r="B40" s="3" t="inlineStr">
        <is>
          <t>Intelligence Scientifica</t>
        </is>
      </c>
      <c r="C40" s="3" t="inlineStr">
        <is>
          <t>C-TELA-SCIENCE</t>
        </is>
      </c>
      <c r="D40" s="3" t="inlineStr">
        <is>
          <t>Que ciencia existe sobre esta cultura e este problema, quem a faz, onde, e o que ela mediu?</t>
        </is>
      </c>
      <c r="E40" s="3" t="inlineStr">
        <is>
          <t>METODO e RESULTADO medido (eficacia)</t>
        </is>
      </c>
      <c r="F40" s="3" t="inlineStr">
        <is>
          <t>METHOD · RESULT · EFFICACY</t>
        </is>
      </c>
      <c r="G40" s="3" t="inlineStr">
        <is>
          <t>continua</t>
        </is>
      </c>
      <c r="H40" s="3" t="inlineStr">
        <is>
          <t>—</t>
        </is>
      </c>
      <c r="I40" s="3" t="inlineStr">
        <is>
          <t>—</t>
        </is>
      </c>
      <c r="J40" s="3" t="inlineStr">
        <is>
          <t>T5</t>
        </is>
      </c>
      <c r="K40" s="3" t="inlineStr">
        <is>
          <t>CONTRATO</t>
        </is>
      </c>
      <c r="L40" s="3" t="inlineStr">
        <is>
          <t>science.spec fieldsThatDie: 'record.study (the STUDY vocabulary)' DERIVABLE_FROM_REAL; nao existe campo de resultado</t>
        </is>
      </c>
      <c r="M40" s="3" t="inlineStr">
        <is>
          <t>ausente — ha MATERIAL_TYPE e MATERIAL_ROLE, nao resultado</t>
        </is>
      </c>
    </row>
    <row r="41">
      <c r="A41" s="3" t="inlineStr">
        <is>
          <t>SCIENCE</t>
        </is>
      </c>
      <c r="B41" s="3" t="inlineStr">
        <is>
          <t>Intelligence Scientifica</t>
        </is>
      </c>
      <c r="C41" s="3" t="inlineStr">
        <is>
          <t>C-TELA-SCIENCE</t>
        </is>
      </c>
      <c r="D41" s="3" t="inlineStr">
        <is>
          <t>Que ciencia existe sobre esta cultura e este problema, quem a faz, onde, e o que ela mediu?</t>
        </is>
      </c>
      <c r="E41" s="3" t="inlineStr">
        <is>
          <t>RESISTENCIA documentada (especie, mecanismo, regiao, ano)</t>
        </is>
      </c>
      <c r="F41" s="3" t="inlineStr">
        <is>
          <t>SPECIES · MECHANISM · REGIONS · FIRST_CASE_YEAR · AUTHORITY</t>
        </is>
      </c>
      <c r="G41" s="3" t="inlineStr">
        <is>
          <t>anual</t>
        </is>
      </c>
      <c r="H41" s="3" t="inlineStr">
        <is>
          <t>REGIAO</t>
        </is>
      </c>
      <c r="I41" s="3" t="inlineStr">
        <is>
          <t>ano</t>
        </is>
      </c>
      <c r="J41" s="3" t="inlineStr">
        <is>
          <t>T3 T5</t>
        </is>
      </c>
      <c r="K41" s="3" t="inlineStr">
        <is>
          <t>CONTRATO</t>
        </is>
      </c>
      <c r="L41" s="3" t="inlineStr">
        <is>
          <t>science.spec: 'APP.collections.resistance (34, from IG.RESISTANCE)'</t>
        </is>
      </c>
      <c r="M41" s="3" t="inlineStr">
        <is>
          <t>ING.RESISTANCE 34 registos · TODOS os 14 campos 100% cheios</t>
        </is>
      </c>
    </row>
    <row r="42">
      <c r="A42" s="3" t="inlineStr">
        <is>
          <t>SCIENCE</t>
        </is>
      </c>
      <c r="B42" s="3" t="inlineStr">
        <is>
          <t>Intelligence Scientifica</t>
        </is>
      </c>
      <c r="C42" s="3" t="inlineStr">
        <is>
          <t>C-TELA-SCIENCE</t>
        </is>
      </c>
      <c r="D42" s="3" t="inlineStr">
        <is>
          <t>Que ciencia existe sobre esta cultura e este problema, quem a faz, onde, e o que ela mediu?</t>
        </is>
      </c>
      <c r="E42" s="3" t="inlineStr">
        <is>
          <t>ENSAIO DE CAMPO / trial com resultado</t>
        </is>
      </c>
      <c r="F42" s="3" t="inlineStr">
        <is>
          <t>TRIAL · ano · local · tratamento · resultado</t>
        </is>
      </c>
      <c r="G42" s="3" t="inlineStr">
        <is>
          <t>anual</t>
        </is>
      </c>
      <c r="H42" s="3" t="inlineStr">
        <is>
          <t>REGIAO</t>
        </is>
      </c>
      <c r="I42" s="3" t="inlineStr">
        <is>
          <t>temporada</t>
        </is>
      </c>
      <c r="J42" s="3" t="inlineStr">
        <is>
          <t>T5</t>
        </is>
      </c>
      <c r="K42" s="3" t="inlineStr">
        <is>
          <t>DADO_MEDIDO</t>
        </is>
      </c>
      <c r="L42" s="3" t="inlineStr">
        <is>
          <t>nao existe colecao de ensaio no casco; IG.SCIENCE e bibliografia</t>
        </is>
      </c>
      <c r="M42" s="3" t="inlineStr">
        <is>
          <t>ausente</t>
        </is>
      </c>
    </row>
    <row r="43">
      <c r="A43" s="3" t="inlineStr">
        <is>
          <t>SCIENCE</t>
        </is>
      </c>
      <c r="B43" s="3" t="inlineStr">
        <is>
          <t>Intelligence Scientifica</t>
        </is>
      </c>
      <c r="C43" s="3" t="inlineStr">
        <is>
          <t>C-TELA-SCIENCE</t>
        </is>
      </c>
      <c r="D43" s="3" t="inlineStr">
        <is>
          <t>Que ciencia existe sobre esta cultura e este problema, quem a faz, onde, e o que ela mediu?</t>
        </is>
      </c>
      <c r="E43" s="3" t="inlineStr">
        <is>
          <t>PROJETO de investigacao (quem financia, quem participa)</t>
        </is>
      </c>
      <c r="F43" s="3" t="inlineStr">
        <is>
          <t>PROJECT · parceiros · periodo</t>
        </is>
      </c>
      <c r="G43" s="3" t="inlineStr">
        <is>
          <t>continua</t>
        </is>
      </c>
      <c r="H43" s="3" t="inlineStr">
        <is>
          <t>—</t>
        </is>
      </c>
      <c r="I43" s="3" t="inlineStr">
        <is>
          <t>ano</t>
        </is>
      </c>
      <c r="J43" s="3" t="inlineStr">
        <is>
          <t>T5 T12</t>
        </is>
      </c>
      <c r="K43" s="3" t="inlineStr">
        <is>
          <t>DADO_MEDIDO</t>
        </is>
      </c>
      <c r="L43" s="3" t="inlineStr">
        <is>
          <t>IG.THEMES (5) agrega temas, nao projetos</t>
        </is>
      </c>
      <c r="M43" s="3" t="inlineStr">
        <is>
          <t>ausente</t>
        </is>
      </c>
    </row>
    <row r="44">
      <c r="A44" s="3" t="inlineStr">
        <is>
          <t>COMPETITORS</t>
        </is>
      </c>
      <c r="B44" s="3" t="inlineStr">
        <is>
          <t>Concorrenza</t>
        </is>
      </c>
      <c r="C44" s="3" t="inlineStr">
        <is>
          <t>C-TELA-COMPETITORS</t>
        </is>
      </c>
      <c r="D44" s="3" t="inlineStr">
        <is>
          <t>O que cada concorrente esta a comunicar e a registar, para que cultura e que alvo, e quando?</t>
        </is>
      </c>
      <c r="E44" s="3" t="inlineStr">
        <is>
          <t>Atividade publica do concorrente, com data</t>
        </is>
      </c>
      <c r="F44" s="3" t="inlineStr">
        <is>
          <t>company · platform · start · end · url · text</t>
        </is>
      </c>
      <c r="G44" s="3" t="inlineStr">
        <is>
          <t>semanal</t>
        </is>
      </c>
      <c r="H44" s="3" t="inlineStr">
        <is>
          <t>PAIS</t>
        </is>
      </c>
      <c r="I44" s="3" t="inlineStr">
        <is>
          <t>dia</t>
        </is>
      </c>
      <c r="J44" s="3" t="inlineStr">
        <is>
          <t>T9</t>
        </is>
      </c>
      <c r="K44" s="3" t="inlineStr">
        <is>
          <t>CONTRATO</t>
        </is>
      </c>
      <c r="L44" s="3" t="inlineStr">
        <is>
          <t>competitor.spec: '503 records ... geoClass: 414 REACHED_IN_ITALY, 89 MULTI_COUNTRY_OR_UNRESOLVED'</t>
        </is>
      </c>
      <c r="M44" s="3" t="inlineStr">
        <is>
          <t>ING.COMP_ACTIVITIES 503 · start/url/text ~82% · 89 sem pais resolvido</t>
        </is>
      </c>
    </row>
    <row r="45">
      <c r="A45" s="3" t="inlineStr">
        <is>
          <t>COMPETITORS</t>
        </is>
      </c>
      <c r="B45" s="3" t="inlineStr">
        <is>
          <t>Concorrenza</t>
        </is>
      </c>
      <c r="C45" s="3" t="inlineStr">
        <is>
          <t>C-TELA-COMPETITORS</t>
        </is>
      </c>
      <c r="D45" s="3" t="inlineStr">
        <is>
          <t>O que cada concorrente esta a comunicar e a registar, para que cultura e que alvo, e quando?</t>
        </is>
      </c>
      <c r="E45" s="3" t="inlineStr">
        <is>
          <t>CULTURA da atividade do concorrente</t>
        </is>
      </c>
      <c r="F45" s="3" t="inlineStr">
        <is>
          <t>crops</t>
        </is>
      </c>
      <c r="G45" s="3" t="inlineStr">
        <is>
          <t>semanal</t>
        </is>
      </c>
      <c r="H45" s="3" t="inlineStr">
        <is>
          <t>PAIS</t>
        </is>
      </c>
      <c r="I45" s="3" t="inlineStr">
        <is>
          <t>dia</t>
        </is>
      </c>
      <c r="J45" s="3" t="inlineStr">
        <is>
          <t>T9 T1</t>
        </is>
      </c>
      <c r="K45" s="3" t="inlineStr">
        <is>
          <t>DADO_MEDIDO</t>
        </is>
      </c>
      <c r="L45" s="3" t="inlineStr">
        <is>
          <t>medido nos 503 registos</t>
        </is>
      </c>
      <c r="M45" s="3" t="inlineStr">
        <is>
          <t>ING.COMP_ACTIVITIES crops 183/503 (36%)</t>
        </is>
      </c>
    </row>
    <row r="46">
      <c r="A46" s="3" t="inlineStr">
        <is>
          <t>COMPETITORS</t>
        </is>
      </c>
      <c r="B46" s="3" t="inlineStr">
        <is>
          <t>Concorrenza</t>
        </is>
      </c>
      <c r="C46" s="3" t="inlineStr">
        <is>
          <t>C-TELA-COMPETITORS</t>
        </is>
      </c>
      <c r="D46" s="3" t="inlineStr">
        <is>
          <t>O que cada concorrente esta a comunicar e a registar, para que cultura e que alvo, e quando?</t>
        </is>
      </c>
      <c r="E46" s="3" t="inlineStr">
        <is>
          <t>PROBLEMA/ALVO da atividade do concorrente</t>
        </is>
      </c>
      <c r="F46" s="3" t="inlineStr">
        <is>
          <t>issues</t>
        </is>
      </c>
      <c r="G46" s="3" t="inlineStr">
        <is>
          <t>semanal</t>
        </is>
      </c>
      <c r="H46" s="3" t="inlineStr">
        <is>
          <t>PAIS</t>
        </is>
      </c>
      <c r="I46" s="3" t="inlineStr">
        <is>
          <t>dia</t>
        </is>
      </c>
      <c r="J46" s="3" t="inlineStr">
        <is>
          <t>T9 T3</t>
        </is>
      </c>
      <c r="K46" s="3" t="inlineStr">
        <is>
          <t>DADO_MEDIDO</t>
        </is>
      </c>
      <c r="L46" s="3" t="inlineStr">
        <is>
          <t>medido nos 503 registos</t>
        </is>
      </c>
      <c r="M46" s="3" t="inlineStr">
        <is>
          <t>ING.COMP_ACTIVITIES issues 98/503 (19%)</t>
        </is>
      </c>
    </row>
    <row r="47">
      <c r="A47" s="3" t="inlineStr">
        <is>
          <t>COMPETITORS</t>
        </is>
      </c>
      <c r="B47" s="3" t="inlineStr">
        <is>
          <t>Concorrenza</t>
        </is>
      </c>
      <c r="C47" s="3" t="inlineStr">
        <is>
          <t>C-TELA-COMPETITORS</t>
        </is>
      </c>
      <c r="D47" s="3" t="inlineStr">
        <is>
          <t>O que cada concorrente esta a comunicar e a registar, para que cultura e que alvo, e quando?</t>
        </is>
      </c>
      <c r="E47" s="3" t="inlineStr">
        <is>
          <t>PRODUTO do concorrente na atividade</t>
        </is>
      </c>
      <c r="F47" s="3" t="inlineStr">
        <is>
          <t>products</t>
        </is>
      </c>
      <c r="G47" s="3" t="inlineStr">
        <is>
          <t>semanal</t>
        </is>
      </c>
      <c r="H47" s="3" t="inlineStr">
        <is>
          <t>PAIS</t>
        </is>
      </c>
      <c r="I47" s="3" t="inlineStr">
        <is>
          <t>dia</t>
        </is>
      </c>
      <c r="J47" s="3" t="inlineStr">
        <is>
          <t>T9 T4</t>
        </is>
      </c>
      <c r="K47" s="3" t="inlineStr">
        <is>
          <t>DADO_MEDIDO</t>
        </is>
      </c>
      <c r="L47" s="3" t="inlineStr">
        <is>
          <t>medido nos 503 registos</t>
        </is>
      </c>
      <c r="M47" s="3" t="inlineStr">
        <is>
          <t>ING.COMP_ACTIVITIES products 102/503 (20%)</t>
        </is>
      </c>
    </row>
    <row r="48">
      <c r="A48" s="3" t="inlineStr">
        <is>
          <t>COMPETITORS</t>
        </is>
      </c>
      <c r="B48" s="3" t="inlineStr">
        <is>
          <t>Concorrenza</t>
        </is>
      </c>
      <c r="C48" s="3" t="inlineStr">
        <is>
          <t>C-TELA-COMPETITORS</t>
        </is>
      </c>
      <c r="D48" s="3" t="inlineStr">
        <is>
          <t>O que cada concorrente esta a comunicar e a registar, para que cultura e que alvo, e quando?</t>
        </is>
      </c>
      <c r="E48" s="3" t="inlineStr">
        <is>
          <t>REGIAO da atividade do concorrente</t>
        </is>
      </c>
      <c r="F48" s="3" t="inlineStr">
        <is>
          <t>region</t>
        </is>
      </c>
      <c r="G48" s="3" t="inlineStr">
        <is>
          <t>semanal</t>
        </is>
      </c>
      <c r="H48" s="3" t="inlineStr">
        <is>
          <t>REGIAO</t>
        </is>
      </c>
      <c r="I48" s="3" t="inlineStr">
        <is>
          <t>dia</t>
        </is>
      </c>
      <c r="J48" s="3" t="inlineStr">
        <is>
          <t>T9</t>
        </is>
      </c>
      <c r="K48" s="3" t="inlineStr">
        <is>
          <t>CONTRATO</t>
        </is>
      </c>
      <c r="L48" s="3" t="inlineStr">
        <is>
          <t>competitor.spec fieldsThatDie: 'a.region' verdict REMOVE_SUBCOMPONENT</t>
        </is>
      </c>
      <c r="M48" s="3" t="inlineStr">
        <is>
          <t>ausente do dado real — so pais</t>
        </is>
      </c>
    </row>
    <row r="49">
      <c r="A49" s="3" t="inlineStr">
        <is>
          <t>COMPETITORS</t>
        </is>
      </c>
      <c r="B49" s="3" t="inlineStr">
        <is>
          <t>Concorrenza</t>
        </is>
      </c>
      <c r="C49" s="3" t="inlineStr">
        <is>
          <t>C-TELA-COMPETITORS</t>
        </is>
      </c>
      <c r="D49" s="3" t="inlineStr">
        <is>
          <t>O que cada concorrente esta a comunicar e a registar, para que cultura e que alvo, e quando?</t>
        </is>
      </c>
      <c r="E49" s="3" t="inlineStr">
        <is>
          <t>REGISTO oficial do produto do concorrente</t>
        </is>
      </c>
      <c r="F49" s="3" t="inlineStr">
        <is>
          <t>reg · ai · crop · target do produto concorrente</t>
        </is>
      </c>
      <c r="G49" s="3" t="inlineStr">
        <is>
          <t>por alteracao</t>
        </is>
      </c>
      <c r="H49" s="3" t="inlineStr">
        <is>
          <t>PAIS</t>
        </is>
      </c>
      <c r="I49" s="3" t="inlineStr">
        <is>
          <t>dia</t>
        </is>
      </c>
      <c r="J49" s="3" t="inlineStr">
        <is>
          <t>T9 T4</t>
        </is>
      </c>
      <c r="K49" s="3" t="inlineStr">
        <is>
          <t>CONTRATO</t>
        </is>
      </c>
      <c r="L49" s="3" t="inlineStr">
        <is>
          <t>competitor.spec fieldsThatDie: 'Competitor product crops, issues, first/last date, paid count, people count, linked cases'</t>
        </is>
      </c>
      <c r="M49" s="3" t="inlineStr">
        <is>
          <t>ING.COMP_PRODUCTS 36 registos, 6 campos — sem registo oficial</t>
        </is>
      </c>
    </row>
    <row r="50">
      <c r="A50" s="3" t="inlineStr">
        <is>
          <t>COMPETITORS</t>
        </is>
      </c>
      <c r="B50" s="3" t="inlineStr">
        <is>
          <t>Concorrenza</t>
        </is>
      </c>
      <c r="C50" s="3" t="inlineStr">
        <is>
          <t>C-TELA-COMPETITORS</t>
        </is>
      </c>
      <c r="D50" s="3" t="inlineStr">
        <is>
          <t>O que cada concorrente esta a comunicar e a registar, para que cultura e que alvo, e quando?</t>
        </is>
      </c>
      <c r="E50" s="3" t="inlineStr">
        <is>
          <t>CONTEUDO TECNICO do concorrente (nao publicidade)</t>
        </is>
      </c>
      <c r="F50" s="3" t="inlineStr">
        <is>
          <t>tipo de conteudo · transcricao · ensaio citado</t>
        </is>
      </c>
      <c r="G50" s="3" t="inlineStr">
        <is>
          <t>semanal</t>
        </is>
      </c>
      <c r="H50" s="3" t="inlineStr">
        <is>
          <t>PAIS</t>
        </is>
      </c>
      <c r="I50" s="3" t="inlineStr">
        <is>
          <t>dia</t>
        </is>
      </c>
      <c r="J50" s="3" t="inlineStr">
        <is>
          <t>T9 T5</t>
        </is>
      </c>
      <c r="K50" s="3" t="inlineStr">
        <is>
          <t>CONTRATO</t>
        </is>
      </c>
      <c r="L50" s="3" t="inlineStr">
        <is>
          <t>competitor.spec fieldsThatDie: 'a.transcript / a.transcriptLabel / a.duration'</t>
        </is>
      </c>
      <c r="M50" s="3" t="inlineStr">
        <is>
          <t>ING.COMP_ACTIVITIES nao distingue tecnico de publicitario</t>
        </is>
      </c>
    </row>
    <row r="51">
      <c r="A51" s="3" t="inlineStr">
        <is>
          <t>COMPETITORS</t>
        </is>
      </c>
      <c r="B51" s="3" t="inlineStr">
        <is>
          <t>Concorrenza</t>
        </is>
      </c>
      <c r="C51" s="3" t="inlineStr">
        <is>
          <t>C-TELA-COMPETITORS</t>
        </is>
      </c>
      <c r="D51" s="3" t="inlineStr">
        <is>
          <t>O que cada concorrente esta a comunicar e a registar, para que cultura e que alvo, e quando?</t>
        </is>
      </c>
      <c r="E51" s="3" t="inlineStr">
        <is>
          <t>PESSOA do concorrente (quem fala por ele)</t>
        </is>
      </c>
      <c r="F51" s="3" t="inlineStr">
        <is>
          <t>person · role · relationship</t>
        </is>
      </c>
      <c r="G51" s="3" t="inlineStr">
        <is>
          <t>semanal</t>
        </is>
      </c>
      <c r="H51" s="3" t="inlineStr">
        <is>
          <t>PAIS</t>
        </is>
      </c>
      <c r="I51" s="3" t="inlineStr">
        <is>
          <t>dia</t>
        </is>
      </c>
      <c r="J51" s="3" t="inlineStr">
        <is>
          <t>T9 T6</t>
        </is>
      </c>
      <c r="K51" s="3" t="inlineStr">
        <is>
          <t>CONTRATO</t>
        </is>
      </c>
      <c r="L51" s="3" t="inlineStr">
        <is>
          <t>competitor.spec fieldsThatDie: 'a.person / a.personId / a.personRole ... the entire PEOPLE activity type'</t>
        </is>
      </c>
      <c r="M51" s="3" t="inlineStr">
        <is>
          <t>ING.PEOPLE 15 registos · ROLE 5/15 (10 = NAO SEI)</t>
        </is>
      </c>
    </row>
    <row r="52">
      <c r="A52" s="3" t="inlineStr">
        <is>
          <t>VOICES</t>
        </is>
      </c>
      <c r="B52" s="3" t="inlineStr">
        <is>
          <t>Voci dal Campo</t>
        </is>
      </c>
      <c r="C52" s="3" t="inlineStr">
        <is>
          <t>C-TELA-VOICES</t>
        </is>
      </c>
      <c r="D52" s="3" t="inlineStr">
        <is>
          <t>Quem, no campo italiano, esta a dizer que problema, em que cultura e em que regiao — e quando o viu?</t>
        </is>
      </c>
      <c r="E52" s="3" t="inlineStr">
        <is>
          <t>Voz de campo com autor identificado</t>
        </is>
      </c>
      <c r="F52" s="3" t="inlineStr">
        <is>
          <t>PERSON · PERSON_IDENTITY_STATE · SOURCE_URL</t>
        </is>
      </c>
      <c r="G52" s="3" t="inlineStr">
        <is>
          <t>semanal</t>
        </is>
      </c>
      <c r="H52" s="3" t="inlineStr">
        <is>
          <t>REGIAO</t>
        </is>
      </c>
      <c r="I52" s="3" t="inlineStr">
        <is>
          <t>dia</t>
        </is>
      </c>
      <c r="J52" s="3" t="inlineStr">
        <is>
          <t>T8 T7</t>
        </is>
      </c>
      <c r="K52" s="3" t="inlineStr">
        <is>
          <t>DADO_MEDIDO</t>
        </is>
      </c>
      <c r="L52" s="3" t="inlineStr">
        <is>
          <t>medido em ING.VOICES</t>
        </is>
      </c>
      <c r="M52" s="3" t="inlineStr">
        <is>
          <t>ING.VOICES 17 · PERSON 17/17 · PERSON_IDENTITY_STATE 17/17</t>
        </is>
      </c>
    </row>
    <row r="53">
      <c r="A53" s="3" t="inlineStr">
        <is>
          <t>VOICES</t>
        </is>
      </c>
      <c r="B53" s="3" t="inlineStr">
        <is>
          <t>Voci dal Campo</t>
        </is>
      </c>
      <c r="C53" s="3" t="inlineStr">
        <is>
          <t>C-TELA-VOICES</t>
        </is>
      </c>
      <c r="D53" s="3" t="inlineStr">
        <is>
          <t>Quem, no campo italiano, esta a dizer que problema, em que cultura e em que regiao — e quando o viu?</t>
        </is>
      </c>
      <c r="E53" s="3" t="inlineStr">
        <is>
          <t>REGIAO da voz de campo</t>
        </is>
      </c>
      <c r="F53" s="3" t="inlineStr">
        <is>
          <t>REGION</t>
        </is>
      </c>
      <c r="G53" s="3" t="inlineStr">
        <is>
          <t>semanal</t>
        </is>
      </c>
      <c r="H53" s="3" t="inlineStr">
        <is>
          <t>REGIAO</t>
        </is>
      </c>
      <c r="I53" s="3" t="inlineStr">
        <is>
          <t>dia</t>
        </is>
      </c>
      <c r="J53" s="3" t="inlineStr">
        <is>
          <t>T8</t>
        </is>
      </c>
      <c r="K53" s="3" t="inlineStr">
        <is>
          <t>DADO_MEDIDO</t>
        </is>
      </c>
      <c r="L53" s="3" t="inlineStr">
        <is>
          <t>ING.VOICES REGION = literal 'NAO SEI' em 17 de 17</t>
        </is>
      </c>
      <c r="M53" s="3" t="inlineStr">
        <is>
          <t>0/17 — todas NAO SEI</t>
        </is>
      </c>
    </row>
    <row r="54">
      <c r="A54" s="3" t="inlineStr">
        <is>
          <t>VOICES</t>
        </is>
      </c>
      <c r="B54" s="3" t="inlineStr">
        <is>
          <t>Voci dal Campo</t>
        </is>
      </c>
      <c r="C54" s="3" t="inlineStr">
        <is>
          <t>C-TELA-VOICES</t>
        </is>
      </c>
      <c r="D54" s="3" t="inlineStr">
        <is>
          <t>Quem, no campo italiano, esta a dizer que problema, em que cultura e em que regiao — e quando o viu?</t>
        </is>
      </c>
      <c r="E54" s="3" t="inlineStr">
        <is>
          <t>PAPEL de quem fala (produtor? tecnico? amador?)</t>
        </is>
      </c>
      <c r="F54" s="3" t="inlineStr">
        <is>
          <t>ROLE · ORGANIZATION</t>
        </is>
      </c>
      <c r="G54" s="3" t="inlineStr">
        <is>
          <t>—</t>
        </is>
      </c>
      <c r="H54" s="3" t="inlineStr">
        <is>
          <t>—</t>
        </is>
      </c>
      <c r="I54" s="3" t="inlineStr">
        <is>
          <t>—</t>
        </is>
      </c>
      <c r="J54" s="3" t="inlineStr">
        <is>
          <t>T8 T7</t>
        </is>
      </c>
      <c r="K54" s="3" t="inlineStr">
        <is>
          <t>DADO_MEDIDO</t>
        </is>
      </c>
      <c r="L54" s="3" t="inlineStr">
        <is>
          <t>ING.VOICES ROLE e ORGANIZATION = 'NAO SEI' em 17 de 17</t>
        </is>
      </c>
      <c r="M54" s="3" t="inlineStr">
        <is>
          <t>0/17 — todas NAO SEI</t>
        </is>
      </c>
    </row>
    <row r="55">
      <c r="A55" s="3" t="inlineStr">
        <is>
          <t>VOICES</t>
        </is>
      </c>
      <c r="B55" s="3" t="inlineStr">
        <is>
          <t>Voci dal Campo</t>
        </is>
      </c>
      <c r="C55" s="3" t="inlineStr">
        <is>
          <t>C-TELA-VOICES</t>
        </is>
      </c>
      <c r="D55" s="3" t="inlineStr">
        <is>
          <t>Quem, no campo italiano, esta a dizer que problema, em que cultura e em que regiao — e quando o viu?</t>
        </is>
      </c>
      <c r="E55" s="3" t="inlineStr">
        <is>
          <t>DATA da observacao de campo</t>
        </is>
      </c>
      <c r="F55" s="3" t="inlineStr">
        <is>
          <t>DATE (absoluta)</t>
        </is>
      </c>
      <c r="G55" s="3" t="inlineStr">
        <is>
          <t>semanal</t>
        </is>
      </c>
      <c r="H55" s="3" t="inlineStr">
        <is>
          <t>—</t>
        </is>
      </c>
      <c r="I55" s="3" t="inlineStr">
        <is>
          <t>dia</t>
        </is>
      </c>
      <c r="J55" s="3" t="inlineStr">
        <is>
          <t>T8</t>
        </is>
      </c>
      <c r="K55" s="3" t="inlineStr">
        <is>
          <t>DADO_MEDIDO</t>
        </is>
      </c>
      <c r="L55" s="3" t="inlineStr">
        <is>
          <t>ING.VOICES DATE = 'NAO SEI' em 17 de 17; existem DATE_RELATIVE e DATE_NOTE, que sao aproximacao</t>
        </is>
      </c>
      <c r="M55" s="3" t="inlineStr">
        <is>
          <t>0/17 absoluta · 17/17 relativa</t>
        </is>
      </c>
    </row>
    <row r="56">
      <c r="A56" s="3" t="inlineStr">
        <is>
          <t>VOICES</t>
        </is>
      </c>
      <c r="B56" s="3" t="inlineStr">
        <is>
          <t>Voci dal Campo</t>
        </is>
      </c>
      <c r="C56" s="3" t="inlineStr">
        <is>
          <t>C-TELA-VOICES</t>
        </is>
      </c>
      <c r="D56" s="3" t="inlineStr">
        <is>
          <t>Quem, no campo italiano, esta a dizer que problema, em que cultura e em que regiao — e quando o viu?</t>
        </is>
      </c>
      <c r="E56" s="3" t="inlineStr">
        <is>
          <t>Cultura e problema relatados</t>
        </is>
      </c>
      <c r="F56" s="3" t="inlineStr">
        <is>
          <t>CROP · ISSUE · TEXT_ORIGINAL</t>
        </is>
      </c>
      <c r="G56" s="3" t="inlineStr">
        <is>
          <t>semanal</t>
        </is>
      </c>
      <c r="H56" s="3" t="inlineStr">
        <is>
          <t>REGIAO</t>
        </is>
      </c>
      <c r="I56" s="3" t="inlineStr">
        <is>
          <t>dia</t>
        </is>
      </c>
      <c r="J56" s="3" t="inlineStr">
        <is>
          <t>T8 T3</t>
        </is>
      </c>
      <c r="K56" s="3" t="inlineStr">
        <is>
          <t>DADO_MEDIDO</t>
        </is>
      </c>
      <c r="L56" s="3" t="inlineStr">
        <is>
          <t>medido em ING.VOICES</t>
        </is>
      </c>
      <c r="M56" s="3" t="inlineStr">
        <is>
          <t>ING.VOICES CROP/ISSUE/TEXT_ORIGINAL 17/17</t>
        </is>
      </c>
    </row>
    <row r="57">
      <c r="A57" s="3" t="inlineStr">
        <is>
          <t>VOICES</t>
        </is>
      </c>
      <c r="B57" s="3" t="inlineStr">
        <is>
          <t>Voci dal Campo</t>
        </is>
      </c>
      <c r="C57" s="3" t="inlineStr">
        <is>
          <t>C-TELA-VOICES</t>
        </is>
      </c>
      <c r="D57" s="3" t="inlineStr">
        <is>
          <t>Quem, no campo italiano, esta a dizer que problema, em que cultura e em que regiao — e quando o viu?</t>
        </is>
      </c>
      <c r="E57" s="3" t="inlineStr">
        <is>
          <t>CANAL com exemplo real e data de publicacao</t>
        </is>
      </c>
      <c r="F57" s="3" t="inlineStr">
        <is>
          <t>CHANNEL_URL · EXAMPLE_URL · EXAMPLE_PUBLISHED_AT · IDENTITY_STATE</t>
        </is>
      </c>
      <c r="G57" s="3" t="inlineStr">
        <is>
          <t>semanal</t>
        </is>
      </c>
      <c r="H57" s="3" t="inlineStr">
        <is>
          <t>—</t>
        </is>
      </c>
      <c r="I57" s="3" t="inlineStr">
        <is>
          <t>dia</t>
        </is>
      </c>
      <c r="J57" s="3" t="inlineStr">
        <is>
          <t>T8</t>
        </is>
      </c>
      <c r="K57" s="3" t="inlineStr">
        <is>
          <t>DADO_MEDIDO</t>
        </is>
      </c>
      <c r="L57" s="3" t="inlineStr">
        <is>
          <t>medido em ING.CHANNELS</t>
        </is>
      </c>
      <c r="M57" s="3" t="inlineStr">
        <is>
          <t>ING.CHANNELS 30 registos · todos os 11 campos 100% cheios</t>
        </is>
      </c>
    </row>
    <row r="58">
      <c r="A58" s="3" t="inlineStr">
        <is>
          <t>VOICES</t>
        </is>
      </c>
      <c r="B58" s="3" t="inlineStr">
        <is>
          <t>Voci dal Campo</t>
        </is>
      </c>
      <c r="C58" s="3" t="inlineStr">
        <is>
          <t>C-TELA-VOICES</t>
        </is>
      </c>
      <c r="D58" s="3" t="inlineStr">
        <is>
          <t>Quem, no campo italiano, esta a dizer que problema, em que cultura e em que regiao — e quando o viu?</t>
        </is>
      </c>
      <c r="E58" s="3" t="inlineStr">
        <is>
          <t>Volume de vozes suficiente para ler um territorio</t>
        </is>
      </c>
      <c r="F58" s="3" t="inlineStr">
        <is>
          <t>n.o de vozes por regiao x cultura</t>
        </is>
      </c>
      <c r="G58" s="3" t="inlineStr">
        <is>
          <t>semanal</t>
        </is>
      </c>
      <c r="H58" s="3" t="inlineStr">
        <is>
          <t>REGIAO</t>
        </is>
      </c>
      <c r="I58" s="3" t="inlineStr">
        <is>
          <t>semana</t>
        </is>
      </c>
      <c r="J58" s="3" t="inlineStr">
        <is>
          <t>T8</t>
        </is>
      </c>
      <c r="K58" s="3" t="inlineStr">
        <is>
          <t>CONTRATO</t>
        </is>
      </c>
      <c r="L58" s="3" t="inlineStr">
        <is>
          <t>case.spec risco: 'VOICES.REGION is NAO SEI 17/...'; e as vozes cobrem 3 CASE_ID so</t>
        </is>
      </c>
      <c r="M58" s="3" t="inlineStr">
        <is>
          <t>17 vozes no total, 3 casos — nao da para ler regiao nenhuma</t>
        </is>
      </c>
    </row>
    <row r="59">
      <c r="A59" s="3" t="inlineStr">
        <is>
          <t>FUTURE</t>
        </is>
      </c>
      <c r="B59" s="3" t="inlineStr">
        <is>
          <t>Archivio segnali</t>
        </is>
      </c>
      <c r="C59" s="3" t="inlineStr">
        <is>
          <t>C-TELA-FUTURE</t>
        </is>
      </c>
      <c r="D59" s="3" t="inlineStr">
        <is>
          <t>Que sinal novo apareceu que ainda nao e um facto de campo estabelecido?</t>
        </is>
      </c>
      <c r="E59" s="3" t="inlineStr">
        <is>
          <t>Sinal novo com o que se observou e quem o disse</t>
        </is>
      </c>
      <c r="F59" s="3" t="inlineStr">
        <is>
          <t>OBSERVED_FACTS · WHO_IS_TALKING · WHAT_CHANGED · SOURCE_IDS</t>
        </is>
      </c>
      <c r="G59" s="3" t="inlineStr">
        <is>
          <t>continua</t>
        </is>
      </c>
      <c r="H59" s="3" t="inlineStr">
        <is>
          <t>REGIAO</t>
        </is>
      </c>
      <c r="I59" s="3" t="inlineStr">
        <is>
          <t>dia</t>
        </is>
      </c>
      <c r="J59" s="3" t="inlineStr">
        <is>
          <t>T3 T5</t>
        </is>
      </c>
      <c r="K59" s="3" t="inlineStr">
        <is>
          <t>DADO_MEDIDO</t>
        </is>
      </c>
      <c r="L59" s="3" t="inlineStr">
        <is>
          <t>medido em ING.FUTURE_SIGNALS</t>
        </is>
      </c>
      <c r="M59" s="3" t="inlineStr">
        <is>
          <t>ING.FUTURE_SIGNALS 3 registos · campos cheios · REGION 2/3</t>
        </is>
      </c>
    </row>
    <row r="60">
      <c r="A60" s="3" t="inlineStr">
        <is>
          <t>FUTURE</t>
        </is>
      </c>
      <c r="B60" s="3" t="inlineStr">
        <is>
          <t>Archivio segnali</t>
        </is>
      </c>
      <c r="C60" s="3" t="inlineStr">
        <is>
          <t>C-TELA-FUTURE</t>
        </is>
      </c>
      <c r="D60" s="3" t="inlineStr">
        <is>
          <t>Que sinal novo apareceu que ainda nao e um facto de campo estabelecido?</t>
        </is>
      </c>
      <c r="E60" s="3" t="inlineStr">
        <is>
          <t>PRAGA OU DOENCA EMERGENTE (primeira deteccao)</t>
        </is>
      </c>
      <c r="F60" s="3" t="inlineStr">
        <is>
          <t>especie · primeira deteccao · local · autoridade</t>
        </is>
      </c>
      <c r="G60" s="3" t="inlineStr">
        <is>
          <t>continua</t>
        </is>
      </c>
      <c r="H60" s="3" t="inlineStr">
        <is>
          <t>REGIAO</t>
        </is>
      </c>
      <c r="I60" s="3" t="inlineStr">
        <is>
          <t>dia</t>
        </is>
      </c>
      <c r="J60" s="3" t="inlineStr">
        <is>
          <t>T3 T4</t>
        </is>
      </c>
      <c r="K60" s="3" t="inlineStr">
        <is>
          <t>DADO_MEDIDO</t>
        </is>
      </c>
      <c r="L60" s="3" t="inlineStr">
        <is>
          <t>nao existe colecao de primeira deteccao; EPPO nao esta ingerido para Italia</t>
        </is>
      </c>
      <c r="M60" s="3" t="inlineStr">
        <is>
          <t>ausente</t>
        </is>
      </c>
    </row>
    <row r="61">
      <c r="A61" s="3" t="inlineStr">
        <is>
          <t>FUTURE</t>
        </is>
      </c>
      <c r="B61" s="3" t="inlineStr">
        <is>
          <t>Archivio segnali</t>
        </is>
      </c>
      <c r="C61" s="3" t="inlineStr">
        <is>
          <t>C-TELA-FUTURE</t>
        </is>
      </c>
      <c r="D61" s="3" t="inlineStr">
        <is>
          <t>Que sinal novo apareceu que ainda nao e um facto de campo estabelecido?</t>
        </is>
      </c>
      <c r="E61" s="3" t="inlineStr">
        <is>
          <t>PIPELINE REGULATORIO (substancia em avaliacao/renovacao)</t>
        </is>
      </c>
      <c r="F61" s="3" t="inlineStr">
        <is>
          <t>substancia · estado · data prevista</t>
        </is>
      </c>
      <c r="G61" s="3" t="inlineStr">
        <is>
          <t>mensal</t>
        </is>
      </c>
      <c r="H61" s="3" t="inlineStr">
        <is>
          <t>UE</t>
        </is>
      </c>
      <c r="I61" s="3" t="inlineStr">
        <is>
          <t>dia</t>
        </is>
      </c>
      <c r="J61" s="3" t="inlineStr">
        <is>
          <t>T4 T12</t>
        </is>
      </c>
      <c r="K61" s="3" t="inlineStr">
        <is>
          <t>DADO_MEDIDO</t>
        </is>
      </c>
      <c r="L61" s="3" t="inlineStr">
        <is>
          <t>o casco tem instantaneo de autorizacao, nao pipeline</t>
        </is>
      </c>
      <c r="M61" s="3" t="inlineStr">
        <is>
          <t>ausente</t>
        </is>
      </c>
    </row>
    <row r="62">
      <c r="A62" s="3" t="inlineStr">
        <is>
          <t>FUTURE</t>
        </is>
      </c>
      <c r="B62" s="3" t="inlineStr">
        <is>
          <t>Archivio segnali</t>
        </is>
      </c>
      <c r="C62" s="3" t="inlineStr">
        <is>
          <t>C-TELA-FUTURE</t>
        </is>
      </c>
      <c r="D62" s="3" t="inlineStr">
        <is>
          <t>Que sinal novo apareceu que ainda nao e um facto de campo estabelecido?</t>
        </is>
      </c>
      <c r="E62" s="3" t="inlineStr">
        <is>
          <t>MUDANCA DE POLITICA em consulta</t>
        </is>
      </c>
      <c r="F62" s="3" t="inlineStr">
        <is>
          <t>acto · estado de consulta · prazo</t>
        </is>
      </c>
      <c r="G62" s="3" t="inlineStr">
        <is>
          <t>mensal</t>
        </is>
      </c>
      <c r="H62" s="3" t="inlineStr">
        <is>
          <t>UE/PAIS</t>
        </is>
      </c>
      <c r="I62" s="3" t="inlineStr">
        <is>
          <t>dia</t>
        </is>
      </c>
      <c r="J62" s="3" t="inlineStr">
        <is>
          <t>T12</t>
        </is>
      </c>
      <c r="K62" s="3" t="inlineStr">
        <is>
          <t>DADO_MEDIDO</t>
        </is>
      </c>
      <c r="L62" s="3" t="inlineStr">
        <is>
          <t>ausente do casco</t>
        </is>
      </c>
      <c r="M62" s="3" t="inlineStr">
        <is>
          <t>ausente</t>
        </is>
      </c>
    </row>
    <row r="63">
      <c r="A63" s="3" t="inlineStr">
        <is>
          <t>FUTURE</t>
        </is>
      </c>
      <c r="B63" s="3" t="inlineStr">
        <is>
          <t>Archivio segnali</t>
        </is>
      </c>
      <c r="C63" s="3" t="inlineStr">
        <is>
          <t>C-TELA-FUTURE</t>
        </is>
      </c>
      <c r="D63" s="3" t="inlineStr">
        <is>
          <t>Que sinal novo apareceu que ainda nao e um facto de campo estabelecido?</t>
        </is>
      </c>
      <c r="E63" s="3" t="inlineStr">
        <is>
          <t>DESLOCACAO CLIMATICA que muda a pressao de praga</t>
        </is>
      </c>
      <c r="F63" s="3" t="inlineStr">
        <is>
          <t>serie climatica · anomalia · regiao</t>
        </is>
      </c>
      <c r="G63" s="3" t="inlineStr">
        <is>
          <t>mensal</t>
        </is>
      </c>
      <c r="H63" s="3" t="inlineStr">
        <is>
          <t>REGIAO</t>
        </is>
      </c>
      <c r="I63" s="3" t="inlineStr">
        <is>
          <t>mes</t>
        </is>
      </c>
      <c r="J63" s="3" t="inlineStr">
        <is>
          <t>T2</t>
        </is>
      </c>
      <c r="K63" s="3" t="inlineStr">
        <is>
          <t>DADO_MEDIDO</t>
        </is>
      </c>
      <c r="L63" s="3" t="inlineStr">
        <is>
          <t>nao existe colecao de clima no casco</t>
        </is>
      </c>
      <c r="M63" s="3" t="inlineStr">
        <is>
          <t>ausente — nenhuma colecao de T2 no ITALY_INGEST</t>
        </is>
      </c>
    </row>
    <row r="64">
      <c r="A64" s="3" t="inlineStr">
        <is>
          <t>FUTURE</t>
        </is>
      </c>
      <c r="B64" s="3" t="inlineStr">
        <is>
          <t>Archivio segnali</t>
        </is>
      </c>
      <c r="C64" s="3" t="inlineStr">
        <is>
          <t>C-TELA-FUTURE</t>
        </is>
      </c>
      <c r="D64" s="3" t="inlineStr">
        <is>
          <t>Que sinal novo apareceu que ainda nao e um facto de campo estabelecido?</t>
        </is>
      </c>
      <c r="E64" s="3" t="inlineStr">
        <is>
          <t>Volume de sinais suficiente para ser um arquivo</t>
        </is>
      </c>
      <c r="F64" s="3" t="inlineStr">
        <is>
          <t>n.o de sinais</t>
        </is>
      </c>
      <c r="G64" s="3" t="inlineStr">
        <is>
          <t>continua</t>
        </is>
      </c>
      <c r="H64" s="3" t="inlineStr">
        <is>
          <t>—</t>
        </is>
      </c>
      <c r="I64" s="3" t="inlineStr">
        <is>
          <t>—</t>
        </is>
      </c>
      <c r="J64" s="3" t="inlineStr">
        <is>
          <t>T3 T5</t>
        </is>
      </c>
      <c r="K64" s="3" t="inlineStr">
        <is>
          <t>DADO_MEDIDO</t>
        </is>
      </c>
      <c r="L64" s="3" t="inlineStr">
        <is>
          <t>3 registos</t>
        </is>
      </c>
      <c r="M64" s="3" t="inlineStr">
        <is>
          <t>3 sinais — a tela chama-se 'Archivio' e tem tres linhas</t>
        </is>
      </c>
    </row>
    <row r="65">
      <c r="A65" s="3" t="inlineStr">
        <is>
          <t>FIELD_NET</t>
        </is>
      </c>
      <c r="B65" s="3" t="inlineStr">
        <is>
          <t>Rete Commerciale di Campo</t>
        </is>
      </c>
      <c r="C65" s="3" t="inlineStr">
        <is>
          <t>C-TELA-FIELD</t>
        </is>
      </c>
      <c r="D65" s="3" t="inlineStr">
        <is>
          <t>O que a rede comercial no campo esta a relatar?</t>
        </is>
      </c>
      <c r="E65" s="3" t="inlineStr">
        <is>
          <t>Relato da rede comercial, com autor e data</t>
        </is>
      </c>
      <c r="F65" s="3" t="inlineStr">
        <is>
          <t>mensagem · autor · data · regiao</t>
        </is>
      </c>
      <c r="G65" s="3" t="inlineStr">
        <is>
          <t>diaria</t>
        </is>
      </c>
      <c r="H65" s="3" t="inlineStr">
        <is>
          <t>REGIAO</t>
        </is>
      </c>
      <c r="I65" s="3" t="inlineStr">
        <is>
          <t>dia</t>
        </is>
      </c>
      <c r="J65" s="3" t="inlineStr">
        <is>
          <t>T7 T8</t>
        </is>
      </c>
      <c r="K65" s="3" t="inlineStr">
        <is>
          <t>CONTRATO</t>
        </is>
      </c>
      <c r="L65" s="3" t="inlineStr">
        <is>
          <t>tecido conectivo: 'Field Sales stays on AM.collections.fieldMessages (18 records, provenance SYNTHETIC_DEMO)'</t>
        </is>
      </c>
      <c r="M65" s="3" t="inlineStr">
        <is>
          <t>18 registos, TODOS SYNTHETIC_DEMO — zero dado real</t>
        </is>
      </c>
    </row>
    <row r="66">
      <c r="A66" s="3" t="inlineStr">
        <is>
          <t>FIELD_NET</t>
        </is>
      </c>
      <c r="B66" s="3" t="inlineStr">
        <is>
          <t>Rete Commerciale di Campo</t>
        </is>
      </c>
      <c r="C66" s="3" t="inlineStr">
        <is>
          <t>C-TELA-FIELD</t>
        </is>
      </c>
      <c r="D66" s="3" t="inlineStr">
        <is>
          <t>O que a rede comercial no campo esta a relatar?</t>
        </is>
      </c>
      <c r="E66" s="3" t="inlineStr">
        <is>
          <t>Identidade do tecnico de campo (TSR)</t>
        </is>
      </c>
      <c r="F66" s="3" t="inlineStr">
        <is>
          <t>pessoa · papel · territorio</t>
        </is>
      </c>
      <c r="G66" s="3" t="inlineStr">
        <is>
          <t>—</t>
        </is>
      </c>
      <c r="H66" s="3" t="inlineStr">
        <is>
          <t>REGIAO</t>
        </is>
      </c>
      <c r="I66" s="3" t="inlineStr">
        <is>
          <t>—</t>
        </is>
      </c>
      <c r="J66" s="3" t="inlineStr">
        <is>
          <t>T7</t>
        </is>
      </c>
      <c r="K66" s="3" t="inlineStr">
        <is>
          <t>CONTRATO</t>
        </is>
      </c>
      <c r="L66" s="3" t="inlineStr">
        <is>
          <t>tecido conectivo: 'D.TSR' e fixture</t>
        </is>
      </c>
      <c r="M66" s="3" t="inlineStr">
        <is>
          <t>ausente — fixture</t>
        </is>
      </c>
    </row>
    <row r="67">
      <c r="A67" s="3" t="inlineStr">
        <is>
          <t>RADAR</t>
        </is>
      </c>
      <c r="B67" s="3" t="inlineStr">
        <is>
          <t>Radar delle Opportunita</t>
        </is>
      </c>
      <c r="C67" s="3" t="inlineStr">
        <is>
          <t>C-TELA-MEETING</t>
        </is>
      </c>
      <c r="D67" s="3" t="inlineStr">
        <is>
          <t>Onde cultura, problema, regiao, janela, portfolio e concorrente se cruzam?</t>
        </is>
      </c>
      <c r="E67" s="3" t="inlineStr">
        <is>
          <t>ENTRADA: janela de cultura com data e regiao</t>
        </is>
      </c>
      <c r="F67" s="3" t="inlineStr">
        <is>
          <t>ver WINDOWS</t>
        </is>
      </c>
      <c r="G67" s="3" t="inlineStr">
        <is>
          <t>semanal</t>
        </is>
      </c>
      <c r="H67" s="3" t="inlineStr">
        <is>
          <t>REGIAO</t>
        </is>
      </c>
      <c r="I67" s="3" t="inlineStr">
        <is>
          <t>dia</t>
        </is>
      </c>
      <c r="J67" s="3" t="inlineStr">
        <is>
          <t>T1 T3</t>
        </is>
      </c>
      <c r="K67" s="3" t="inlineStr">
        <is>
          <t>CONTRATO</t>
        </is>
      </c>
      <c r="L67" s="3" t="inlineStr">
        <is>
          <t>case.spec: o radar cruza janela x portfolio x concorrente</t>
        </is>
      </c>
      <c r="M67" s="3" t="inlineStr">
        <is>
          <t>29 janelas canonicas, 0 com observacao</t>
        </is>
      </c>
    </row>
    <row r="68">
      <c r="A68" s="3" t="inlineStr">
        <is>
          <t>RADAR</t>
        </is>
      </c>
      <c r="B68" s="3" t="inlineStr">
        <is>
          <t>Radar delle Opportunita</t>
        </is>
      </c>
      <c r="C68" s="3" t="inlineStr">
        <is>
          <t>C-TELA-MEETING</t>
        </is>
      </c>
      <c r="D68" s="3" t="inlineStr">
        <is>
          <t>Onde cultura, problema, regiao, janela, portfolio e concorrente se cruzam?</t>
        </is>
      </c>
      <c r="E68" s="3" t="inlineStr">
        <is>
          <t>ENTRADA: ligacao produto x problema</t>
        </is>
      </c>
      <c r="F68" s="3" t="inlineStr">
        <is>
          <t>ver PORTFOLIO</t>
        </is>
      </c>
      <c r="G68" s="3" t="inlineStr">
        <is>
          <t>por alteracao</t>
        </is>
      </c>
      <c r="H68" s="3" t="inlineStr">
        <is>
          <t>PAIS</t>
        </is>
      </c>
      <c r="I68" s="3" t="inlineStr">
        <is>
          <t>dia</t>
        </is>
      </c>
      <c r="J68" s="3" t="inlineStr">
        <is>
          <t>T4</t>
        </is>
      </c>
      <c r="K68" s="3" t="inlineStr">
        <is>
          <t>CONTRATO</t>
        </is>
      </c>
      <c r="L68" s="3" t="inlineStr">
        <is>
          <t>case.spec: 'Opp 002 CURRENT_EVIDENCE states in prose that six ADAMA products name Piralide/Diabrotica on the maize label, while its ADAMA_PRODUCTS array is empty'</t>
        </is>
      </c>
      <c r="M68" s="3" t="inlineStr">
        <is>
          <t>12 triplos VERIFIED em ITALY_LABEL_VERDICTS</t>
        </is>
      </c>
    </row>
    <row r="69">
      <c r="A69" s="3" t="inlineStr">
        <is>
          <t>RADAR</t>
        </is>
      </c>
      <c r="B69" s="3" t="inlineStr">
        <is>
          <t>Radar delle Opportunita</t>
        </is>
      </c>
      <c r="C69" s="3" t="inlineStr">
        <is>
          <t>C-TELA-MEETING</t>
        </is>
      </c>
      <c r="D69" s="3" t="inlineStr">
        <is>
          <t>Onde cultura, problema, regiao, janela, portfolio e concorrente se cruzam?</t>
        </is>
      </c>
      <c r="E69" s="3" t="inlineStr">
        <is>
          <t>ENTRADA: sinal de concorrente na mesma cultura/problema</t>
        </is>
      </c>
      <c r="F69" s="3" t="inlineStr">
        <is>
          <t>ver COMPETITORS</t>
        </is>
      </c>
      <c r="G69" s="3" t="inlineStr">
        <is>
          <t>semanal</t>
        </is>
      </c>
      <c r="H69" s="3" t="inlineStr">
        <is>
          <t>PAIS</t>
        </is>
      </c>
      <c r="I69" s="3" t="inlineStr">
        <is>
          <t>dia</t>
        </is>
      </c>
      <c r="J69" s="3" t="inlineStr">
        <is>
          <t>T9</t>
        </is>
      </c>
      <c r="K69" s="3" t="inlineStr">
        <is>
          <t>CONTRATO</t>
        </is>
      </c>
      <c r="L69" s="3" t="inlineStr">
        <is>
          <t>case.spec cruza atividade de concorrente</t>
        </is>
      </c>
      <c r="M69" s="3" t="inlineStr">
        <is>
          <t>503 atividades, 19% com problema identificado</t>
        </is>
      </c>
    </row>
    <row r="70">
      <c r="A70" s="3" t="inlineStr">
        <is>
          <t>RADAR</t>
        </is>
      </c>
      <c r="B70" s="3" t="inlineStr">
        <is>
          <t>Radar delle Opportunita</t>
        </is>
      </c>
      <c r="C70" s="3" t="inlineStr">
        <is>
          <t>C-TELA-MEETING</t>
        </is>
      </c>
      <c r="D70" s="3" t="inlineStr">
        <is>
          <t>Onde cultura, problema, regiao, janela, portfolio e concorrente se cruzam?</t>
        </is>
      </c>
      <c r="E70" s="3" t="inlineStr">
        <is>
          <t>ENTRADA: voz de campo na mesma cultura/problema</t>
        </is>
      </c>
      <c r="F70" s="3" t="inlineStr">
        <is>
          <t>ver VOICES</t>
        </is>
      </c>
      <c r="G70" s="3" t="inlineStr">
        <is>
          <t>semanal</t>
        </is>
      </c>
      <c r="H70" s="3" t="inlineStr">
        <is>
          <t>REGIAO</t>
        </is>
      </c>
      <c r="I70" s="3" t="inlineStr">
        <is>
          <t>dia</t>
        </is>
      </c>
      <c r="J70" s="3" t="inlineStr">
        <is>
          <t>T8</t>
        </is>
      </c>
      <c r="K70" s="3" t="inlineStr">
        <is>
          <t>CONTRATO</t>
        </is>
      </c>
      <c r="L70" s="3" t="inlineStr">
        <is>
          <t>case.spec: 'VOICES.CASE_ID measures as IT-VINE-FLAVESCENCE (8), IT-MAIZE-WEED (8), IT-DURUM_WHEAT-FUSARIUM (1)'</t>
        </is>
      </c>
      <c r="M70" s="3" t="inlineStr">
        <is>
          <t>17 vozes em 3 casos · nenhuma com regiao</t>
        </is>
      </c>
    </row>
    <row r="71">
      <c r="A71" s="3" t="inlineStr">
        <is>
          <t>RADAR</t>
        </is>
      </c>
      <c r="B71" s="3" t="inlineStr">
        <is>
          <t>Radar delle Opportunita</t>
        </is>
      </c>
      <c r="C71" s="3" t="inlineStr">
        <is>
          <t>C-TELA-MEETING</t>
        </is>
      </c>
      <c r="D71" s="3" t="inlineStr">
        <is>
          <t>Onde cultura, problema, regiao, janela, portfolio e concorrente se cruzam?</t>
        </is>
      </c>
      <c r="E71" s="3" t="inlineStr">
        <is>
          <t>ENTRADA: mercado da mesma cultura</t>
        </is>
      </c>
      <c r="F71" s="3" t="inlineStr">
        <is>
          <t>ver MARKET</t>
        </is>
      </c>
      <c r="G71" s="3" t="inlineStr">
        <is>
          <t>semanal</t>
        </is>
      </c>
      <c r="H71" s="3" t="inlineStr">
        <is>
          <t>PRACA</t>
        </is>
      </c>
      <c r="I71" s="3" t="inlineStr">
        <is>
          <t>semana</t>
        </is>
      </c>
      <c r="J71" s="3" t="inlineStr">
        <is>
          <t>T10</t>
        </is>
      </c>
      <c r="K71" s="3" t="inlineStr">
        <is>
          <t>CONTRATO</t>
        </is>
      </c>
      <c r="L71" s="3" t="inlineStr">
        <is>
          <t>case.spec cruza mercado</t>
        </is>
      </c>
      <c r="M71" s="3" t="inlineStr">
        <is>
          <t>77 precos, uma fonte, 3 culturas sem nada</t>
        </is>
      </c>
    </row>
    <row r="72">
      <c r="A72" s="3" t="inlineStr">
        <is>
          <t>RADAR</t>
        </is>
      </c>
      <c r="B72" s="3" t="inlineStr">
        <is>
          <t>Radar delle Opportunita</t>
        </is>
      </c>
      <c r="C72" s="3" t="inlineStr">
        <is>
          <t>C-TELA-MEETING</t>
        </is>
      </c>
      <c r="D72" s="3" t="inlineStr">
        <is>
          <t>Onde cultura, problema, regiao, janela, portfolio e concorrente se cruzam?</t>
        </is>
      </c>
      <c r="E72" s="3" t="inlineStr">
        <is>
          <t>ENTRADA: ciencia da mesma cultura/problema</t>
        </is>
      </c>
      <c r="F72" s="3" t="inlineStr">
        <is>
          <t>ver SCIENCE</t>
        </is>
      </c>
      <c r="G72" s="3" t="inlineStr">
        <is>
          <t>continua</t>
        </is>
      </c>
      <c r="H72" s="3" t="inlineStr">
        <is>
          <t>—</t>
        </is>
      </c>
      <c r="I72" s="3" t="inlineStr">
        <is>
          <t>—</t>
        </is>
      </c>
      <c r="J72" s="3" t="inlineStr">
        <is>
          <t>T5</t>
        </is>
      </c>
      <c r="K72" s="3" t="inlineStr">
        <is>
          <t>CONTRATO</t>
        </is>
      </c>
      <c r="L72" s="3" t="inlineStr">
        <is>
          <t>case.spec cruza ciencia</t>
        </is>
      </c>
      <c r="M72" s="3" t="inlineStr">
        <is>
          <t>88 trabalhos + 60 investigadores + 34 resistencias</t>
        </is>
      </c>
    </row>
    <row r="73">
      <c r="A73" s="3" t="inlineStr">
        <is>
          <t>RADAR</t>
        </is>
      </c>
      <c r="B73" s="3" t="inlineStr">
        <is>
          <t>Radar delle Opportunita</t>
        </is>
      </c>
      <c r="C73" s="3" t="inlineStr">
        <is>
          <t>C-TELA-MEETING</t>
        </is>
      </c>
      <c r="D73" s="3" t="inlineStr">
        <is>
          <t>Onde cultura, problema, regiao, janela, portfolio e concorrente se cruzam?</t>
        </is>
      </c>
      <c r="E73" s="3" t="inlineStr">
        <is>
          <t>VOCABULARIO UNICO de cultura entre as camadas</t>
        </is>
      </c>
      <c r="F73" s="3" t="inlineStr">
        <is>
          <t>tabela de sinonimo de cultura</t>
        </is>
      </c>
      <c r="G73" s="3" t="inlineStr">
        <is>
          <t>—</t>
        </is>
      </c>
      <c r="H73" s="3" t="inlineStr">
        <is>
          <t>—</t>
        </is>
      </c>
      <c r="I73" s="3" t="inlineStr">
        <is>
          <t>—</t>
        </is>
      </c>
      <c r="J73" s="3" t="inlineStr">
        <is>
          <t>T1</t>
        </is>
      </c>
      <c r="K73" s="3" t="inlineStr">
        <is>
          <t>CONTRATO</t>
        </is>
      </c>
      <c r="L73" s="3" t="inlineStr">
        <is>
          <t>case.spec risco: 'Four incompatible crop vocabularies coexist in the real data and the synonym table is load-bearing'</t>
        </is>
      </c>
      <c r="M73" s="3" t="inlineStr">
        <is>
          <t>4 vocabularios de cultura em simultaneo</t>
        </is>
      </c>
    </row>
    <row r="74">
      <c r="A74" s="3" t="inlineStr">
        <is>
          <t>RADAR</t>
        </is>
      </c>
      <c r="B74" s="3" t="inlineStr">
        <is>
          <t>Radar delle Opportunita</t>
        </is>
      </c>
      <c r="C74" s="3" t="inlineStr">
        <is>
          <t>C-TELA-MEETING</t>
        </is>
      </c>
      <c r="D74" s="3" t="inlineStr">
        <is>
          <t>Onde cultura, problema, regiao, janela, portfolio e concorrente se cruzam?</t>
        </is>
      </c>
      <c r="E74" s="3" t="inlineStr">
        <is>
          <t>IDENTIDADE UNICA de caso entre as camadas</t>
        </is>
      </c>
      <c r="F74" s="3" t="inlineStr">
        <is>
          <t>case id comum</t>
        </is>
      </c>
      <c r="G74" s="3" t="inlineStr">
        <is>
          <t>—</t>
        </is>
      </c>
      <c r="H74" s="3" t="inlineStr">
        <is>
          <t>—</t>
        </is>
      </c>
      <c r="I74" s="3" t="inlineStr">
        <is>
          <t>—</t>
        </is>
      </c>
      <c r="J74" s="3" t="inlineStr">
        <is>
          <t>T1 T3</t>
        </is>
      </c>
      <c r="K74" s="3" t="inlineStr">
        <is>
          <t>CONTRATO</t>
        </is>
      </c>
      <c r="L74" s="3" t="inlineStr">
        <is>
          <t>case.spec risco: 'There is a FIFTH id space for cases'; e windows.spec: 'IT-HERO-001..003 vs IT-OPP-001..029 — there is no overlap'</t>
        </is>
      </c>
      <c r="M74" s="3" t="inlineStr">
        <is>
          <t>5 espacos de id de caso, sem sobreposicao</t>
        </is>
      </c>
    </row>
  </sheetData>
  <mergeCells count="1">
    <mergeCell ref="A1:M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74"/>
  <sheetViews>
    <sheetView workbookViewId="0">
      <pane ySplit="2" topLeftCell="A3" activePane="bottomLeft" state="frozen"/>
      <selection pane="bottomLeft" activeCell="A1" sqref="A1"/>
    </sheetView>
  </sheetViews>
  <sheetFormatPr baseColWidth="8" defaultRowHeight="15"/>
  <cols>
    <col width="13" customWidth="1" min="1" max="1"/>
    <col width="62" customWidth="1" min="2" max="2"/>
    <col width="14" customWidth="1" min="3" max="3"/>
    <col width="18" customWidth="1" min="4" max="4"/>
    <col width="19" customWidth="1" min="5" max="5"/>
    <col width="62" customWidth="1" min="6" max="6"/>
    <col width="29" customWidth="1" min="7" max="7"/>
    <col width="27" customWidth="1" min="8" max="8"/>
    <col width="24" customWidth="1" min="9" max="9"/>
    <col width="62" customWidth="1" min="10" max="10"/>
    <col width="62" customWidth="1" min="11" max="11"/>
    <col width="27" customWidth="1" min="12" max="12"/>
    <col width="62" customWidth="1" min="13" max="13"/>
  </cols>
  <sheetData>
    <row r="1" ht="44" customHeight="1">
      <c r="A1" s="1" t="inlineStr">
        <is>
          <t>UMA LINHA = UMA NECESSIDADE, com TRES contas que nao se misturam: (1) o casco TEM o dado hoje? — medido campo a campo; (2) o que o casamento automatico por palavra propos; (3) o que a leitura a mao decidiu. O automatico NUNCA escreve STRONG: ele so prova que a fonte FALA do assunto. Quatro propostas suas foram derrubadas a mao — entre elas um registo frances para fenologia e uma clinica veterinaria para voz de campo.</t>
        </is>
      </c>
    </row>
    <row r="2">
      <c r="A2" s="2" t="inlineStr">
        <is>
          <t>TOOL</t>
        </is>
      </c>
      <c r="B2" s="2" t="inlineStr">
        <is>
          <t>RAW_NEED</t>
        </is>
      </c>
      <c r="C2" s="2" t="inlineStr">
        <is>
          <t>GAP_SEVERITY</t>
        </is>
      </c>
      <c r="D2" s="2" t="inlineStr">
        <is>
          <t>CASCO_TEM_O_DADO</t>
        </is>
      </c>
      <c r="E2" s="2" t="inlineStr">
        <is>
          <t>ENCHIMENTO_MEDIDO</t>
        </is>
      </c>
      <c r="F2" s="2" t="inlineStr">
        <is>
          <t>MEDICAO</t>
        </is>
      </c>
      <c r="G2" s="2" t="inlineStr">
        <is>
          <t>VEREDITO_AUTOMATICO</t>
        </is>
      </c>
      <c r="H2" s="2" t="inlineStr">
        <is>
          <t>DONOS_DISTINTOS_PROPOSTOS</t>
        </is>
      </c>
      <c r="I2" s="2" t="inlineStr">
        <is>
          <t>VEREDITO_A_MAO</t>
        </is>
      </c>
      <c r="J2" s="2" t="inlineStr">
        <is>
          <t>QUEM_SUSTENTA</t>
        </is>
      </c>
      <c r="K2" s="2" t="inlineStr">
        <is>
          <t>POR_QUE</t>
        </is>
      </c>
      <c r="L2" s="2" t="inlineStr">
        <is>
          <t>MATCHER</t>
        </is>
      </c>
      <c r="M2" s="2" t="inlineStr">
        <is>
          <t>MATCHER_PORQUE</t>
        </is>
      </c>
    </row>
    <row r="3">
      <c r="A3" s="4" t="inlineStr">
        <is>
          <t>WINDOWS</t>
        </is>
      </c>
      <c r="B3" s="3" t="inlineStr">
        <is>
          <t>Cultura e regiao da janela</t>
        </is>
      </c>
      <c r="C3" s="3" t="inlineStr">
        <is>
          <t>LOW</t>
        </is>
      </c>
      <c r="D3" s="3" t="inlineStr">
        <is>
          <t>SIM</t>
        </is>
      </c>
      <c r="E3" s="3" t="inlineStr">
        <is>
          <t>CHEIO</t>
        </is>
      </c>
      <c r="F3" s="3" t="inlineStr">
        <is>
          <t>CAN.windows CROP_NAME 29/29 · REGION 29/29</t>
        </is>
      </c>
      <c r="G3" s="3" t="inlineStr">
        <is>
          <t>CANDIDATA_A_CONFIRMAR</t>
        </is>
      </c>
      <c r="H3" s="3" t="n">
        <v>15</v>
      </c>
      <c r="I3" s="3" t="inlineStr">
        <is>
          <t>STRONG</t>
        </is>
      </c>
      <c r="J3" s="3" t="inlineStr">
        <is>
          <t>ARSAC (8 zonas) · CAAR Liguria (4 provincias) · LaMMA (provincias) · Servizio Fitosanitario Veneto</t>
        </is>
      </c>
      <c r="K3" s="3" t="inlineStr">
        <is>
          <t>quatro produtores independentes publicam cultura E recorte territorial na mesma linha. O automatico propunha MASAF e um registo espanhol de pragas: ambos falam de cultura, nenhum entrega a janela.</t>
        </is>
      </c>
      <c r="L3" s="3" t="inlineStr">
        <is>
          <t>PALAVRA</t>
        </is>
      </c>
      <c r="M3" s="3" t="inlineStr"/>
    </row>
    <row r="4">
      <c r="A4" s="1" t="inlineStr">
        <is>
          <t>WINDOWS</t>
        </is>
      </c>
      <c r="B4" s="3" t="inlineStr">
        <is>
          <t>Datas de inicio e fim da janela</t>
        </is>
      </c>
      <c r="C4" s="3" t="inlineStr">
        <is>
          <t>MEDIUM</t>
        </is>
      </c>
      <c r="D4" s="3" t="inlineStr">
        <is>
          <t>PARCIAL</t>
        </is>
      </c>
      <c r="E4" s="3" t="inlineStr">
        <is>
          <t>PARCIAL</t>
        </is>
      </c>
      <c r="F4" s="3" t="inlineStr">
        <is>
          <t>CAN.windows START_DATE 24/29 (83%) · END_DATE 24/29</t>
        </is>
      </c>
      <c r="G4" s="3" t="inlineStr">
        <is>
          <t>CANDIDATA_A_CONFIRMAR</t>
        </is>
      </c>
      <c r="H4" s="3" t="n">
        <v>15</v>
      </c>
      <c r="I4" s="3" t="inlineStr">
        <is>
          <t>STRONG</t>
        </is>
      </c>
      <c r="J4" s="3" t="inlineStr">
        <is>
          <t>ARSAC · CAAR Liguria</t>
        </is>
      </c>
      <c r="K4" s="3" t="inlineStr">
        <is>
          <t>os dois escrevem o intervalo no titulo: «valido dal 25 agosto al 1 settembre 2026» e «Olivo n. 03 – 19 marzo». Data no titulo e' campo, nao e' interpretacao.</t>
        </is>
      </c>
      <c r="L4" s="3" t="inlineStr">
        <is>
          <t>PALAVRA</t>
        </is>
      </c>
      <c r="M4" s="3" t="inlineStr"/>
    </row>
    <row r="5">
      <c r="A5" s="5" t="inlineStr">
        <is>
          <t>WINDOWS</t>
        </is>
      </c>
      <c r="B5" s="3" t="inlineStr">
        <is>
          <t>FASE FENOLOGICA DA CULTURA (o que a planta esta a fazer)</t>
        </is>
      </c>
      <c r="C5" s="3" t="inlineStr">
        <is>
          <t>CRITICAL</t>
        </is>
      </c>
      <c r="D5" s="3" t="inlineStr">
        <is>
          <t>NAO</t>
        </is>
      </c>
      <c r="E5" s="3" t="inlineStr">
        <is>
          <t>NENHUM</t>
        </is>
      </c>
      <c r="F5" s="3" t="inlineStr">
        <is>
          <t>CAN.windows CROP_STAGE 0/29 · CROP_STAGE_SOURCE 0/29 · GENERATION_OR_STAGE 0/29</t>
        </is>
      </c>
      <c r="G5" s="3" t="inlineStr">
        <is>
          <t>CANDIDATA_A_CONFIRMAR</t>
        </is>
      </c>
      <c r="H5" s="3" t="n">
        <v>4</v>
      </c>
      <c r="I5" s="3" t="inlineStr">
        <is>
          <t>STRONG</t>
        </is>
      </c>
      <c r="J5" s="3" t="inlineStr">
        <is>
          <t>Bollettino Nazionale di Fenologia (RRN) · Notiziario Marche · CAAR Liguria · Bollettini viticoli Veneto</t>
        </is>
      </c>
      <c r="K5" s="3" t="inlineStr">
        <is>
          <t>quatro fontes com escala BBCH DECLARADA, e uma delas com o codigo numerico a vista (melo 75-77, pero 76-81, vite 79). Isto enche o `CROP_STAGE` que o contrato mede em 0 de 29.</t>
        </is>
      </c>
      <c r="L5" s="3" t="inlineStr">
        <is>
          <t>PALAVRA</t>
        </is>
      </c>
      <c r="M5" s="3" t="inlineStr"/>
    </row>
    <row r="6">
      <c r="A6" s="6" t="inlineStr">
        <is>
          <t>WINDOWS</t>
        </is>
      </c>
      <c r="B6" s="3" t="inlineStr">
        <is>
          <t>FASE DO PROBLEMA (em que estadio esta a praga/doenca)</t>
        </is>
      </c>
      <c r="C6" s="3" t="inlineStr">
        <is>
          <t>HIGH</t>
        </is>
      </c>
      <c r="D6" s="3" t="inlineStr">
        <is>
          <t>NAO</t>
        </is>
      </c>
      <c r="E6" s="3" t="inlineStr">
        <is>
          <t>NENHUM</t>
        </is>
      </c>
      <c r="F6" s="3" t="inlineStr">
        <is>
          <t>CAN.windows ISSUE_STAGE 0/29 · ISSUE_STAGE_SOURCE 0/29</t>
        </is>
      </c>
      <c r="G6" s="3" t="inlineStr">
        <is>
          <t>CANDIDATA_A_CONFIRMAR</t>
        </is>
      </c>
      <c r="H6" s="3" t="n">
        <v>17</v>
      </c>
      <c r="I6" s="3" t="inlineStr">
        <is>
          <t>STRONG</t>
        </is>
      </c>
      <c r="J6" s="3" t="inlineStr">
        <is>
          <t>Bollettini viticoli Veneto (stato parassitario) · Consorzi Fitosanitari de Modena e Reggio Emilia · ARSAC</t>
        </is>
      </c>
      <c r="K6" s="3" t="inlineStr">
        <is>
          <t>boletim fitossanitario tem por oficio dizer em que estadio esta a praga. E' o campo mais bem servido de toda a ferramenta.</t>
        </is>
      </c>
      <c r="L6" s="3" t="inlineStr">
        <is>
          <t>PALAVRA</t>
        </is>
      </c>
      <c r="M6" s="3" t="inlineStr"/>
    </row>
    <row r="7">
      <c r="A7" s="6" t="inlineStr">
        <is>
          <t>WINDOWS</t>
        </is>
      </c>
      <c r="B7" s="3" t="inlineStr">
        <is>
          <t>OBSERVACAO DE CAMPO (fase observada, nao esperada)</t>
        </is>
      </c>
      <c r="C7" s="3" t="inlineStr">
        <is>
          <t>HIGH</t>
        </is>
      </c>
      <c r="D7" s="3" t="inlineStr">
        <is>
          <t>PARCIAL</t>
        </is>
      </c>
      <c r="E7" s="3" t="inlineStr">
        <is>
          <t>PARCIAL</t>
        </is>
      </c>
      <c r="F7" s="3" t="inlineStr">
        <is>
          <t>ING.CROP_WINDOWS OBSERVATION_DATE 2/7 · FIELD_REPORTED_STAGE 2/7 (5 = NAO SEI)</t>
        </is>
      </c>
      <c r="G7" s="3" t="inlineStr">
        <is>
          <t>CANDIDATA_A_CONFIRMAR</t>
        </is>
      </c>
      <c r="H7" s="3" t="n">
        <v>28</v>
      </c>
      <c r="I7" s="3" t="inlineStr">
        <is>
          <t>STRONG</t>
        </is>
      </c>
      <c r="J7" s="3" t="inlineStr">
        <is>
          <t>CAAR Liguria (olivais representativos da rede regional de monitorizacao) · Notiziario Marche · Agralia (observacao direta em campo) · RRN (observadores voluntarios)</t>
        </is>
      </c>
      <c r="K7" s="3" t="inlineStr">
        <is>
          <t>o contrato mede 0 de 29 janelas com fase OBSERVADA, e este era o buraco central da ferramenta. Ha quatro fontes que observam em campo, e duas dizem-no por escrito. ⚠️ O RRN mistura observacao com MODELO de simulacao: tem de entrar com a marca de origem, ou o modelo passa por olho.</t>
        </is>
      </c>
      <c r="L7" s="3" t="inlineStr">
        <is>
          <t>PALAVRA</t>
        </is>
      </c>
      <c r="M7" s="3" t="inlineStr"/>
    </row>
    <row r="8">
      <c r="A8" s="6" t="inlineStr">
        <is>
          <t>WINDOWS</t>
        </is>
      </c>
      <c r="B8" s="3" t="inlineStr">
        <is>
          <t>Janela de monitorizacao (quando ir olhar)</t>
        </is>
      </c>
      <c r="C8" s="3" t="inlineStr">
        <is>
          <t>HIGH</t>
        </is>
      </c>
      <c r="D8" s="3" t="inlineStr">
        <is>
          <t>NAO</t>
        </is>
      </c>
      <c r="E8" s="3" t="inlineStr">
        <is>
          <t>NENHUM</t>
        </is>
      </c>
      <c r="F8" s="3" t="inlineStr">
        <is>
          <t>ING.CROP_WINDOWS MONITORING_WINDOW 7/7 · CAN.windows: nao tem o campo</t>
        </is>
      </c>
      <c r="G8" s="3" t="inlineStr">
        <is>
          <t>CANDIDATA_A_CONFIRMAR</t>
        </is>
      </c>
      <c r="H8" s="3" t="n">
        <v>29</v>
      </c>
      <c r="I8" s="3" t="inlineStr">
        <is>
          <t>STRONG</t>
        </is>
      </c>
      <c r="J8" s="3" t="inlineStr">
        <is>
          <t>Rete agrometeorologica da Campania (molha foliar) · ARPAV (ja no acervo, API sem chave) · Bollettini Veneto</t>
        </is>
      </c>
      <c r="K8" s="3" t="inlineStr">
        <is>
          <t>molha foliar e' o parametro que abre a janela de risco de doenca, e ha duas redes regionais a publica-lo em serie diaria.</t>
        </is>
      </c>
      <c r="L8" s="3" t="inlineStr">
        <is>
          <t>PALAVRA</t>
        </is>
      </c>
      <c r="M8" s="3" t="inlineStr"/>
    </row>
    <row r="9">
      <c r="A9" s="1" t="inlineStr">
        <is>
          <t>WINDOWS</t>
        </is>
      </c>
      <c r="B9" s="3" t="inlineStr">
        <is>
          <t>Janela de controlo de infestantes</t>
        </is>
      </c>
      <c r="C9" s="3" t="inlineStr">
        <is>
          <t>MEDIUM</t>
        </is>
      </c>
      <c r="D9" s="3" t="inlineStr">
        <is>
          <t>NAO SEI</t>
        </is>
      </c>
      <c r="E9" s="3" t="inlineStr">
        <is>
          <t>NAO_SEI</t>
        </is>
      </c>
      <c r="F9" s="3" t="inlineStr">
        <is>
          <t>nenhum campo de infestante nas 29 janelas canonicas</t>
        </is>
      </c>
      <c r="G9" s="3" t="inlineStr">
        <is>
          <t>CANDIDATA_A_CONFIRMAR</t>
        </is>
      </c>
      <c r="H9" s="3" t="n">
        <v>6</v>
      </c>
      <c r="I9" s="3" t="inlineStr">
        <is>
          <t>WEAK</t>
        </is>
      </c>
      <c r="J9" s="3" t="inlineStr">
        <is>
          <t>boletins regionais de cereais, sem fonte dedicada identificada</t>
        </is>
      </c>
      <c r="K9" s="3" t="inlineStr">
        <is>
          <t>nao fiz busca dirigida a diserbo. O convegno de Bolonha nomeia herbicidas novos (Boxer Evo, Fencade) mas isso e' produto, nao janela. Declaro o buraco em vez de o preencher com o que sobra.</t>
        </is>
      </c>
      <c r="L9" s="3" t="inlineStr">
        <is>
          <t>PALAVRA</t>
        </is>
      </c>
      <c r="M9" s="3" t="inlineStr"/>
    </row>
    <row r="10">
      <c r="A10" s="6" t="inlineStr">
        <is>
          <t>WINDOWS</t>
        </is>
      </c>
      <c r="B10" s="3" t="inlineStr">
        <is>
          <t>ATO REGULATORIO regional que abre/fecha a janela</t>
        </is>
      </c>
      <c r="C10" s="3" t="inlineStr">
        <is>
          <t>HIGH</t>
        </is>
      </c>
      <c r="D10" s="3" t="inlineStr">
        <is>
          <t>NAO</t>
        </is>
      </c>
      <c r="E10" s="3" t="inlineStr">
        <is>
          <t>NENHUM</t>
        </is>
      </c>
      <c r="F10" s="3" t="inlineStr">
        <is>
          <t>CAN.windows REGULATORY_SOURCE 0/29 · ING.CROP_WINDOWS REGULATORY_ACT 5/7</t>
        </is>
      </c>
      <c r="G10" s="3" t="inlineStr">
        <is>
          <t>CANDIDATA_A_CONFIRMAR</t>
        </is>
      </c>
      <c r="H10" s="3" t="n">
        <v>1</v>
      </c>
      <c r="I10" s="3" t="inlineStr">
        <is>
          <t>STRONG</t>
        </is>
      </c>
      <c r="J10" s="3" t="inlineStr">
        <is>
          <t>Bollettini viticoli Veneto (janelas dos tratamentos obrigatorios contra flavescencia dourada) · protezionedellepiante.it (lotta obbligatoria)</t>
        </is>
      </c>
      <c r="K10" s="3" t="inlineStr">
        <is>
          <t>a janela obrigatoria e' publicada com data pelo proprio servico que a impoe. Fonte e autoridade sao a mesma casa — e' o caso mais forte possivel.</t>
        </is>
      </c>
      <c r="L10" s="3" t="inlineStr">
        <is>
          <t>PALAVRA</t>
        </is>
      </c>
      <c r="M10" s="3" t="inlineStr"/>
    </row>
    <row r="11">
      <c r="A11" s="6" t="inlineStr">
        <is>
          <t>WINDOWS</t>
        </is>
      </c>
      <c r="B11" s="3" t="inlineStr">
        <is>
          <t>Produto registado ligado a janela</t>
        </is>
      </c>
      <c r="C11" s="3" t="inlineStr">
        <is>
          <t>HIGH</t>
        </is>
      </c>
      <c r="D11" s="3" t="inlineStr">
        <is>
          <t>NAO</t>
        </is>
      </c>
      <c r="E11" s="3" t="inlineStr">
        <is>
          <t>NENHUM</t>
        </is>
      </c>
      <c r="F11" s="3" t="inlineStr">
        <is>
          <t>CAN.windows PRODUCT_MATCHES 0/29 · LABEL_SOURCE 0/29 · LABEL_TRIGGER 0/29</t>
        </is>
      </c>
      <c r="G11" s="3" t="inlineStr">
        <is>
          <t>CANDIDATA_A_CONFIRMAR</t>
        </is>
      </c>
      <c r="H11" s="3" t="n">
        <v>12</v>
      </c>
      <c r="I11" s="3" t="inlineStr">
        <is>
          <t>WEAK</t>
        </is>
      </c>
      <c r="J11" s="3" t="inlineStr">
        <is>
          <t>Banca dati do Ministero (um lado) + boletins (o outro lado)</t>
        </is>
      </c>
      <c r="K11" s="3" t="inlineStr">
        <is>
          <t>ha fonte para cultura+alvo do produto e fonte para cultura+problema da janela. Nao ha fonte que publique a LIGACAO: essa e' trabalho da casa.</t>
        </is>
      </c>
      <c r="L11" s="3" t="inlineStr">
        <is>
          <t>PALAVRA</t>
        </is>
      </c>
      <c r="M11" s="3" t="inlineStr"/>
    </row>
    <row r="12">
      <c r="A12" s="5" t="inlineStr">
        <is>
          <t>WINDOWS</t>
        </is>
      </c>
      <c r="B12" s="3" t="inlineStr">
        <is>
          <t>RASTREABILIDADE: que fonte sustenta esta janela</t>
        </is>
      </c>
      <c r="C12" s="3" t="inlineStr">
        <is>
          <t>CRITICAL</t>
        </is>
      </c>
      <c r="D12" s="3" t="inlineStr">
        <is>
          <t>NAO</t>
        </is>
      </c>
      <c r="E12" s="3" t="inlineStr">
        <is>
          <t>NENHUM</t>
        </is>
      </c>
      <c r="F12" s="3" t="inlineStr">
        <is>
          <t>CAN.windows SOURCE_IDS 0/29</t>
        </is>
      </c>
      <c r="G12" s="3" t="inlineStr">
        <is>
          <t>CANDIDATA_A_CONFIRMAR</t>
        </is>
      </c>
      <c r="H12" s="3" t="n">
        <v>19</v>
      </c>
      <c r="I12" s="3" t="inlineStr">
        <is>
          <t>NAO_E_GAP_DE_FONTE</t>
        </is>
      </c>
      <c r="J12" s="3" t="inlineStr">
        <is>
          <t>—</t>
        </is>
      </c>
      <c r="K12" s="3" t="inlineStr">
        <is>
          <t>as 29 janelas canonicas tem `SOURCE_IDS = []`. Isso nao e' falta de fonte: e' falta de ESCRITA da procedencia. As fontes desta auditoria existem; ninguem anotou qual sustentou qual janela. Coletar mais nao conserta.</t>
        </is>
      </c>
      <c r="L12" s="3" t="inlineStr">
        <is>
          <t>PALAVRA</t>
        </is>
      </c>
      <c r="M12" s="3" t="inlineStr"/>
    </row>
    <row r="13">
      <c r="A13" s="1" t="inlineStr">
        <is>
          <t>WINDOWS</t>
        </is>
      </c>
      <c r="B13" s="3" t="inlineStr">
        <is>
          <t>Area/hectares da cultura por regiao (escala)</t>
        </is>
      </c>
      <c r="C13" s="3" t="inlineStr">
        <is>
          <t>MEDIUM</t>
        </is>
      </c>
      <c r="D13" s="3" t="inlineStr">
        <is>
          <t>NAO SEI</t>
        </is>
      </c>
      <c r="E13" s="3" t="inlineStr">
        <is>
          <t>NAO_SEI</t>
        </is>
      </c>
      <c r="F13" s="3" t="inlineStr">
        <is>
          <t>ING.CROPS 17 registos, sem regiao e sem area</t>
        </is>
      </c>
      <c r="G13" s="3" t="inlineStr">
        <is>
          <t>CANDIDATA_A_CONFIRMAR</t>
        </is>
      </c>
      <c r="H13" s="3" t="n">
        <v>4</v>
      </c>
      <c r="I13" s="3" t="inlineStr">
        <is>
          <t>STRONG</t>
        </is>
      </c>
      <c r="J13" s="3" t="inlineStr">
        <is>
          <t>ISTAT dataflow DCSP_COLTIVAZIONI · Eurostat apro_cpshr (ja no acervo)</t>
        </is>
      </c>
      <c r="K13" s="3" t="inlineStr">
        <is>
          <t>superficie por regiao, provincia e zona altimetrica, com API SDMX. ⚠️ zona altimetrica nao e' a zona agronomica do boletim: juntar as duas e' trabalho.</t>
        </is>
      </c>
      <c r="L13" s="3" t="inlineStr">
        <is>
          <t>PALAVRA</t>
        </is>
      </c>
      <c r="M13" s="3" t="inlineStr"/>
    </row>
    <row r="14">
      <c r="A14" s="6" t="inlineStr">
        <is>
          <t>WINDOWS</t>
        </is>
      </c>
      <c r="B14" s="3" t="inlineStr">
        <is>
          <t>Desvio fenologico por regiao (a mesma cultura adianta/atrasa)</t>
        </is>
      </c>
      <c r="C14" s="3" t="inlineStr">
        <is>
          <t>HIGH</t>
        </is>
      </c>
      <c r="D14" s="3" t="inlineStr">
        <is>
          <t>NAO</t>
        </is>
      </c>
      <c r="E14" s="3" t="inlineStr">
        <is>
          <t>NENHUM</t>
        </is>
      </c>
      <c r="F14" s="3" t="inlineStr">
        <is>
          <t>nao existe campo nenhum de offset no dado real</t>
        </is>
      </c>
      <c r="G14" s="3" t="inlineStr">
        <is>
          <t>CANDIDATA_A_CONFIRMAR</t>
        </is>
      </c>
      <c r="H14" s="3" t="n">
        <v>18</v>
      </c>
      <c r="I14" s="3" t="inlineStr">
        <is>
          <t>STRONG</t>
        </is>
      </c>
      <c r="J14" s="3" t="inlineStr">
        <is>
          <t>Arpae ERG5 «Anomalia della sommatoria gradi giorno» · SCIA/ISPRA (graus-dia) · Abruzzo AgroAmbiente · LaMMA</t>
        </is>
      </c>
      <c r="K14" s="3" t="inlineStr">
        <is>
          <t>o Arpae publica o DESVIO, nao o valor bruto — e' exatamente a forma que a pergunta pede (limiar 10 °C, media 2001–2020, grelha 5 km). E o Abruzzo quantifica o desvio geografico: ~2 semanas de atraso acima de 400 m ou a mais de 40 km da costa. Isso e' o offset por regiao, escrito.</t>
        </is>
      </c>
      <c r="L14" s="3" t="inlineStr">
        <is>
          <t>PALAVRA</t>
        </is>
      </c>
      <c r="M14" s="3" t="inlineStr"/>
    </row>
    <row r="15">
      <c r="A15" s="4" t="inlineStr">
        <is>
          <t>MARKET</t>
        </is>
      </c>
      <c r="B15" s="3" t="inlineStr">
        <is>
          <t>Preco por cultura e por praca</t>
        </is>
      </c>
      <c r="C15" s="3" t="inlineStr">
        <is>
          <t>LOW</t>
        </is>
      </c>
      <c r="D15" s="3" t="inlineStr">
        <is>
          <t>SIM</t>
        </is>
      </c>
      <c r="E15" s="3" t="inlineStr">
        <is>
          <t>CHEIO</t>
        </is>
      </c>
      <c r="F15" s="3" t="inlineStr">
        <is>
          <t>ING.MARKET PRICE_NUM 77/77 — mas UMA fonte so</t>
        </is>
      </c>
      <c r="G15" s="3" t="inlineStr">
        <is>
          <t>CANDIDATA_A_CONFIRMAR</t>
        </is>
      </c>
      <c r="H15" s="3" t="n">
        <v>11</v>
      </c>
      <c r="I15" s="3" t="inlineStr">
        <is>
          <t>STRONG</t>
        </is>
      </c>
      <c r="J15" s="3" t="inlineStr">
        <is>
          <t>Borsa merci / CCIAA (ja no acervo)</t>
        </is>
      </c>
      <c r="K15" s="3" t="inlineStr">
        <is>
          <t>o unico campo de MARKET que o casco ja tem cheio. Nao precisa de fonte nova.</t>
        </is>
      </c>
      <c r="L15" s="3" t="inlineStr">
        <is>
          <t>PALAVRA</t>
        </is>
      </c>
      <c r="M15" s="3" t="inlineStr"/>
    </row>
    <row r="16">
      <c r="A16" s="1" t="inlineStr">
        <is>
          <t>MARKET</t>
        </is>
      </c>
      <c r="B16" s="3" t="inlineStr">
        <is>
          <t>Serie de preco com 3+ pontos (para tendencia)</t>
        </is>
      </c>
      <c r="C16" s="3" t="inlineStr">
        <is>
          <t>MEDIUM</t>
        </is>
      </c>
      <c r="D16" s="3" t="inlineStr">
        <is>
          <t>NAO SEI</t>
        </is>
      </c>
      <c r="E16" s="3" t="inlineStr">
        <is>
          <t>NAO_SEI</t>
        </is>
      </c>
      <c r="F16" s="3" t="inlineStr">
        <is>
          <t>OBSERVATIONS_IN_SERIES existe; series curtas</t>
        </is>
      </c>
      <c r="G16" s="3" t="inlineStr">
        <is>
          <t>CANDIDATA_A_CONFIRMAR</t>
        </is>
      </c>
      <c r="H16" s="3" t="n">
        <v>11</v>
      </c>
      <c r="I16" s="3" t="inlineStr">
        <is>
          <t>WEAK</t>
        </is>
      </c>
      <c r="J16" s="3" t="inlineStr">
        <is>
          <t>arquivos das borse merci · ISMEA Mercati</t>
        </is>
      </c>
      <c r="K16" s="3" t="inlineStr">
        <is>
          <t>o preco de hoje esta resolvido; a SERIE exige percorrer arquivo, e isso nao foi provado em nenhuma rota. Tendencia com um ponto nao e' tendencia.</t>
        </is>
      </c>
      <c r="L16" s="3" t="inlineStr">
        <is>
          <t>PALAVRA</t>
        </is>
      </c>
      <c r="M16" s="3" t="inlineStr"/>
    </row>
    <row r="17">
      <c r="A17" s="5" t="inlineStr">
        <is>
          <t>MARKET</t>
        </is>
      </c>
      <c r="B17" s="3" t="inlineStr">
        <is>
          <t>PRODUCAO, AREA e RENDIMENTO por cultura</t>
        </is>
      </c>
      <c r="C17" s="3" t="inlineStr">
        <is>
          <t>CRITICAL</t>
        </is>
      </c>
      <c r="D17" s="3" t="inlineStr">
        <is>
          <t>NAO</t>
        </is>
      </c>
      <c r="E17" s="3" t="inlineStr">
        <is>
          <t>NENHUM</t>
        </is>
      </c>
      <c r="F17" s="3" t="inlineStr">
        <is>
          <t>ING.MARKET nao tem coluna de producao, area nem rendimento</t>
        </is>
      </c>
      <c r="G17" s="3" t="inlineStr">
        <is>
          <t>CANDIDATA_A_CONFIRMAR</t>
        </is>
      </c>
      <c r="H17" s="3" t="n">
        <v>26</v>
      </c>
      <c r="I17" s="3" t="inlineStr">
        <is>
          <t>STRONG</t>
        </is>
      </c>
      <c r="J17" s="3" t="inlineStr">
        <is>
          <t>ISTAT DCSP_COLTIVAZIONI (via esploradati.istat.it/SDMXWS/rest/)</t>
        </is>
      </c>
      <c r="K17" s="3" t="inlineStr">
        <is>
          <t>a coluna esta AUSENTE no casco, e existe fonte oficial com estimativa mensal e recorte regional. Gap fechavel sem inventar nada. ⚠️ partes vem de terceiros declarados: arroz do Enterisi, tabaco da Agea, beterraba da ABSI — a procedencia tem de viajar com o numero.</t>
        </is>
      </c>
      <c r="L17" s="3" t="inlineStr">
        <is>
          <t>PALAVRA</t>
        </is>
      </c>
      <c r="M17" s="3" t="inlineStr"/>
    </row>
    <row r="18">
      <c r="A18" s="6" t="inlineStr">
        <is>
          <t>MARKET</t>
        </is>
      </c>
      <c r="B18" s="3" t="inlineStr">
        <is>
          <t>STOCKS / existencias</t>
        </is>
      </c>
      <c r="C18" s="3" t="inlineStr">
        <is>
          <t>HIGH</t>
        </is>
      </c>
      <c r="D18" s="3" t="inlineStr">
        <is>
          <t>NAO</t>
        </is>
      </c>
      <c r="E18" s="3" t="inlineStr">
        <is>
          <t>NENHUM</t>
        </is>
      </c>
      <c r="F18" s="3" t="inlineStr">
        <is>
          <t>ausente</t>
        </is>
      </c>
      <c r="G18" s="3" t="inlineStr">
        <is>
          <t>NO_SOURCE</t>
        </is>
      </c>
      <c r="H18" s="3" t="n">
        <v>0</v>
      </c>
      <c r="I18" s="3" t="inlineStr">
        <is>
          <t>WEAK</t>
        </is>
      </c>
      <c r="J18" s="3" t="inlineStr">
        <is>
          <t>Cantina Italia (SIAN/CREA-MASAF, vinho, mensal por regiao) · registo telematico do azeite (AGEA/SIAN)</t>
        </is>
      </c>
      <c r="K18" s="3" t="inlineStr">
        <is>
          <t>identifiquei o DONO certo e corrigi um erro de partida: o ISMEA NAO faz recolha periodica de existencias por regiao. O que o ISMEA tem e' o censo de estruturas de armazenamento — ⚠️ CAPACIDADE, nao existencia. Um silo vazio de 10.000 t conta igual a um cheio. Fica WEAK porque a rota publica do agregado nao foi fixada.</t>
        </is>
      </c>
      <c r="L18" s="3" t="inlineStr">
        <is>
          <t>PALAVRA</t>
        </is>
      </c>
      <c r="M18" s="3" t="inlineStr"/>
    </row>
    <row r="19">
      <c r="A19" s="6" t="inlineStr">
        <is>
          <t>MARKET</t>
        </is>
      </c>
      <c r="B19" s="3" t="inlineStr">
        <is>
          <t>IMPORTACAO e EXPORTACAO</t>
        </is>
      </c>
      <c r="C19" s="3" t="inlineStr">
        <is>
          <t>HIGH</t>
        </is>
      </c>
      <c r="D19" s="3" t="inlineStr">
        <is>
          <t>NAO</t>
        </is>
      </c>
      <c r="E19" s="3" t="inlineStr">
        <is>
          <t>NENHUM</t>
        </is>
      </c>
      <c r="F19" s="3" t="inlineStr">
        <is>
          <t>ausente</t>
        </is>
      </c>
      <c r="G19" s="3" t="inlineStr">
        <is>
          <t>NO_SOURCE</t>
        </is>
      </c>
      <c r="H19" s="3" t="n">
        <v>0</v>
      </c>
      <c r="I19" s="3" t="inlineStr">
        <is>
          <t>STRONG</t>
        </is>
      </c>
      <c r="J19" s="3" t="inlineStr">
        <is>
          <t>esploradati.istat.it/coeweb · ISMEA commercio estero agroalimentare</t>
        </is>
      </c>
      <c r="K19" s="3" t="inlineStr">
        <is>
          <t>duas rotas, uma oficial e uma reclassificada por comparto agricola. ⚠️ E UM ACHADO DE MANUTENCAO: o `coeweb.istat.it` do acervo FECHOU em 30/09/2025. Rota encerrada devolve pagina, nao erro.</t>
        </is>
      </c>
      <c r="L19" s="3" t="inlineStr">
        <is>
          <t>PALAVRA</t>
        </is>
      </c>
      <c r="M19" s="3" t="inlineStr"/>
    </row>
    <row r="20">
      <c r="A20" s="6" t="inlineStr">
        <is>
          <t>MARKET</t>
        </is>
      </c>
      <c r="B20" s="3" t="inlineStr">
        <is>
          <t>CUSTO DE INSUMO (pressao de custo)</t>
        </is>
      </c>
      <c r="C20" s="3" t="inlineStr">
        <is>
          <t>HIGH</t>
        </is>
      </c>
      <c r="D20" s="3" t="inlineStr">
        <is>
          <t>NAO</t>
        </is>
      </c>
      <c r="E20" s="3" t="inlineStr">
        <is>
          <t>NENHUM</t>
        </is>
      </c>
      <c r="F20" s="3" t="inlineStr">
        <is>
          <t>ausente do dado real (esta no fixture)</t>
        </is>
      </c>
      <c r="G20" s="3" t="inlineStr">
        <is>
          <t>NO_SOURCE</t>
        </is>
      </c>
      <c r="H20" s="3" t="n">
        <v>0</v>
      </c>
      <c r="I20" s="3" t="inlineStr">
        <is>
          <t>STRONG</t>
        </is>
      </c>
      <c r="J20" s="3" t="inlineStr">
        <is>
          <t>ISMEA — indice dei prezzi dei mezzi correnti di produzione</t>
        </is>
      </c>
      <c r="K20" s="3" t="inlineStr">
        <is>
          <t>serie desde 1984, ~6.000 precos/semana em 600 referencias, mais 300 leituras mensais em 12 consorzi agrari. ⚠️ E A DESCONTINUIDADE E' PARTE DA ENTREGA: a rede foi revista em 01/2025 e os indices mensais deixam de ser comparaveis com o ano anterior; a base passa a 2020 em 01/01/2026. Ler a variacao 2024→2025 como real e' ler um artefacto de metodo.</t>
        </is>
      </c>
      <c r="L20" s="3" t="inlineStr">
        <is>
          <t>PALAVRA</t>
        </is>
      </c>
      <c r="M20" s="3" t="inlineStr"/>
    </row>
    <row r="21">
      <c r="A21" s="6" t="inlineStr">
        <is>
          <t>MARKET</t>
        </is>
      </c>
      <c r="B21" s="3" t="inlineStr">
        <is>
          <t>CLIMA DE CONFIANCA do produtor</t>
        </is>
      </c>
      <c r="C21" s="3" t="inlineStr">
        <is>
          <t>HIGH</t>
        </is>
      </c>
      <c r="D21" s="3" t="inlineStr">
        <is>
          <t>NAO</t>
        </is>
      </c>
      <c r="E21" s="3" t="inlineStr">
        <is>
          <t>NENHUM</t>
        </is>
      </c>
      <c r="F21" s="3" t="inlineStr">
        <is>
          <t>ausente do dado real</t>
        </is>
      </c>
      <c r="G21" s="3" t="inlineStr">
        <is>
          <t>CANDIDATA_A_CONFIRMAR</t>
        </is>
      </c>
      <c r="H21" s="3" t="n">
        <v>1</v>
      </c>
      <c r="I21" s="3" t="inlineStr">
        <is>
          <t>WEAK</t>
        </is>
      </c>
      <c r="J21" s="3" t="inlineStr">
        <is>
          <t>IRES · ISMEA (inqueritos de conjuntura)</t>
        </is>
      </c>
      <c r="K21" s="3" t="inlineStr">
        <is>
          <t>o automatico achou um instituto de investigacao social; nao provei que publique indice de confianca agricola recorrente. Nao inflaciono.</t>
        </is>
      </c>
      <c r="L21" s="3" t="inlineStr">
        <is>
          <t>PALAVRA</t>
        </is>
      </c>
      <c r="M21" s="3" t="inlineStr"/>
    </row>
    <row r="22">
      <c r="A22" s="1" t="inlineStr">
        <is>
          <t>MARKET</t>
        </is>
      </c>
      <c r="B22" s="3" t="inlineStr">
        <is>
          <t>Preco para TOMATE, BETERRABA e MACA</t>
        </is>
      </c>
      <c r="C22" s="3" t="inlineStr">
        <is>
          <t>MEDIUM</t>
        </is>
      </c>
      <c r="D22" s="3" t="inlineStr">
        <is>
          <t>NAO SEI</t>
        </is>
      </c>
      <c r="E22" s="3" t="inlineStr">
        <is>
          <t>NAO_SEI</t>
        </is>
      </c>
      <c r="F22" s="3" t="inlineStr">
        <is>
          <t>0 registos para as tres culturas</t>
        </is>
      </c>
      <c r="G22" s="3" t="inlineStr">
        <is>
          <t>CANDIDATA_A_CONFIRMAR</t>
        </is>
      </c>
      <c r="H22" s="3" t="n">
        <v>11</v>
      </c>
      <c r="I22" s="3" t="inlineStr">
        <is>
          <t>WEAK</t>
        </is>
      </c>
      <c r="J22" s="3" t="inlineStr">
        <is>
          <t>borse merci provinciais · ISMEA por comparto</t>
        </is>
      </c>
      <c r="K22" s="3" t="inlineStr">
        <is>
          <t>sei que ha precos; nao provei QUAL praca publica QUAL destas tres com recorrencia. Tres culturas nomeadas exigem tres provas, e nao as tenho.</t>
        </is>
      </c>
      <c r="L22" s="3" t="inlineStr">
        <is>
          <t>PALAVRA</t>
        </is>
      </c>
      <c r="M22" s="3" t="inlineStr"/>
    </row>
    <row r="23">
      <c r="A23" s="1" t="inlineStr">
        <is>
          <t>MARKET</t>
        </is>
      </c>
      <c r="B23" s="3" t="inlineStr">
        <is>
          <t>Serie de preco de UVA/VINHO viva</t>
        </is>
      </c>
      <c r="C23" s="3" t="inlineStr">
        <is>
          <t>MEDIUM</t>
        </is>
      </c>
      <c r="D23" s="3" t="inlineStr">
        <is>
          <t>NAO SEI</t>
        </is>
      </c>
      <c r="E23" s="3" t="inlineStr">
        <is>
          <t>NAO_SEI</t>
        </is>
      </c>
      <c r="F23" s="3" t="inlineStr">
        <is>
          <t>1 registo, serie parada em 2025</t>
        </is>
      </c>
      <c r="G23" s="3" t="inlineStr">
        <is>
          <t>CANDIDATA_A_CONFIRMAR</t>
        </is>
      </c>
      <c r="H23" s="3" t="n">
        <v>11</v>
      </c>
      <c r="I23" s="3" t="inlineStr">
        <is>
          <t>WEAK</t>
        </is>
      </c>
      <c r="J23" s="3" t="inlineStr">
        <is>
          <t>ISMEA comparto vino · consorzi de tutela</t>
        </is>
      </c>
      <c r="K23" s="3" t="inlineStr">
        <is>
          <t>os consorzi publicam vindima e medidas de oferta (ex. a instancia do Prosecco DOC no BUR do Veneto), mas isso e' politica de oferta, nao serie de preco.</t>
        </is>
      </c>
      <c r="L23" s="3" t="inlineStr">
        <is>
          <t>PALAVRA</t>
        </is>
      </c>
      <c r="M23" s="3" t="inlineStr"/>
    </row>
    <row r="24">
      <c r="A24" s="6" t="inlineStr">
        <is>
          <t>MARKET</t>
        </is>
      </c>
      <c r="B24" s="3" t="inlineStr">
        <is>
          <t>Condicao de cultura / meteo agregado para mercado</t>
        </is>
      </c>
      <c r="C24" s="3" t="inlineStr">
        <is>
          <t>HIGH</t>
        </is>
      </c>
      <c r="D24" s="3" t="inlineStr">
        <is>
          <t>NAO</t>
        </is>
      </c>
      <c r="E24" s="3" t="inlineStr">
        <is>
          <t>NENHUM</t>
        </is>
      </c>
      <c r="F24" s="3" t="inlineStr">
        <is>
          <t>ausente</t>
        </is>
      </c>
      <c r="G24" s="3" t="inlineStr">
        <is>
          <t>CANDIDATA_A_CONFIRMAR</t>
        </is>
      </c>
      <c r="H24" s="3" t="n">
        <v>15</v>
      </c>
      <c r="I24" s="3" t="inlineStr">
        <is>
          <t>STRONG</t>
        </is>
      </c>
      <c r="J24" s="3" t="inlineStr">
        <is>
          <t>SCIA/ISPRA · Arpae · Arpa Piemonte · Campania</t>
        </is>
      </c>
      <c r="K24" s="3" t="inlineStr">
        <is>
          <t>quatro redes com serie diaria descarregavel e indicadores de seca e graus-dia. O automatico propunha uma camada de rotulos NUTS: geometria nao e' meteorologia.</t>
        </is>
      </c>
      <c r="L24" s="3" t="inlineStr">
        <is>
          <t>PALAVRA</t>
        </is>
      </c>
      <c r="M24" s="3" t="inlineStr"/>
    </row>
    <row r="25">
      <c r="A25" s="1" t="inlineStr">
        <is>
          <t>PORTFOLIO</t>
        </is>
      </c>
      <c r="B25" s="3" t="inlineStr">
        <is>
          <t>Produto, registo e titular</t>
        </is>
      </c>
      <c r="C25" s="3" t="inlineStr">
        <is>
          <t>MEDIUM</t>
        </is>
      </c>
      <c r="D25" s="3" t="inlineStr">
        <is>
          <t>NAO SEI</t>
        </is>
      </c>
      <c r="E25" s="3" t="inlineStr">
        <is>
          <t>NAO_SEI</t>
        </is>
      </c>
      <c r="F25" s="3" t="inlineStr">
        <is>
          <t>ING.PRODUCTS 163 · reg/holder/status/expiry cheios</t>
        </is>
      </c>
      <c r="G25" s="3" t="inlineStr">
        <is>
          <t>CANDIDATA_A_CONFIRMAR</t>
        </is>
      </c>
      <c r="H25" s="3" t="n">
        <v>12</v>
      </c>
      <c r="I25" s="3" t="inlineStr">
        <is>
          <t>STRONG</t>
        </is>
      </c>
      <c r="J25" s="3" t="inlineStr">
        <is>
          <t>Banca dati dei prodotti fitosanitari (Ministero della Salute)</t>
        </is>
      </c>
      <c r="K25" s="3" t="inlineStr">
        <is>
          <t>~16.500 produtos, atualizacao diaria, conjunto completo descarregavel. Autoridade e fonte na mesma casa.</t>
        </is>
      </c>
      <c r="L25" s="3" t="inlineStr">
        <is>
          <t>PALAVRA</t>
        </is>
      </c>
      <c r="M25" s="3" t="inlineStr"/>
    </row>
    <row r="26">
      <c r="A26" s="4" t="inlineStr">
        <is>
          <t>PORTFOLIO</t>
        </is>
      </c>
      <c r="B26" s="3" t="inlineStr">
        <is>
          <t>Substancia ativa do produto</t>
        </is>
      </c>
      <c r="C26" s="3" t="inlineStr">
        <is>
          <t>LOW</t>
        </is>
      </c>
      <c r="D26" s="3" t="inlineStr">
        <is>
          <t>SIM</t>
        </is>
      </c>
      <c r="E26" s="3" t="inlineStr">
        <is>
          <t>CHEIO</t>
        </is>
      </c>
      <c r="F26" s="3" t="inlineStr">
        <is>
          <t>ING.PRODUCTS ai 163/163 · ING.LINKS ai 219/219</t>
        </is>
      </c>
      <c r="G26" s="3" t="inlineStr">
        <is>
          <t>CANDIDATA_A_CONFIRMAR</t>
        </is>
      </c>
      <c r="H26" s="3" t="n">
        <v>1</v>
      </c>
      <c r="I26" s="3" t="inlineStr">
        <is>
          <t>STRONG</t>
        </is>
      </c>
      <c r="J26" s="3" t="inlineStr">
        <is>
          <t>Banca dati do Ministero · EU Pesticides Database</t>
        </is>
      </c>
      <c r="K26" s="3" t="inlineStr">
        <is>
          <t>⚠️ E OS DOIS NAO SE MISTURAM: substancia aprovada na UE nao e' produto autorizado em Italia. A mesma substancia pode estar aprovada sem ter produto nacional — juntar as duas colunas inventa um portfolio.</t>
        </is>
      </c>
      <c r="L26" s="3" t="inlineStr">
        <is>
          <t>PALAVRA</t>
        </is>
      </c>
      <c r="M26" s="3" t="inlineStr"/>
    </row>
    <row r="27">
      <c r="A27" s="4" t="inlineStr">
        <is>
          <t>PORTFOLIO</t>
        </is>
      </c>
      <c r="B27" s="3" t="inlineStr">
        <is>
          <t>Cultura e ALVO autorizados por produto</t>
        </is>
      </c>
      <c r="C27" s="3" t="inlineStr">
        <is>
          <t>LOW</t>
        </is>
      </c>
      <c r="D27" s="3" t="inlineStr">
        <is>
          <t>SIM</t>
        </is>
      </c>
      <c r="E27" s="3" t="inlineStr">
        <is>
          <t>CHEIO</t>
        </is>
      </c>
      <c r="F27" s="3" t="inlineStr">
        <is>
          <t>ING.LINKS crop/target 219/219 — mas so 19 produtos distintos de 163</t>
        </is>
      </c>
      <c r="G27" s="3" t="inlineStr">
        <is>
          <t>CANDIDATA_A_CONFIRMAR</t>
        </is>
      </c>
      <c r="H27" s="3" t="n">
        <v>4</v>
      </c>
      <c r="I27" s="3" t="inlineStr">
        <is>
          <t>STRONG</t>
        </is>
      </c>
      <c r="J27" s="3" t="inlineStr">
        <is>
          <t>Banca dati do Ministero</t>
        </is>
      </c>
      <c r="K27" s="3" t="inlineStr">
        <is>
          <t>campo do registo oficial.</t>
        </is>
      </c>
      <c r="L27" s="3" t="inlineStr">
        <is>
          <t>PALAVRA</t>
        </is>
      </c>
      <c r="M27" s="3" t="inlineStr"/>
    </row>
    <row r="28">
      <c r="A28" s="6" t="inlineStr">
        <is>
          <t>PORTFOLIO</t>
        </is>
      </c>
      <c r="B28" s="3" t="inlineStr">
        <is>
          <t>DOSE autorizada</t>
        </is>
      </c>
      <c r="C28" s="3" t="inlineStr">
        <is>
          <t>HIGH</t>
        </is>
      </c>
      <c r="D28" s="3" t="inlineStr">
        <is>
          <t>PARCIAL</t>
        </is>
      </c>
      <c r="E28" s="3" t="inlineStr">
        <is>
          <t>PARCIAL</t>
        </is>
      </c>
      <c r="F28" s="3" t="inlineStr">
        <is>
          <t>ING.LINKS doses 35/219 (16%)</t>
        </is>
      </c>
      <c r="G28" s="3" t="inlineStr">
        <is>
          <t>CANDIDATA_A_CONFIRMAR</t>
        </is>
      </c>
      <c r="H28" s="3" t="n">
        <v>1</v>
      </c>
      <c r="I28" s="3" t="inlineStr">
        <is>
          <t>WEAK</t>
        </is>
      </c>
      <c r="J28" s="3" t="inlineStr">
        <is>
          <t>rotulo PDF do Ministero · Fitogest</t>
        </is>
      </c>
      <c r="K28" s="3" t="inlineStr">
        <is>
          <t>a dose vive no ROTULO, nao na tabela. O projeto ja sabe abrir esses PDF (memoria: so abrem no urllib). O trabalho e' de EXTRACAO, e extracao de PDF de rotulo e' missao propria.</t>
        </is>
      </c>
      <c r="L28" s="3" t="inlineStr">
        <is>
          <t>PALAVRA</t>
        </is>
      </c>
      <c r="M28" s="3" t="inlineStr"/>
    </row>
    <row r="29">
      <c r="A29" s="5" t="inlineStr">
        <is>
          <t>PORTFOLIO</t>
        </is>
      </c>
      <c r="B29" s="3" t="inlineStr">
        <is>
          <t>INTERVALO DE SEGURANCA (PHI) e n.o maximo de aplicacoes</t>
        </is>
      </c>
      <c r="C29" s="3" t="inlineStr">
        <is>
          <t>CRITICAL</t>
        </is>
      </c>
      <c r="D29" s="3" t="inlineStr">
        <is>
          <t>NAO</t>
        </is>
      </c>
      <c r="E29" s="3" t="inlineStr">
        <is>
          <t>NENHUM</t>
        </is>
      </c>
      <c r="F29" s="3" t="inlineStr">
        <is>
          <t>ING.LINKS interval 15/219 (7%) · maxApp 0/219 (0%)</t>
        </is>
      </c>
      <c r="G29" s="3" t="inlineStr">
        <is>
          <t>CANDIDATA_A_CONFIRMAR</t>
        </is>
      </c>
      <c r="H29" s="3" t="n">
        <v>5</v>
      </c>
      <c r="I29" s="3" t="inlineStr">
        <is>
          <t>STRONG</t>
        </is>
      </c>
      <c r="J29" s="3" t="inlineStr">
        <is>
          <t>Fitogest (banca dati pesquisavel POR TEMPO DI CARENZA)</t>
        </is>
      </c>
      <c r="K29" s="3" t="inlineStr">
        <is>
          <t>o contrato mede `interval` em 15/219 (7%) e `maxApp` em 0/219. O Fitogest permite FILTRAR por tempo di carenza — se filtra, tem o campo. ⚠️ Mas e' AGREGADOR: se divergir do Ministerio, o Ministerio vence. E o dominio devolve 403 ao WebFetch e abre ao urllib (ja na memoria do projeto).</t>
        </is>
      </c>
      <c r="L29" s="3" t="inlineStr">
        <is>
          <t>PALAVRA</t>
        </is>
      </c>
      <c r="M29" s="3" t="inlineStr"/>
    </row>
    <row r="30">
      <c r="A30" s="6" t="inlineStr">
        <is>
          <t>PORTFOLIO</t>
        </is>
      </c>
      <c r="B30" s="3" t="inlineStr">
        <is>
          <t>MOMENTO DE APLICACAO / fase da cultura na aplicacao</t>
        </is>
      </c>
      <c r="C30" s="3" t="inlineStr">
        <is>
          <t>HIGH</t>
        </is>
      </c>
      <c r="D30" s="3" t="inlineStr">
        <is>
          <t>NAO SEI</t>
        </is>
      </c>
      <c r="E30" s="3" t="inlineStr">
        <is>
          <t>NAO_SEI</t>
        </is>
      </c>
      <c r="F30" s="3" t="inlineStr">
        <is>
          <t>ING.LINKS tem 'timing' mas o contrato diz que o valor renderizado e fixture</t>
        </is>
      </c>
      <c r="G30" s="3" t="inlineStr">
        <is>
          <t>NO_SOURCE</t>
        </is>
      </c>
      <c r="H30" s="3" t="n">
        <v>0</v>
      </c>
      <c r="I30" s="3" t="inlineStr">
        <is>
          <t>WEAK</t>
        </is>
      </c>
      <c r="J30" s="3" t="inlineStr">
        <is>
          <t>rotulo PDF</t>
        </is>
      </c>
      <c r="K30" s="3" t="inlineStr">
        <is>
          <t>mesmo problema da dose: esta no documento, nao no campo.</t>
        </is>
      </c>
      <c r="L30" s="3" t="inlineStr">
        <is>
          <t>PALAVRA</t>
        </is>
      </c>
      <c r="M30" s="3" t="inlineStr"/>
    </row>
    <row r="31">
      <c r="A31" s="6" t="inlineStr">
        <is>
          <t>PORTFOLIO</t>
        </is>
      </c>
      <c r="B31" s="3" t="inlineStr">
        <is>
          <t>MECANISMO DE ACAO (FRAC/HRAC/IRAC)</t>
        </is>
      </c>
      <c r="C31" s="3" t="inlineStr">
        <is>
          <t>HIGH</t>
        </is>
      </c>
      <c r="D31" s="3" t="inlineStr">
        <is>
          <t>NAO</t>
        </is>
      </c>
      <c r="E31" s="3" t="inlineStr">
        <is>
          <t>NENHUM</t>
        </is>
      </c>
      <c r="F31" s="3" t="inlineStr">
        <is>
          <t>ING.PRODUCTS frac 8/163 (5%) · irac 10/163 (6%) · hrac 52/163 (32%)</t>
        </is>
      </c>
      <c r="G31" s="3" t="inlineStr">
        <is>
          <t>CANDIDATA_FRACA_A_CONFIRMAR</t>
        </is>
      </c>
      <c r="H31" s="3" t="n">
        <v>0</v>
      </c>
      <c r="I31" s="3" t="inlineStr">
        <is>
          <t>WEAK</t>
        </is>
      </c>
      <c r="J31" s="3" t="inlineStr">
        <is>
          <t>FRAC · HRAC · IRAC (comites internacionais) · SIRFI (ja no acervo) · Fitogest</t>
        </is>
      </c>
      <c r="K31" s="3" t="inlineStr">
        <is>
          <t>⚠️ O DONO DESTE DADO NAO E' ITALIANO: a classificacao e' dos tres comites internacionais. A busca da Italia nunca o acharia, e o automatico devolveu «Cassandra Tech – Models for change», que nao tem nada a ver. Fica WEAK porque a via italiana (SIRFI, Fitogest) e' de segunda mao.</t>
        </is>
      </c>
      <c r="L31" s="3" t="inlineStr">
        <is>
          <t>PALAVRA</t>
        </is>
      </c>
      <c r="M31" s="3" t="inlineStr"/>
    </row>
    <row r="32">
      <c r="A32" s="6" t="inlineStr">
        <is>
          <t>PORTFOLIO</t>
        </is>
      </c>
      <c r="B32" s="3" t="inlineStr">
        <is>
          <t>Documento oficial do rotulo (PDF) e a sua data/versao</t>
        </is>
      </c>
      <c r="C32" s="3" t="inlineStr">
        <is>
          <t>HIGH</t>
        </is>
      </c>
      <c r="D32" s="3" t="inlineStr">
        <is>
          <t>NAO</t>
        </is>
      </c>
      <c r="E32" s="3" t="inlineStr">
        <is>
          <t>NENHUM</t>
        </is>
      </c>
      <c r="F32" s="3" t="inlineStr">
        <is>
          <t>ING.PRODUCTS labelUrl 163/163 · nao existe LABEL_DATE nem LABEL_VERSION</t>
        </is>
      </c>
      <c r="G32" s="3" t="inlineStr">
        <is>
          <t>CANDIDATA_A_CONFIRMAR</t>
        </is>
      </c>
      <c r="H32" s="3" t="n">
        <v>3</v>
      </c>
      <c r="I32" s="3" t="inlineStr">
        <is>
          <t>STRONG</t>
        </is>
      </c>
      <c r="J32" s="3" t="inlineStr">
        <is>
          <t>Banca dati do Ministero</t>
        </is>
      </c>
      <c r="K32" s="3" t="inlineStr">
        <is>
          <t>o rotulo e' servido pelo registo, e o projeto ja provou que o le.</t>
        </is>
      </c>
      <c r="L32" s="3" t="inlineStr">
        <is>
          <t>PALAVRA</t>
        </is>
      </c>
      <c r="M32" s="3" t="inlineStr"/>
    </row>
    <row r="33">
      <c r="A33" s="5" t="inlineStr">
        <is>
          <t>PORTFOLIO</t>
        </is>
      </c>
      <c r="B33" s="3" t="inlineStr">
        <is>
          <t>ALTERACAO de autorizacao (o que mudou e quando)</t>
        </is>
      </c>
      <c r="C33" s="3" t="inlineStr">
        <is>
          <t>CRITICAL</t>
        </is>
      </c>
      <c r="D33" s="3" t="inlineStr">
        <is>
          <t>NAO</t>
        </is>
      </c>
      <c r="E33" s="3" t="inlineStr">
        <is>
          <t>NENHUM</t>
        </is>
      </c>
      <c r="F33" s="3" t="inlineStr">
        <is>
          <t>ausente — nao existe registo de delta de autorizacao</t>
        </is>
      </c>
      <c r="G33" s="3" t="inlineStr">
        <is>
          <t>CANDIDATA_A_CONFIRMAR</t>
        </is>
      </c>
      <c r="H33" s="3" t="n">
        <v>2</v>
      </c>
      <c r="I33" s="3" t="inlineStr">
        <is>
          <t>STRONG</t>
        </is>
      </c>
      <c r="J33" s="3" t="inlineStr">
        <is>
          <t>Banca dati do Ministero (atualizacao diaria, comparavel entre dias) · convegno «Prodotti fitosanitari: le novità» · AgroNotizie</t>
        </is>
      </c>
      <c r="K33" s="3" t="inlineStr">
        <is>
          <t>o campo esta AUSENTE no casco. Duas vias: comparar o descarregavel diario consigo mesmo (mudanca calculada, com data exata), ou ler o convegno, que declara a mudanca com intencao comercial — ex. Bayer/Sivanto Prime, extensoes de emprego em Eriosoma lanigerum e psila da pereira.</t>
        </is>
      </c>
      <c r="L33" s="3" t="inlineStr">
        <is>
          <t>PALAVRA</t>
        </is>
      </c>
      <c r="M33" s="3" t="inlineStr"/>
    </row>
    <row r="34">
      <c r="A34" s="6" t="inlineStr">
        <is>
          <t>PORTFOLIO</t>
        </is>
      </c>
      <c r="B34" s="3" t="inlineStr">
        <is>
          <t>AUTORIZACAO EXCECIONAL (art. 53)</t>
        </is>
      </c>
      <c r="C34" s="3" t="inlineStr">
        <is>
          <t>HIGH</t>
        </is>
      </c>
      <c r="D34" s="3" t="inlineStr">
        <is>
          <t>NAO</t>
        </is>
      </c>
      <c r="E34" s="3" t="inlineStr">
        <is>
          <t>NENHUM</t>
        </is>
      </c>
      <c r="F34" s="3" t="inlineStr">
        <is>
          <t>ausente para Italia</t>
        </is>
      </c>
      <c r="G34" s="3" t="inlineStr">
        <is>
          <t>NO_SOURCE</t>
        </is>
      </c>
      <c r="H34" s="3" t="n">
        <v>0</v>
      </c>
      <c r="I34" s="3" t="inlineStr">
        <is>
          <t>STRONG</t>
        </is>
      </c>
      <c r="J34" s="3" t="inlineStr">
        <is>
          <t>Ministero (deroghe) · convegno de Bolonha</t>
        </is>
      </c>
      <c r="K34" s="3" t="inlineStr">
        <is>
          <t>exemplo real com nome: BASF Efficon (dimpropyridaz), uso excecional art. 53 em fruta, vite e horticolas, apresentado em 19/02/2026.</t>
        </is>
      </c>
      <c r="L34" s="3" t="inlineStr">
        <is>
          <t>PALAVRA</t>
        </is>
      </c>
      <c r="M34" s="3" t="inlineStr"/>
    </row>
    <row r="35">
      <c r="A35" s="5" t="inlineStr">
        <is>
          <t>PORTFOLIO</t>
        </is>
      </c>
      <c r="B35" s="3" t="inlineStr">
        <is>
          <t>Ligacao produto x janela de cultura</t>
        </is>
      </c>
      <c r="C35" s="3" t="inlineStr">
        <is>
          <t>CRITICAL</t>
        </is>
      </c>
      <c r="D35" s="3" t="inlineStr">
        <is>
          <t>NAO</t>
        </is>
      </c>
      <c r="E35" s="3" t="inlineStr">
        <is>
          <t>NENHUM</t>
        </is>
      </c>
      <c r="F35" s="3" t="inlineStr">
        <is>
          <t>0/29 · so ITALY_LABEL_VERDICTS (12 VERIFIED) liga produto a problema</t>
        </is>
      </c>
      <c r="G35" s="3" t="inlineStr">
        <is>
          <t>NAO_E_GAP_DE_FONTE</t>
        </is>
      </c>
      <c r="H35" s="3" t="n">
        <v>0</v>
      </c>
      <c r="I35" s="3" t="inlineStr">
        <is>
          <t>NAO_E_GAP_DE_FONTE</t>
        </is>
      </c>
      <c r="J35" s="3" t="inlineStr">
        <is>
          <t>—</t>
        </is>
      </c>
      <c r="K35" s="3" t="inlineStr">
        <is>
          <t>`PRODUCT_MATCHES 0/29`. E' um JOIN entre 219 produtos e 29 janelas, ambos ja em casa. Nenhum italiano publica esta ligacao — e nem devia.</t>
        </is>
      </c>
      <c r="L35" s="3" t="inlineStr">
        <is>
          <t>NAO_E_GAP_DE_FONTE</t>
        </is>
      </c>
      <c r="M35" s="3" t="inlineStr">
        <is>
          <t>e um JOIN entre dois dados que a casa ja tem (219 produtos, 29 janelas). Nenhuma fonte externa resolve: resolve-se ligando cultura+alvo do rotulo a cultura+problema da janela.</t>
        </is>
      </c>
    </row>
    <row r="36">
      <c r="A36" s="4" t="inlineStr">
        <is>
          <t>SCIENCE</t>
        </is>
      </c>
      <c r="B36" s="3" t="inlineStr">
        <is>
          <t>Trabalho cientifico com identidade</t>
        </is>
      </c>
      <c r="C36" s="3" t="inlineStr">
        <is>
          <t>LOW</t>
        </is>
      </c>
      <c r="D36" s="3" t="inlineStr">
        <is>
          <t>SIM</t>
        </is>
      </c>
      <c r="E36" s="3" t="inlineStr">
        <is>
          <t>CHEIO</t>
        </is>
      </c>
      <c r="F36" s="3" t="inlineStr">
        <is>
          <t>ING.SCIENCE 88 · DOI 86/88 (98%) · restantes campos 100%</t>
        </is>
      </c>
      <c r="G36" s="3" t="inlineStr">
        <is>
          <t>CANDIDATA_A_CONFIRMAR</t>
        </is>
      </c>
      <c r="H36" s="3" t="n">
        <v>15</v>
      </c>
      <c r="I36" s="3" t="inlineStr">
        <is>
          <t>STRONG</t>
        </is>
      </c>
      <c r="J36" s="3" t="inlineStr">
        <is>
          <t>OpenAlex (ja no acervo, EU-T5-001)</t>
        </is>
      </c>
      <c r="K36" s="3" t="inlineStr">
        <is>
          <t>campo resolvido.</t>
        </is>
      </c>
      <c r="L36" s="3" t="inlineStr">
        <is>
          <t>PALAVRA</t>
        </is>
      </c>
      <c r="M36" s="3" t="inlineStr"/>
    </row>
    <row r="37">
      <c r="A37" s="4" t="inlineStr">
        <is>
          <t>SCIENCE</t>
        </is>
      </c>
      <c r="B37" s="3" t="inlineStr">
        <is>
          <t>Autor e instituicao do trabalho</t>
        </is>
      </c>
      <c r="C37" s="3" t="inlineStr">
        <is>
          <t>LOW</t>
        </is>
      </c>
      <c r="D37" s="3" t="inlineStr">
        <is>
          <t>SIM</t>
        </is>
      </c>
      <c r="E37" s="3" t="inlineStr">
        <is>
          <t>CHEIO</t>
        </is>
      </c>
      <c r="F37" s="3" t="inlineStr">
        <is>
          <t>ING.SCIENCE AUTHOR/INSTITUTION/ORCID 88/88 — mas so 6 instituicoes distintas</t>
        </is>
      </c>
      <c r="G37" s="3" t="inlineStr">
        <is>
          <t>CANDIDATA_A_CONFIRMAR</t>
        </is>
      </c>
      <c r="H37" s="3" t="n">
        <v>7</v>
      </c>
      <c r="I37" s="3" t="inlineStr">
        <is>
          <t>STRONG</t>
        </is>
      </c>
      <c r="J37" s="3" t="inlineStr">
        <is>
          <t>OpenAlex</t>
        </is>
      </c>
      <c r="K37" s="3" t="inlineStr">
        <is>
          <t>campo resolvido.</t>
        </is>
      </c>
      <c r="L37" s="3" t="inlineStr">
        <is>
          <t>PALAVRA</t>
        </is>
      </c>
      <c r="M37" s="3" t="inlineStr"/>
    </row>
    <row r="38">
      <c r="A38" s="4" t="inlineStr">
        <is>
          <t>SCIENCE</t>
        </is>
      </c>
      <c r="B38" s="3" t="inlineStr">
        <is>
          <t>Cultura e problema do trabalho</t>
        </is>
      </c>
      <c r="C38" s="3" t="inlineStr">
        <is>
          <t>LOW</t>
        </is>
      </c>
      <c r="D38" s="3" t="inlineStr">
        <is>
          <t>SIM</t>
        </is>
      </c>
      <c r="E38" s="3" t="inlineStr">
        <is>
          <t>CHEIO</t>
        </is>
      </c>
      <c r="F38" s="3" t="inlineStr">
        <is>
          <t>ING.SCIENCE CROP/ISSUE 88/88</t>
        </is>
      </c>
      <c r="G38" s="3" t="inlineStr">
        <is>
          <t>CANDIDATA_A_CONFIRMAR</t>
        </is>
      </c>
      <c r="H38" s="3" t="n">
        <v>23</v>
      </c>
      <c r="I38" s="3" t="inlineStr">
        <is>
          <t>STRONG</t>
        </is>
      </c>
      <c r="J38" s="3" t="inlineStr">
        <is>
          <t>OpenAlex · atas das Giornate Fitopatologiche</t>
        </is>
      </c>
      <c r="K38" s="3" t="inlineStr">
        <is>
          <t>campo resolvido.</t>
        </is>
      </c>
      <c r="L38" s="3" t="inlineStr">
        <is>
          <t>PALAVRA</t>
        </is>
      </c>
      <c r="M38" s="3" t="inlineStr"/>
    </row>
    <row r="39">
      <c r="A39" s="6" t="inlineStr">
        <is>
          <t>SCIENCE</t>
        </is>
      </c>
      <c r="B39" s="3" t="inlineStr">
        <is>
          <t>LOCAL DO ESTUDO (onde o ensaio foi feito)</t>
        </is>
      </c>
      <c r="C39" s="3" t="inlineStr">
        <is>
          <t>HIGH</t>
        </is>
      </c>
      <c r="D39" s="3" t="inlineStr">
        <is>
          <t>NAO</t>
        </is>
      </c>
      <c r="E39" s="3" t="inlineStr">
        <is>
          <t>NENHUM</t>
        </is>
      </c>
      <c r="F39" s="3" t="inlineStr">
        <is>
          <t>ausente — IG.SCIENCE tem COUNTRY_OF_FACT, nao local do ensaio</t>
        </is>
      </c>
      <c r="G39" s="3" t="inlineStr">
        <is>
          <t>CANDIDATA_A_CONFIRMAR</t>
        </is>
      </c>
      <c r="H39" s="3" t="n">
        <v>1</v>
      </c>
      <c r="I39" s="3" t="inlineStr">
        <is>
          <t>WEAK</t>
        </is>
      </c>
      <c r="J39" s="3" t="inlineStr">
        <is>
          <t>atas das Giornate Fitopatologiche · Versuchszentrum Laimburg · CRSFA Locorotondo</t>
        </is>
      </c>
      <c r="K39" s="3" t="inlineStr">
        <is>
          <t>as atas declaram o local no corpo do texto, nao como campo. Extrair local de prosa e' leitura, e leitura nao e' coleta.</t>
        </is>
      </c>
      <c r="L39" s="3" t="inlineStr">
        <is>
          <t>PALAVRA</t>
        </is>
      </c>
      <c r="M39" s="3" t="inlineStr"/>
    </row>
    <row r="40">
      <c r="A40" s="6" t="inlineStr">
        <is>
          <t>SCIENCE</t>
        </is>
      </c>
      <c r="B40" s="3" t="inlineStr">
        <is>
          <t>METODO e RESULTADO medido (eficacia)</t>
        </is>
      </c>
      <c r="C40" s="3" t="inlineStr">
        <is>
          <t>HIGH</t>
        </is>
      </c>
      <c r="D40" s="3" t="inlineStr">
        <is>
          <t>NAO</t>
        </is>
      </c>
      <c r="E40" s="3" t="inlineStr">
        <is>
          <t>NENHUM</t>
        </is>
      </c>
      <c r="F40" s="3" t="inlineStr">
        <is>
          <t>ausente — ha MATERIAL_TYPE e MATERIAL_ROLE, nao resultado</t>
        </is>
      </c>
      <c r="G40" s="3" t="inlineStr">
        <is>
          <t>CANDIDATA_A_CONFIRMAR</t>
        </is>
      </c>
      <c r="H40" s="3" t="n">
        <v>15</v>
      </c>
      <c r="I40" s="3" t="inlineStr">
        <is>
          <t>WEAK</t>
        </is>
      </c>
      <c r="J40" s="3" t="inlineStr">
        <is>
          <t>atas das Giornate Fitopatologiche · provas demonstrativas regionais</t>
        </is>
      </c>
      <c r="K40" s="3" t="inlineStr">
        <is>
          <t>idem: existe, esta em prosa.</t>
        </is>
      </c>
      <c r="L40" s="3" t="inlineStr">
        <is>
          <t>PALAVRA</t>
        </is>
      </c>
      <c r="M40" s="3" t="inlineStr"/>
    </row>
    <row r="41">
      <c r="A41" s="1" t="inlineStr">
        <is>
          <t>SCIENCE</t>
        </is>
      </c>
      <c r="B41" s="3" t="inlineStr">
        <is>
          <t>RESISTENCIA documentada (especie, mecanismo, regiao, ano)</t>
        </is>
      </c>
      <c r="C41" s="3" t="inlineStr">
        <is>
          <t>MEDIUM</t>
        </is>
      </c>
      <c r="D41" s="3" t="inlineStr">
        <is>
          <t>NAO SEI</t>
        </is>
      </c>
      <c r="E41" s="3" t="inlineStr">
        <is>
          <t>NAO_SEI</t>
        </is>
      </c>
      <c r="F41" s="3" t="inlineStr">
        <is>
          <t>ING.RESISTANCE 34 registos · TODOS os 14 campos 100% cheios</t>
        </is>
      </c>
      <c r="G41" s="3" t="inlineStr">
        <is>
          <t>CANDIDATA_A_CONFIRMAR</t>
        </is>
      </c>
      <c r="H41" s="3" t="n">
        <v>1</v>
      </c>
      <c r="I41" s="3" t="inlineStr">
        <is>
          <t>WEAK</t>
        </is>
      </c>
      <c r="J41" s="3" t="inlineStr">
        <is>
          <t>SIRFI (area download, ja no acervo) · GIRE</t>
        </is>
      </c>
      <c r="K41" s="3" t="inlineStr">
        <is>
          <t>as duas sociedades italianas de resistencia publicam; nao provei que publiquem os quatro campos juntos.</t>
        </is>
      </c>
      <c r="L41" s="3" t="inlineStr">
        <is>
          <t>PALAVRA</t>
        </is>
      </c>
      <c r="M41" s="3" t="inlineStr"/>
    </row>
    <row r="42">
      <c r="A42" s="6" t="inlineStr">
        <is>
          <t>SCIENCE</t>
        </is>
      </c>
      <c r="B42" s="3" t="inlineStr">
        <is>
          <t>ENSAIO DE CAMPO / trial com resultado</t>
        </is>
      </c>
      <c r="C42" s="3" t="inlineStr">
        <is>
          <t>HIGH</t>
        </is>
      </c>
      <c r="D42" s="3" t="inlineStr">
        <is>
          <t>NAO</t>
        </is>
      </c>
      <c r="E42" s="3" t="inlineStr">
        <is>
          <t>NENHUM</t>
        </is>
      </c>
      <c r="F42" s="3" t="inlineStr">
        <is>
          <t>ausente</t>
        </is>
      </c>
      <c r="G42" s="3" t="inlineStr">
        <is>
          <t>CANDIDATA_A_CONFIRMAR</t>
        </is>
      </c>
      <c r="H42" s="3" t="n">
        <v>23</v>
      </c>
      <c r="I42" s="3" t="inlineStr">
        <is>
          <t>NO</t>
        </is>
      </c>
      <c r="J42" s="3" t="inlineStr">
        <is>
          <t>nenhuma — e a razao e' legal, nao tecnica</t>
        </is>
      </c>
      <c r="K42" s="3" t="inlineStr">
        <is>
          <t>⚠️ O ACHADO MAIS DURO DA MISSAO: os seis centros de saggio GEP italianos (Agrea, Sagea, AgriSearch, Agro Services, Agritec, Repros) fazem ensaio oficial de eficacia — e os dados sao RESERVADOS, propriedade da empresa que os encomenda, e NAO SAO PUBLICADOS. Isto nao e' gap de fonte: e' GAP DE ACESSO. Nenhuma coleta o resolve; resolve-se por contrato. O que e' divulgavel sao as provas demonstrativas regionais e as atas — que dao resultado sem dar o ensaio de registo.</t>
        </is>
      </c>
      <c r="L42" s="3" t="inlineStr">
        <is>
          <t>PALAVRA</t>
        </is>
      </c>
      <c r="M42" s="3" t="inlineStr"/>
    </row>
    <row r="43">
      <c r="A43" s="6" t="inlineStr">
        <is>
          <t>SCIENCE</t>
        </is>
      </c>
      <c r="B43" s="3" t="inlineStr">
        <is>
          <t>PROJETO de investigacao (quem financia, quem participa)</t>
        </is>
      </c>
      <c r="C43" s="3" t="inlineStr">
        <is>
          <t>HIGH</t>
        </is>
      </c>
      <c r="D43" s="3" t="inlineStr">
        <is>
          <t>NAO</t>
        </is>
      </c>
      <c r="E43" s="3" t="inlineStr">
        <is>
          <t>NENHUM</t>
        </is>
      </c>
      <c r="F43" s="3" t="inlineStr">
        <is>
          <t>ausente</t>
        </is>
      </c>
      <c r="G43" s="3" t="inlineStr">
        <is>
          <t>CANDIDATA_A_CONFIRMAR</t>
        </is>
      </c>
      <c r="H43" s="3" t="n">
        <v>7</v>
      </c>
      <c r="I43" s="3" t="inlineStr">
        <is>
          <t>WEAK</t>
        </is>
      </c>
      <c r="J43" s="3" t="inlineStr">
        <is>
          <t>innovarurale / Gruppi Operativi PSR · MASAF · Rete PAC</t>
        </is>
      </c>
      <c r="K43" s="3" t="inlineStr">
        <is>
          <t>a base dos grupos operativos existe e tem financiador e parceiros; nao abri nenhuma rota dela nesta missao.</t>
        </is>
      </c>
      <c r="L43" s="3" t="inlineStr">
        <is>
          <t>PALAVRA</t>
        </is>
      </c>
      <c r="M43" s="3" t="inlineStr"/>
    </row>
    <row r="44">
      <c r="A44" s="1" t="inlineStr">
        <is>
          <t>COMPETITORS</t>
        </is>
      </c>
      <c r="B44" s="3" t="inlineStr">
        <is>
          <t>Atividade publica do concorrente, com data</t>
        </is>
      </c>
      <c r="C44" s="3" t="inlineStr">
        <is>
          <t>MEDIUM</t>
        </is>
      </c>
      <c r="D44" s="3" t="inlineStr">
        <is>
          <t>NAO SEI</t>
        </is>
      </c>
      <c r="E44" s="3" t="inlineStr">
        <is>
          <t>NAO_SEI</t>
        </is>
      </c>
      <c r="F44" s="3" t="inlineStr">
        <is>
          <t>ING.COMP_ACTIVITIES 503 · start/url/text ~82% · 89 sem pais resolvido</t>
        </is>
      </c>
      <c r="G44" s="3" t="inlineStr">
        <is>
          <t>CANDIDATA_A_CONFIRMAR</t>
        </is>
      </c>
      <c r="H44" s="3" t="n">
        <v>2</v>
      </c>
      <c r="I44" s="3" t="inlineStr">
        <is>
          <t>STRONG</t>
        </is>
      </c>
      <c r="J44" s="3" t="inlineStr">
        <is>
          <t>convegno Emilia-Romagna 19/02/2026 · Giornate Fitopatologiche 19–20/03/2026 · Forum Fitoiatrico CondifesaTVB · Macfrut 21/04/2026 · Agrea/Soave 16/01/2026 · Demo Days Syngenta</t>
        </is>
      </c>
      <c r="K44" s="3" t="inlineStr">
        <is>
          <t>seis eventos datados de 2026 em que empresas concorrentes aparecem com conteudo tecnico. Nao e' publicidade recolhida: e' agenda publica.</t>
        </is>
      </c>
      <c r="L44" s="3" t="inlineStr">
        <is>
          <t>PALAVRA</t>
        </is>
      </c>
      <c r="M44" s="3" t="inlineStr"/>
    </row>
    <row r="45">
      <c r="A45" s="1" t="inlineStr">
        <is>
          <t>COMPETITORS</t>
        </is>
      </c>
      <c r="B45" s="3" t="inlineStr">
        <is>
          <t>CULTURA da atividade do concorrente</t>
        </is>
      </c>
      <c r="C45" s="3" t="inlineStr">
        <is>
          <t>MEDIUM</t>
        </is>
      </c>
      <c r="D45" s="3" t="inlineStr">
        <is>
          <t>PARCIAL</t>
        </is>
      </c>
      <c r="E45" s="3" t="inlineStr">
        <is>
          <t>PARCIAL</t>
        </is>
      </c>
      <c r="F45" s="3" t="inlineStr">
        <is>
          <t>ING.COMP_ACTIVITIES crops 183/503 (36%)</t>
        </is>
      </c>
      <c r="G45" s="3" t="inlineStr">
        <is>
          <t>CANDIDATA_A_CONFIRMAR</t>
        </is>
      </c>
      <c r="H45" s="3" t="n">
        <v>16</v>
      </c>
      <c r="I45" s="3" t="inlineStr">
        <is>
          <t>STRONG</t>
        </is>
      </c>
      <c r="J45" s="3" t="inlineStr">
        <is>
          <t>convegno de Bolonha</t>
        </is>
      </c>
      <c r="K45" s="3" t="inlineStr">
        <is>
          <t>cada novidade vem com as culturas: Boxer Evo para girassol, batata e trigo; Efficon para fruta, vite e horticolas; Sivanto Prime para macieira e pereira.</t>
        </is>
      </c>
      <c r="L45" s="3" t="inlineStr">
        <is>
          <t>PALAVRA</t>
        </is>
      </c>
      <c r="M45" s="3" t="inlineStr"/>
    </row>
    <row r="46">
      <c r="A46" s="1" t="inlineStr">
        <is>
          <t>COMPETITORS</t>
        </is>
      </c>
      <c r="B46" s="3" t="inlineStr">
        <is>
          <t>PROBLEMA/ALVO da atividade do concorrente</t>
        </is>
      </c>
      <c r="C46" s="3" t="inlineStr">
        <is>
          <t>MEDIUM</t>
        </is>
      </c>
      <c r="D46" s="3" t="inlineStr">
        <is>
          <t>PARCIAL</t>
        </is>
      </c>
      <c r="E46" s="3" t="inlineStr">
        <is>
          <t>PARCIAL</t>
        </is>
      </c>
      <c r="F46" s="3" t="inlineStr">
        <is>
          <t>ING.COMP_ACTIVITIES issues 98/503 (19%)</t>
        </is>
      </c>
      <c r="G46" s="3" t="inlineStr">
        <is>
          <t>CANDIDATA_A_CONFIRMAR</t>
        </is>
      </c>
      <c r="H46" s="3" t="n">
        <v>5</v>
      </c>
      <c r="I46" s="3" t="inlineStr">
        <is>
          <t>STRONG</t>
        </is>
      </c>
      <c r="J46" s="3" t="inlineStr">
        <is>
          <t>convegno de Bolonha</t>
        </is>
      </c>
      <c r="K46" s="3" t="inlineStr">
        <is>
          <t>alvos nomeados a especie: Eriosoma lanigerum e psila da pereira.</t>
        </is>
      </c>
      <c r="L46" s="3" t="inlineStr">
        <is>
          <t>PALAVRA</t>
        </is>
      </c>
      <c r="M46" s="3" t="inlineStr"/>
    </row>
    <row r="47">
      <c r="A47" s="1" t="inlineStr">
        <is>
          <t>COMPETITORS</t>
        </is>
      </c>
      <c r="B47" s="3" t="inlineStr">
        <is>
          <t>PRODUTO do concorrente na atividade</t>
        </is>
      </c>
      <c r="C47" s="3" t="inlineStr">
        <is>
          <t>MEDIUM</t>
        </is>
      </c>
      <c r="D47" s="3" t="inlineStr">
        <is>
          <t>PARCIAL</t>
        </is>
      </c>
      <c r="E47" s="3" t="inlineStr">
        <is>
          <t>PARCIAL</t>
        </is>
      </c>
      <c r="F47" s="3" t="inlineStr">
        <is>
          <t>ING.COMP_ACTIVITIES products 102/503 (20%)</t>
        </is>
      </c>
      <c r="G47" s="3" t="inlineStr">
        <is>
          <t>CANDIDATA_A_CONFIRMAR</t>
        </is>
      </c>
      <c r="H47" s="3" t="n">
        <v>7</v>
      </c>
      <c r="I47" s="3" t="inlineStr">
        <is>
          <t>STRONG</t>
        </is>
      </c>
      <c r="J47" s="3" t="inlineStr">
        <is>
          <t>convegno de Bolonha · catalogos anuais das empresas</t>
        </is>
      </c>
      <c r="K47" s="3" t="inlineStr">
        <is>
          <t>quatro produtos de quatro concorrentes, com substancia ativa: Boxer Evo (diflufenican+prosulfocarb, Syngenta), Fencade (pyroxsulam+mesosulfuron, Corteva), Efficon (dimpropyridaz, BASF), Sivanto Prime (flupyradifurone, Bayer).</t>
        </is>
      </c>
      <c r="L47" s="3" t="inlineStr">
        <is>
          <t>PALAVRA</t>
        </is>
      </c>
      <c r="M47" s="3" t="inlineStr"/>
    </row>
    <row r="48">
      <c r="A48" s="6" t="inlineStr">
        <is>
          <t>COMPETITORS</t>
        </is>
      </c>
      <c r="B48" s="3" t="inlineStr">
        <is>
          <t>REGIAO da atividade do concorrente</t>
        </is>
      </c>
      <c r="C48" s="3" t="inlineStr">
        <is>
          <t>HIGH</t>
        </is>
      </c>
      <c r="D48" s="3" t="inlineStr">
        <is>
          <t>NAO</t>
        </is>
      </c>
      <c r="E48" s="3" t="inlineStr">
        <is>
          <t>NENHUM</t>
        </is>
      </c>
      <c r="F48" s="3" t="inlineStr">
        <is>
          <t>ausente do dado real — so pais</t>
        </is>
      </c>
      <c r="G48" s="3" t="inlineStr">
        <is>
          <t>CANDIDATA_FRACA_A_CONFIRMAR</t>
        </is>
      </c>
      <c r="H48" s="3" t="n">
        <v>0</v>
      </c>
      <c r="I48" s="3" t="inlineStr">
        <is>
          <t>WEAK</t>
        </is>
      </c>
      <c r="J48" s="3" t="inlineStr">
        <is>
          <t>AgriEvents (Emilia-Romagna) · Forum Fitoiatrico (Treviso-Belluno) · sitios de cada empresa</t>
        </is>
      </c>
      <c r="K48" s="3" t="inlineStr">
        <is>
          <t>⚠️ DUAS RAZOES PARA NAO DIZER STRONG. Primeira: o local do EVENTO nao e' a regiao da ATIVIDADE comercial — um convegno em Bolonha apresenta produtos nacionais. Segunda: a busca estabeleceu que NAO EXISTE calendario unico nacional de jornadas demonstrativas regiao a regiao; para Bayer, Corteva e BASF ha que vigiar o sitio de cada uma. Cobertura nacional aqui custa N rotas, nao uma.</t>
        </is>
      </c>
      <c r="L48" s="3" t="inlineStr">
        <is>
          <t>PALAVRA</t>
        </is>
      </c>
      <c r="M48" s="3" t="inlineStr"/>
    </row>
    <row r="49">
      <c r="A49" s="1" t="inlineStr">
        <is>
          <t>COMPETITORS</t>
        </is>
      </c>
      <c r="B49" s="3" t="inlineStr">
        <is>
          <t>REGISTO oficial do produto do concorrente</t>
        </is>
      </c>
      <c r="C49" s="3" t="inlineStr">
        <is>
          <t>MEDIUM</t>
        </is>
      </c>
      <c r="D49" s="3" t="inlineStr">
        <is>
          <t>NAO SEI</t>
        </is>
      </c>
      <c r="E49" s="3" t="inlineStr">
        <is>
          <t>NAO_SEI</t>
        </is>
      </c>
      <c r="F49" s="3" t="inlineStr">
        <is>
          <t>ING.COMP_PRODUCTS 36 registos, 6 campos — sem registo oficial</t>
        </is>
      </c>
      <c r="G49" s="3" t="inlineStr">
        <is>
          <t>CANDIDATA_A_CONFIRMAR</t>
        </is>
      </c>
      <c r="H49" s="3" t="n">
        <v>7</v>
      </c>
      <c r="I49" s="3" t="inlineStr">
        <is>
          <t>STRONG</t>
        </is>
      </c>
      <c r="J49" s="3" t="inlineStr">
        <is>
          <t>Banca dati do Ministero (campo «titolare»)</t>
        </is>
      </c>
      <c r="K49" s="3" t="inlineStr">
        <is>
          <t>o registo oficial diz de quem e' cada produto. Fonte neutra, nao declaracao do concorrente.</t>
        </is>
      </c>
      <c r="L49" s="3" t="inlineStr">
        <is>
          <t>PALAVRA</t>
        </is>
      </c>
      <c r="M49" s="3" t="inlineStr"/>
    </row>
    <row r="50">
      <c r="A50" s="1" t="inlineStr">
        <is>
          <t>COMPETITORS</t>
        </is>
      </c>
      <c r="B50" s="3" t="inlineStr">
        <is>
          <t>CONTEUDO TECNICO do concorrente (nao publicidade)</t>
        </is>
      </c>
      <c r="C50" s="3" t="inlineStr">
        <is>
          <t>MEDIUM</t>
        </is>
      </c>
      <c r="D50" s="3" t="inlineStr">
        <is>
          <t>NAO SEI</t>
        </is>
      </c>
      <c r="E50" s="3" t="inlineStr">
        <is>
          <t>NAO_SEI</t>
        </is>
      </c>
      <c r="F50" s="3" t="inlineStr">
        <is>
          <t>ING.COMP_ACTIVITIES nao distingue tecnico de publicitario</t>
        </is>
      </c>
      <c r="G50" s="3" t="inlineStr">
        <is>
          <t>CANDIDATA_A_CONFIRMAR</t>
        </is>
      </c>
      <c r="H50" s="3" t="n">
        <v>7</v>
      </c>
      <c r="I50" s="3" t="inlineStr">
        <is>
          <t>STRONG</t>
        </is>
      </c>
      <c r="J50" s="3" t="inlineStr">
        <is>
          <t>convegno de Bolonha · Giornate Fitopatologiche · Forum Fitoiatrico</t>
        </is>
      </c>
      <c r="K50" s="3" t="inlineStr">
        <is>
          <t>apresentacao tecnica em evento de servico publico ou de sociedade cientifica e' conteudo tecnico por construcao — ex. Matteo Colombo (European Precision Application Task Force, por Corteva Italia) nas Giornate.</t>
        </is>
      </c>
      <c r="L50" s="3" t="inlineStr">
        <is>
          <t>PALAVRA</t>
        </is>
      </c>
      <c r="M50" s="3" t="inlineStr"/>
    </row>
    <row r="51">
      <c r="A51" s="6" t="inlineStr">
        <is>
          <t>COMPETITORS</t>
        </is>
      </c>
      <c r="B51" s="3" t="inlineStr">
        <is>
          <t>PESSOA do concorrente (quem fala por ele)</t>
        </is>
      </c>
      <c r="C51" s="3" t="inlineStr">
        <is>
          <t>HIGH</t>
        </is>
      </c>
      <c r="D51" s="3" t="inlineStr">
        <is>
          <t>PARCIAL</t>
        </is>
      </c>
      <c r="E51" s="3" t="inlineStr">
        <is>
          <t>PARCIAL</t>
        </is>
      </c>
      <c r="F51" s="3" t="inlineStr">
        <is>
          <t>ING.PEOPLE 15 registos · ROLE 5/15 (10 = NAO SEI)</t>
        </is>
      </c>
      <c r="G51" s="3" t="inlineStr">
        <is>
          <t>NO_SOURCE</t>
        </is>
      </c>
      <c r="H51" s="3" t="n">
        <v>0</v>
      </c>
      <c r="I51" s="3" t="inlineStr">
        <is>
          <t>STRONG</t>
        </is>
      </c>
      <c r="J51" s="3" t="inlineStr">
        <is>
          <t>convegno de Bolonha · Forum Fitoiatrico CondifesaTVB</t>
        </is>
      </c>
      <c r="K51" s="3" t="inlineStr">
        <is>
          <t>o automatico dizia NO_SOURCE. A busca dirigida devolveu OITO pessoas nomeadas com empresa: Mattia Fumagalli (Syngenta), Sara Ciofini (Corteva), Mirko Valente (BASF), Silvano Locardi (Bayer) no convegno; Marco Pravisano (Syngenta), Marco Grandin (Bayer), Giorgio Fioretti (BASF) no Forum; mais Alessandra Moccia (IBMA Global). ⚠️ A ADAMA esta na lista de participantes do Forum: ler isto como «concorrente» obriga a excluir a propria casa.</t>
        </is>
      </c>
      <c r="L51" s="3" t="inlineStr">
        <is>
          <t>PALAVRA</t>
        </is>
      </c>
      <c r="M51" s="3" t="inlineStr"/>
    </row>
    <row r="52">
      <c r="A52" s="4" t="inlineStr">
        <is>
          <t>VOICES</t>
        </is>
      </c>
      <c r="B52" s="3" t="inlineStr">
        <is>
          <t>Voz de campo com autor identificado</t>
        </is>
      </c>
      <c r="C52" s="3" t="inlineStr">
        <is>
          <t>LOW</t>
        </is>
      </c>
      <c r="D52" s="3" t="inlineStr">
        <is>
          <t>SIM</t>
        </is>
      </c>
      <c r="E52" s="3" t="inlineStr">
        <is>
          <t>CHEIO</t>
        </is>
      </c>
      <c r="F52" s="3" t="inlineStr">
        <is>
          <t>ING.VOICES 17 · PERSON 17/17 · PERSON_IDENTITY_STATE 17/17</t>
        </is>
      </c>
      <c r="G52" s="3" t="inlineStr">
        <is>
          <t>CANDIDATA_A_CONFIRMAR</t>
        </is>
      </c>
      <c r="H52" s="3" t="n">
        <v>8</v>
      </c>
      <c r="I52" s="3" t="inlineStr">
        <is>
          <t>STRONG</t>
        </is>
      </c>
      <c r="J52" s="3" t="inlineStr">
        <is>
          <t>as 17 vozes que o casco ja tem · canais da missao anterior (ex. Vito Vitelli, agronomo, 306 videos)</t>
        </is>
      </c>
      <c r="K52" s="3" t="inlineStr">
        <is>
          <t>campo cheio. ⚠️ E o automatico propunha «Centro Veterinario San Martino» — uma clinica veterinaria — como voz de campo. Derrubado.</t>
        </is>
      </c>
      <c r="L52" s="3" t="inlineStr">
        <is>
          <t>PALAVRA</t>
        </is>
      </c>
      <c r="M52" s="3" t="inlineStr"/>
    </row>
    <row r="53">
      <c r="A53" s="5" t="inlineStr">
        <is>
          <t>VOICES</t>
        </is>
      </c>
      <c r="B53" s="3" t="inlineStr">
        <is>
          <t>REGIAO da voz de campo</t>
        </is>
      </c>
      <c r="C53" s="3" t="inlineStr">
        <is>
          <t>CRITICAL</t>
        </is>
      </c>
      <c r="D53" s="3" t="inlineStr">
        <is>
          <t>NAO</t>
        </is>
      </c>
      <c r="E53" s="3" t="inlineStr">
        <is>
          <t>NENHUM</t>
        </is>
      </c>
      <c r="F53" s="3" t="inlineStr">
        <is>
          <t>0/17 — todas NAO SEI</t>
        </is>
      </c>
      <c r="G53" s="3" t="inlineStr">
        <is>
          <t>CANDIDATA_A_CONFIRMAR</t>
        </is>
      </c>
      <c r="H53" s="3" t="n">
        <v>4</v>
      </c>
      <c r="I53" s="3" t="inlineStr">
        <is>
          <t>STRONG_MAS_TROCA_A_VOZ</t>
        </is>
      </c>
      <c r="J53" s="3" t="inlineStr">
        <is>
          <t>ARSAC (8 zonas nomeadas) · CAAR (GE/IM/SP/SV) · LaMMA (por provincia)</t>
        </is>
      </c>
      <c r="K53" s="3" t="inlineStr">
        <is>
          <t>0 de 17 vozes tem regiao. Existe fonte forte e recorrente com regiao escrita — mas e' BOLETIM TECNICO INSTITUCIONAL, nao agricultor a falar. Enche a coluna e troca o sujeito. Se a ferramenta quer saber o que o produtor do Veneto esta a dizer, isto nao responde.</t>
        </is>
      </c>
      <c r="L53" s="3" t="inlineStr">
        <is>
          <t>PALAVRA</t>
        </is>
      </c>
      <c r="M53" s="3" t="inlineStr"/>
    </row>
    <row r="54">
      <c r="A54" s="5" t="inlineStr">
        <is>
          <t>VOICES</t>
        </is>
      </c>
      <c r="B54" s="3" t="inlineStr">
        <is>
          <t>PAPEL de quem fala (produtor? tecnico? amador?)</t>
        </is>
      </c>
      <c r="C54" s="3" t="inlineStr">
        <is>
          <t>CRITICAL</t>
        </is>
      </c>
      <c r="D54" s="3" t="inlineStr">
        <is>
          <t>NAO</t>
        </is>
      </c>
      <c r="E54" s="3" t="inlineStr">
        <is>
          <t>NENHUM</t>
        </is>
      </c>
      <c r="F54" s="3" t="inlineStr">
        <is>
          <t>0/17 — todas NAO SEI</t>
        </is>
      </c>
      <c r="G54" s="3" t="inlineStr">
        <is>
          <t>CANDIDATA_A_CONFIRMAR</t>
        </is>
      </c>
      <c r="H54" s="3" t="n">
        <v>13</v>
      </c>
      <c r="I54" s="3" t="inlineStr">
        <is>
          <t>STRONG</t>
        </is>
      </c>
      <c r="J54" s="3" t="inlineStr">
        <is>
          <t>CONAF e federacoes regionais dos Dottori Agronomi (o albo) · listas de participantes do Forum Fitoiatrico</t>
        </is>
      </c>
      <c r="K54" s="3" t="inlineStr">
        <is>
          <t>0 de 17 tem papel. O albo profissional da nome, papel reconhecido e territorio de inscricao — os tres de uma vez. ⚠️ Mas ENRIQUECE uma voz existente; nao cria observacao. E a busca estabeleceu que NAO EXISTE lista central de agronomos liberais que publiquem boletim proprio: sao iniciativas por estudio, fragmentadas.</t>
        </is>
      </c>
      <c r="L54" s="3" t="inlineStr">
        <is>
          <t>PALAVRA</t>
        </is>
      </c>
      <c r="M54" s="3" t="inlineStr"/>
    </row>
    <row r="55">
      <c r="A55" s="5" t="inlineStr">
        <is>
          <t>VOICES</t>
        </is>
      </c>
      <c r="B55" s="3" t="inlineStr">
        <is>
          <t>DATA da observacao de campo</t>
        </is>
      </c>
      <c r="C55" s="3" t="inlineStr">
        <is>
          <t>CRITICAL</t>
        </is>
      </c>
      <c r="D55" s="3" t="inlineStr">
        <is>
          <t>NAO</t>
        </is>
      </c>
      <c r="E55" s="3" t="inlineStr">
        <is>
          <t>NENHUM</t>
        </is>
      </c>
      <c r="F55" s="3" t="inlineStr">
        <is>
          <t>0/17 absoluta · 17/17 relativa</t>
        </is>
      </c>
      <c r="G55" s="3" t="inlineStr">
        <is>
          <t>CANDIDATA_A_CONFIRMAR</t>
        </is>
      </c>
      <c r="H55" s="3" t="n">
        <v>1</v>
      </c>
      <c r="I55" s="3" t="inlineStr">
        <is>
          <t>STRONG_MAS_TROCA_A_VOZ</t>
        </is>
      </c>
      <c r="J55" s="3" t="inlineStr">
        <is>
          <t>ARSAC · CAAR · LaMMA · Consorzi Fitosanitari</t>
        </is>
      </c>
      <c r="K55" s="3" t="inlineStr">
        <is>
          <t>0 de 17 tem data. Os boletins tem data e periodo de validade no proprio titulo. ⚠️ Mas atencao a duas datas que nao sao a mesma: a data de PUBLICACAO do post e a data em que se VIU a coisa no campo. Rede social da a primeira; boletim da as duas.</t>
        </is>
      </c>
      <c r="L55" s="3" t="inlineStr">
        <is>
          <t>PALAVRA</t>
        </is>
      </c>
      <c r="M55" s="3" t="inlineStr"/>
    </row>
    <row r="56">
      <c r="A56" s="4" t="inlineStr">
        <is>
          <t>VOICES</t>
        </is>
      </c>
      <c r="B56" s="3" t="inlineStr">
        <is>
          <t>Cultura e problema relatados</t>
        </is>
      </c>
      <c r="C56" s="3" t="inlineStr">
        <is>
          <t>LOW</t>
        </is>
      </c>
      <c r="D56" s="3" t="inlineStr">
        <is>
          <t>SIM</t>
        </is>
      </c>
      <c r="E56" s="3" t="inlineStr">
        <is>
          <t>CHEIO</t>
        </is>
      </c>
      <c r="F56" s="3" t="inlineStr">
        <is>
          <t>ING.VOICES CROP/ISSUE/TEXT_ORIGINAL 17/17</t>
        </is>
      </c>
      <c r="G56" s="3" t="inlineStr">
        <is>
          <t>CANDIDATA_A_CONFIRMAR</t>
        </is>
      </c>
      <c r="H56" s="3" t="n">
        <v>15</v>
      </c>
      <c r="I56" s="3" t="inlineStr">
        <is>
          <t>STRONG</t>
        </is>
      </c>
      <c r="J56" s="3" t="inlineStr">
        <is>
          <t>canais e boletins ja no acervo</t>
        </is>
      </c>
      <c r="K56" s="3" t="inlineStr">
        <is>
          <t>campo cheio.</t>
        </is>
      </c>
      <c r="L56" s="3" t="inlineStr">
        <is>
          <t>PALAVRA</t>
        </is>
      </c>
      <c r="M56" s="3" t="inlineStr"/>
    </row>
    <row r="57">
      <c r="A57" s="1" t="inlineStr">
        <is>
          <t>VOICES</t>
        </is>
      </c>
      <c r="B57" s="3" t="inlineStr">
        <is>
          <t>CANAL com exemplo real e data de publicacao</t>
        </is>
      </c>
      <c r="C57" s="3" t="inlineStr">
        <is>
          <t>MEDIUM</t>
        </is>
      </c>
      <c r="D57" s="3" t="inlineStr">
        <is>
          <t>NAO SEI</t>
        </is>
      </c>
      <c r="E57" s="3" t="inlineStr">
        <is>
          <t>NAO_SEI</t>
        </is>
      </c>
      <c r="F57" s="3" t="inlineStr">
        <is>
          <t>ING.CHANNELS 30 registos · todos os 11 campos 100% cheios</t>
        </is>
      </c>
      <c r="G57" s="3" t="inlineStr">
        <is>
          <t>CANDIDATA_A_CONFIRMAR</t>
        </is>
      </c>
      <c r="H57" s="3" t="n">
        <v>10</v>
      </c>
      <c r="I57" s="3" t="inlineStr">
        <is>
          <t>WEAK</t>
        </is>
      </c>
      <c r="J57" s="3" t="inlineStr">
        <is>
          <t>os 196 canais do acervo · 41 canais novos da missao anterior</t>
        </is>
      </c>
      <c r="K57" s="3" t="inlineStr">
        <is>
          <t>ha canal e ha rota. NAO HA EXEMPLO GUARDADO: a missao de descoberta registou explicitamente que nenhum conteudo foi salvo. Sem exemplo, o campo «exemplo real» continua vazio por construcao.</t>
        </is>
      </c>
      <c r="L57" s="3" t="inlineStr">
        <is>
          <t>PALAVRA</t>
        </is>
      </c>
      <c r="M57" s="3" t="inlineStr"/>
    </row>
    <row r="58">
      <c r="A58" s="1" t="inlineStr">
        <is>
          <t>VOICES</t>
        </is>
      </c>
      <c r="B58" s="3" t="inlineStr">
        <is>
          <t>Volume de vozes suficiente para ler um territorio</t>
        </is>
      </c>
      <c r="C58" s="3" t="inlineStr">
        <is>
          <t>MEDIUM</t>
        </is>
      </c>
      <c r="D58" s="3" t="inlineStr">
        <is>
          <t>NAO SEI</t>
        </is>
      </c>
      <c r="E58" s="3" t="inlineStr">
        <is>
          <t>NAO_SEI</t>
        </is>
      </c>
      <c r="F58" s="3" t="inlineStr">
        <is>
          <t>17 vozes no total, 3 casos — nao da para ler regiao nenhuma</t>
        </is>
      </c>
      <c r="G58" s="3" t="inlineStr">
        <is>
          <t>NAO_E_PERGUNTA_DE_PALAVRA</t>
        </is>
      </c>
      <c r="H58" s="3" t="n">
        <v>0</v>
      </c>
      <c r="I58" s="3" t="inlineStr">
        <is>
          <t>NAO_E_GAP_DE_FONTE</t>
        </is>
      </c>
      <c r="J58" s="3" t="inlineStr">
        <is>
          <t>—</t>
        </is>
      </c>
      <c r="K58" s="3" t="inlineStr">
        <is>
          <t>e' contagem por regiao, nao topico. A conta esta em SOCIAL_GAPS.</t>
        </is>
      </c>
      <c r="L58" s="3" t="inlineStr">
        <is>
          <t>NAO_E_PERGUNTA_DE_PALAVRA</t>
        </is>
      </c>
      <c r="M58" s="3" t="inlineStr">
        <is>
          <t>e uma pergunta de QUANTIDADE por regiao, nao de topico. Responde-se contando vozes por regiao depois de as qualificar, e a contagem esta em SOCIAL_GAPS.</t>
        </is>
      </c>
    </row>
    <row r="59">
      <c r="A59" s="1" t="inlineStr">
        <is>
          <t>FUTURE</t>
        </is>
      </c>
      <c r="B59" s="3" t="inlineStr">
        <is>
          <t>Sinal novo com o que se observou e quem o disse</t>
        </is>
      </c>
      <c r="C59" s="3" t="inlineStr">
        <is>
          <t>MEDIUM</t>
        </is>
      </c>
      <c r="D59" s="3" t="inlineStr">
        <is>
          <t>PARCIAL</t>
        </is>
      </c>
      <c r="E59" s="3" t="inlineStr">
        <is>
          <t>PARCIAL</t>
        </is>
      </c>
      <c r="F59" s="3" t="inlineStr">
        <is>
          <t>ING.FUTURE_SIGNALS 3 registos · campos cheios · REGION 2/3</t>
        </is>
      </c>
      <c r="G59" s="3" t="inlineStr">
        <is>
          <t>CANDIDATA_A_CONFIRMAR</t>
        </is>
      </c>
      <c r="H59" s="3" t="n">
        <v>17</v>
      </c>
      <c r="I59" s="3" t="inlineStr">
        <is>
          <t>STRONG</t>
        </is>
      </c>
      <c r="J59" s="3" t="inlineStr">
        <is>
          <t>protezionedellepiante.it · rete Ismea–Unione Seminativi (23 pontos)</t>
        </is>
      </c>
      <c r="K59" s="3" t="inlineStr">
        <is>
          <t>a rede do Ismea recolhe por questionario a peritos e declara os resultados PROVISORIOS e de conjuntura. ⚠️ Isso e' expectativa de perito, nao medicao — serve a ferramenta de SINAL, e usa-la como producao mede opiniao e chama-lhe colheita.</t>
        </is>
      </c>
      <c r="L59" s="3" t="inlineStr">
        <is>
          <t>PALAVRA</t>
        </is>
      </c>
      <c r="M59" s="3" t="inlineStr"/>
    </row>
    <row r="60">
      <c r="A60" s="5" t="inlineStr">
        <is>
          <t>FUTURE</t>
        </is>
      </c>
      <c r="B60" s="3" t="inlineStr">
        <is>
          <t>PRAGA OU DOENCA EMERGENTE (primeira deteccao)</t>
        </is>
      </c>
      <c r="C60" s="3" t="inlineStr">
        <is>
          <t>CRITICAL</t>
        </is>
      </c>
      <c r="D60" s="3" t="inlineStr">
        <is>
          <t>NAO</t>
        </is>
      </c>
      <c r="E60" s="3" t="inlineStr">
        <is>
          <t>NENHUM</t>
        </is>
      </c>
      <c r="F60" s="3" t="inlineStr">
        <is>
          <t>ausente</t>
        </is>
      </c>
      <c r="G60" s="3" t="inlineStr">
        <is>
          <t>CANDIDATA_A_CONFIRMAR</t>
        </is>
      </c>
      <c r="H60" s="3" t="n">
        <v>1</v>
      </c>
      <c r="I60" s="3" t="inlineStr">
        <is>
          <t>STRONG</t>
        </is>
      </c>
      <c r="J60" s="3" t="inlineStr">
        <is>
          <t>protezionedellepiante.it (Emergenze Fitosanitarie · Sorveglianza · Barriere) · Piano Nazionale di Indagine · salutepianteinlombardia.it · EPPO (ja no acervo)</t>
        </is>
      </c>
      <c r="K60" s="3" t="inlineStr">
        <is>
          <t>o campo esta ausente no casco e existe declaracao oficial de primeira detecao, com regiao e data, do Servizio Fitosanitario Nazionale — chefiado por Bruno Faraglia, com laboratorios «Custos Plantis». ⚠️ Evento raro: serie curta, valor alto — o contrario de um boletim semanal.</t>
        </is>
      </c>
      <c r="L60" s="3" t="inlineStr">
        <is>
          <t>PALAVRA</t>
        </is>
      </c>
      <c r="M60" s="3" t="inlineStr"/>
    </row>
    <row r="61">
      <c r="A61" s="6" t="inlineStr">
        <is>
          <t>FUTURE</t>
        </is>
      </c>
      <c r="B61" s="3" t="inlineStr">
        <is>
          <t>PIPELINE REGULATORIO (substancia em avaliacao/renovacao)</t>
        </is>
      </c>
      <c r="C61" s="3" t="inlineStr">
        <is>
          <t>HIGH</t>
        </is>
      </c>
      <c r="D61" s="3" t="inlineStr">
        <is>
          <t>NAO</t>
        </is>
      </c>
      <c r="E61" s="3" t="inlineStr">
        <is>
          <t>NENHUM</t>
        </is>
      </c>
      <c r="F61" s="3" t="inlineStr">
        <is>
          <t>ausente</t>
        </is>
      </c>
      <c r="G61" s="3" t="inlineStr">
        <is>
          <t>NO_SOURCE</t>
        </is>
      </c>
      <c r="H61" s="3" t="n">
        <v>0</v>
      </c>
      <c r="I61" s="3" t="inlineStr">
        <is>
          <t>STRONG</t>
        </is>
      </c>
      <c r="J61" s="3" t="inlineStr">
        <is>
          <t>EU Pesticides Database (anexo do Reg. UE 540/2011) · registo de conclusoes de peer review da EFSA</t>
        </is>
      </c>
      <c r="K61" s="3" t="inlineStr">
        <is>
          <t>o automatico dizia NO_SOURCE. E ha fonte, e o mecanismo que a torna PREVISAO esta na lei: Reg. (CE) 1107/2009 art. 15 — o pedido de renovacao entra TRES ANOS antes de expirar. A data de expiracao de hoje e' o sinal de amanha. ⚠️ E O PRAZO MUDOU: o pacote Omnibus altera o art. 43 — pedido de renovacao de AUTORIZACAO passa a ate 9 meses antes de expirar, ou 3 meses se a substancia tiver aprovacao limitada. Calcular pela regra antiga da a data errada.</t>
        </is>
      </c>
      <c r="L61" s="3" t="inlineStr">
        <is>
          <t>PALAVRA</t>
        </is>
      </c>
      <c r="M61" s="3" t="inlineStr"/>
    </row>
    <row r="62">
      <c r="A62" s="6" t="inlineStr">
        <is>
          <t>FUTURE</t>
        </is>
      </c>
      <c r="B62" s="3" t="inlineStr">
        <is>
          <t>MUDANCA DE POLITICA em consulta</t>
        </is>
      </c>
      <c r="C62" s="3" t="inlineStr">
        <is>
          <t>HIGH</t>
        </is>
      </c>
      <c r="D62" s="3" t="inlineStr">
        <is>
          <t>NAO</t>
        </is>
      </c>
      <c r="E62" s="3" t="inlineStr">
        <is>
          <t>NENHUM</t>
        </is>
      </c>
      <c r="F62" s="3" t="inlineStr">
        <is>
          <t>ausente</t>
        </is>
      </c>
      <c r="G62" s="3" t="inlineStr">
        <is>
          <t>CANDIDATA_A_CONFIRMAR</t>
        </is>
      </c>
      <c r="H62" s="3" t="n">
        <v>24</v>
      </c>
      <c r="I62" s="3" t="inlineStr">
        <is>
          <t>WEAK</t>
        </is>
      </c>
      <c r="J62" s="3" t="inlineStr">
        <is>
          <t>CELLAR (ja no acervo) · BUR regionais</t>
        </is>
      </c>
      <c r="K62" s="3" t="inlineStr">
        <is>
          <t>⚠️ O CELLAR da o ato ADOTADO, e a pergunta e' sobre o que esta EM CONSULTA — sao dois estagios diferentes, e confundi-los faz o sistema avisar depois de a decisao estar tomada. O portal de consultas da UE (Have Your Say) nao foi pesquisado nesta missao. Achei um exemplo regional real (a instancia do Prosecco DOC publicada no BUR do Veneto, com prazo de observacoes aberto), o que mostra que o estagio de consulta E' publicado — so nao ha rota unica.</t>
        </is>
      </c>
      <c r="L62" s="3" t="inlineStr">
        <is>
          <t>PALAVRA</t>
        </is>
      </c>
      <c r="M62" s="3" t="inlineStr"/>
    </row>
    <row r="63">
      <c r="A63" s="6" t="inlineStr">
        <is>
          <t>FUTURE</t>
        </is>
      </c>
      <c r="B63" s="3" t="inlineStr">
        <is>
          <t>DESLOCACAO CLIMATICA que muda a pressao de praga</t>
        </is>
      </c>
      <c r="C63" s="3" t="inlineStr">
        <is>
          <t>HIGH</t>
        </is>
      </c>
      <c r="D63" s="3" t="inlineStr">
        <is>
          <t>NAO</t>
        </is>
      </c>
      <c r="E63" s="3" t="inlineStr">
        <is>
          <t>NENHUM</t>
        </is>
      </c>
      <c r="F63" s="3" t="inlineStr">
        <is>
          <t>ausente — nenhuma colecao de T2 no ITALY_INGEST</t>
        </is>
      </c>
      <c r="G63" s="3" t="inlineStr">
        <is>
          <t>CANDIDATA_A_CONFIRMAR</t>
        </is>
      </c>
      <c r="H63" s="3" t="n">
        <v>14</v>
      </c>
      <c r="I63" s="3" t="inlineStr">
        <is>
          <t>STRONG</t>
        </is>
      </c>
      <c r="J63" s="3" t="inlineStr">
        <is>
          <t>SCIA/ISPRA · Arpae ERG5 · Arpa Piemonte (series centenarias) · Campania</t>
        </is>
      </c>
      <c r="K63" s="3" t="inlineStr">
        <is>
          <t>serie longa mais anomalia face a periodo de referencia. ⚠️ Serie longa nao e' serie homogenea: comparar 1753 com 2026 exige correcao que nao vem feita.</t>
        </is>
      </c>
      <c r="L63" s="3" t="inlineStr">
        <is>
          <t>PALAVRA</t>
        </is>
      </c>
      <c r="M63" s="3" t="inlineStr"/>
    </row>
    <row r="64">
      <c r="A64" s="1" t="inlineStr">
        <is>
          <t>FUTURE</t>
        </is>
      </c>
      <c r="B64" s="3" t="inlineStr">
        <is>
          <t>Volume de sinais suficiente para ser um arquivo</t>
        </is>
      </c>
      <c r="C64" s="3" t="inlineStr">
        <is>
          <t>MEDIUM</t>
        </is>
      </c>
      <c r="D64" s="3" t="inlineStr">
        <is>
          <t>NAO SEI</t>
        </is>
      </c>
      <c r="E64" s="3" t="inlineStr">
        <is>
          <t>NAO_SEI</t>
        </is>
      </c>
      <c r="F64" s="3" t="inlineStr">
        <is>
          <t>3 sinais — a tela chama-se 'Archivio' e tem tres linhas</t>
        </is>
      </c>
      <c r="G64" s="3" t="inlineStr">
        <is>
          <t>NAO_E_PERGUNTA_DE_PALAVRA</t>
        </is>
      </c>
      <c r="H64" s="3" t="n">
        <v>0</v>
      </c>
      <c r="I64" s="3" t="inlineStr">
        <is>
          <t>NAO_E_GAP_DE_FONTE</t>
        </is>
      </c>
      <c r="J64" s="3" t="inlineStr">
        <is>
          <t>—</t>
        </is>
      </c>
      <c r="K64" s="3" t="inlineStr">
        <is>
          <t>e' contagem no tempo, nao topico.</t>
        </is>
      </c>
      <c r="L64" s="3" t="inlineStr">
        <is>
          <t>NAO_E_PERGUNTA_DE_PALAVRA</t>
        </is>
      </c>
      <c r="M64" s="3" t="inlineStr">
        <is>
          <t>idem: quantidade ao longo do tempo. Um arquivo de sinais mede-se em series, nao em palavras-chave.</t>
        </is>
      </c>
    </row>
    <row r="65">
      <c r="A65" s="5" t="inlineStr">
        <is>
          <t>FIELD_NET</t>
        </is>
      </c>
      <c r="B65" s="3" t="inlineStr">
        <is>
          <t>Relato da rede comercial, com autor e data</t>
        </is>
      </c>
      <c r="C65" s="3" t="inlineStr">
        <is>
          <t>CRITICAL</t>
        </is>
      </c>
      <c r="D65" s="3" t="inlineStr">
        <is>
          <t>NAO</t>
        </is>
      </c>
      <c r="E65" s="3" t="inlineStr">
        <is>
          <t>NENHUM</t>
        </is>
      </c>
      <c r="F65" s="3" t="inlineStr">
        <is>
          <t>18 registos, TODOS SYNTHETIC_DEMO — zero dado real</t>
        </is>
      </c>
      <c r="G65" s="3" t="inlineStr">
        <is>
          <t>NO_SOURCE</t>
        </is>
      </c>
      <c r="H65" s="3" t="n">
        <v>0</v>
      </c>
      <c r="I65" s="3" t="inlineStr">
        <is>
          <t>NAO_E_GAP_DE_FONTE</t>
        </is>
      </c>
      <c r="J65" s="3" t="inlineStr">
        <is>
          <t>—</t>
        </is>
      </c>
      <c r="K65" s="3" t="inlineStr">
        <is>
          <t>os 18 registos do casco sao todos `SYNTHETIC_DEMO`. E nenhuma fonte italiana pode enche-los: o relato da rede comercial da ADAMA e' dado PROPRIO da casa. Procurar fonte externa para isto e' procurar fora o que esta dentro. A acao e' de sistema interno, nao de coleta.</t>
        </is>
      </c>
      <c r="L65" s="3" t="inlineStr">
        <is>
          <t>PALAVRA</t>
        </is>
      </c>
      <c r="M65" s="3" t="inlineStr"/>
    </row>
    <row r="66">
      <c r="A66" s="6" t="inlineStr">
        <is>
          <t>FIELD_NET</t>
        </is>
      </c>
      <c r="B66" s="3" t="inlineStr">
        <is>
          <t>Identidade do tecnico de campo (TSR)</t>
        </is>
      </c>
      <c r="C66" s="3" t="inlineStr">
        <is>
          <t>HIGH</t>
        </is>
      </c>
      <c r="D66" s="3" t="inlineStr">
        <is>
          <t>NAO</t>
        </is>
      </c>
      <c r="E66" s="3" t="inlineStr">
        <is>
          <t>NENHUM</t>
        </is>
      </c>
      <c r="F66" s="3" t="inlineStr">
        <is>
          <t>ausente — fixture</t>
        </is>
      </c>
      <c r="G66" s="3" t="inlineStr">
        <is>
          <t>CANDIDATA_A_CONFIRMAR</t>
        </is>
      </c>
      <c r="H66" s="3" t="n">
        <v>11</v>
      </c>
      <c r="I66" s="3" t="inlineStr">
        <is>
          <t>WEAK</t>
        </is>
      </c>
      <c r="J66" s="3" t="inlineStr">
        <is>
          <t>CONAF/albo (agronomos em geral) · listas de participantes</t>
        </is>
      </c>
      <c r="K66" s="3" t="inlineStr">
        <is>
          <t>o albo identifica agronomos com papel e territorio; nao identifica os tecnicos de campo DA CASA. Serve para reconhecer terceiros, nao os proprios.</t>
        </is>
      </c>
      <c r="L66" s="3" t="inlineStr">
        <is>
          <t>PALAVRA</t>
        </is>
      </c>
      <c r="M66" s="3" t="inlineStr"/>
    </row>
    <row r="67">
      <c r="A67" s="5" t="inlineStr">
        <is>
          <t>RADAR</t>
        </is>
      </c>
      <c r="B67" s="3" t="inlineStr">
        <is>
          <t>ENTRADA: janela de cultura com data e regiao</t>
        </is>
      </c>
      <c r="C67" s="3" t="inlineStr">
        <is>
          <t>CRITICAL</t>
        </is>
      </c>
      <c r="D67" s="3" t="inlineStr">
        <is>
          <t>HERDADO</t>
        </is>
      </c>
      <c r="E67" s="3" t="inlineStr">
        <is>
          <t>NAO_SEI</t>
        </is>
      </c>
      <c r="F67" s="3" t="inlineStr">
        <is>
          <t>29 janelas canonicas, 0 com observacao</t>
        </is>
      </c>
      <c r="G67" s="3" t="inlineStr">
        <is>
          <t>HERDADO</t>
        </is>
      </c>
      <c r="H67" s="3" t="n">
        <v>0</v>
      </c>
      <c r="I67" s="3" t="inlineStr">
        <is>
          <t>HERDADO</t>
        </is>
      </c>
      <c r="J67" s="3">
        <f> WINDOWS</f>
        <v/>
      </c>
      <c r="K67" s="3" t="inlineStr">
        <is>
          <t>herda de WINDOWS. Nao se procura fonte propria.</t>
        </is>
      </c>
      <c r="L67" s="3" t="inlineStr">
        <is>
          <t>HERDADO</t>
        </is>
      </c>
      <c r="M67" s="3" t="inlineStr">
        <is>
          <t>entrada do Radar: a materia-prima e' a da ferramenta de origem, medida na linha dela. Procurar fonte «para o Radar» seria contar a mesma fonte duas vezes.</t>
        </is>
      </c>
    </row>
    <row r="68">
      <c r="A68" s="5" t="inlineStr">
        <is>
          <t>RADAR</t>
        </is>
      </c>
      <c r="B68" s="3" t="inlineStr">
        <is>
          <t>ENTRADA: ligacao produto x problema</t>
        </is>
      </c>
      <c r="C68" s="3" t="inlineStr">
        <is>
          <t>CRITICAL</t>
        </is>
      </c>
      <c r="D68" s="3" t="inlineStr">
        <is>
          <t>HERDADO</t>
        </is>
      </c>
      <c r="E68" s="3" t="inlineStr">
        <is>
          <t>NAO_SEI</t>
        </is>
      </c>
      <c r="F68" s="3" t="inlineStr">
        <is>
          <t>12 triplos VERIFIED em ITALY_LABEL_VERDICTS</t>
        </is>
      </c>
      <c r="G68" s="3" t="inlineStr">
        <is>
          <t>HERDADO</t>
        </is>
      </c>
      <c r="H68" s="3" t="n">
        <v>0</v>
      </c>
      <c r="I68" s="3" t="inlineStr">
        <is>
          <t>HERDADO</t>
        </is>
      </c>
      <c r="J68" s="3">
        <f> PORTFOLIO</f>
        <v/>
      </c>
      <c r="K68" s="3" t="inlineStr">
        <is>
          <t>herda de PORTFOLIO.</t>
        </is>
      </c>
      <c r="L68" s="3" t="inlineStr">
        <is>
          <t>HERDADO</t>
        </is>
      </c>
      <c r="M68" s="3" t="inlineStr">
        <is>
          <t>entrada do Radar: a materia-prima e' a da ferramenta de origem, medida na linha dela. Procurar fonte «para o Radar» seria contar a mesma fonte duas vezes.</t>
        </is>
      </c>
    </row>
    <row r="69">
      <c r="A69" s="6" t="inlineStr">
        <is>
          <t>RADAR</t>
        </is>
      </c>
      <c r="B69" s="3" t="inlineStr">
        <is>
          <t>ENTRADA: sinal de concorrente na mesma cultura/problema</t>
        </is>
      </c>
      <c r="C69" s="3" t="inlineStr">
        <is>
          <t>HIGH</t>
        </is>
      </c>
      <c r="D69" s="3" t="inlineStr">
        <is>
          <t>HERDADO</t>
        </is>
      </c>
      <c r="E69" s="3" t="inlineStr">
        <is>
          <t>NAO_SEI</t>
        </is>
      </c>
      <c r="F69" s="3" t="inlineStr">
        <is>
          <t>503 atividades, 19% com problema identificado</t>
        </is>
      </c>
      <c r="G69" s="3" t="inlineStr">
        <is>
          <t>HERDADO</t>
        </is>
      </c>
      <c r="H69" s="3" t="n">
        <v>0</v>
      </c>
      <c r="I69" s="3" t="inlineStr">
        <is>
          <t>HERDADO</t>
        </is>
      </c>
      <c r="J69" s="3">
        <f> COMPETITORS</f>
        <v/>
      </c>
      <c r="K69" s="3" t="inlineStr">
        <is>
          <t>herda de COMPETITORS.</t>
        </is>
      </c>
      <c r="L69" s="3" t="inlineStr">
        <is>
          <t>HERDADO</t>
        </is>
      </c>
      <c r="M69" s="3" t="inlineStr">
        <is>
          <t>entrada do Radar: a materia-prima e' a da ferramenta de origem, medida na linha dela. Procurar fonte «para o Radar» seria contar a mesma fonte duas vezes.</t>
        </is>
      </c>
    </row>
    <row r="70">
      <c r="A70" s="5" t="inlineStr">
        <is>
          <t>RADAR</t>
        </is>
      </c>
      <c r="B70" s="3" t="inlineStr">
        <is>
          <t>ENTRADA: voz de campo na mesma cultura/problema</t>
        </is>
      </c>
      <c r="C70" s="3" t="inlineStr">
        <is>
          <t>CRITICAL</t>
        </is>
      </c>
      <c r="D70" s="3" t="inlineStr">
        <is>
          <t>HERDADO</t>
        </is>
      </c>
      <c r="E70" s="3" t="inlineStr">
        <is>
          <t>NAO_SEI</t>
        </is>
      </c>
      <c r="F70" s="3" t="inlineStr">
        <is>
          <t>17 vozes em 3 casos · nenhuma com regiao</t>
        </is>
      </c>
      <c r="G70" s="3" t="inlineStr">
        <is>
          <t>CANDIDATA_A_CONFIRMAR</t>
        </is>
      </c>
      <c r="H70" s="3" t="n">
        <v>4</v>
      </c>
      <c r="I70" s="3" t="inlineStr">
        <is>
          <t>HERDADO</t>
        </is>
      </c>
      <c r="J70" s="3">
        <f> VOICES</f>
        <v/>
      </c>
      <c r="K70" s="3" t="inlineStr">
        <is>
          <t>herda de VOICES — incluindo a troca de voz.</t>
        </is>
      </c>
      <c r="L70" s="3" t="inlineStr">
        <is>
          <t>PALAVRA</t>
        </is>
      </c>
      <c r="M70" s="3" t="inlineStr"/>
    </row>
    <row r="71">
      <c r="A71" s="5" t="inlineStr">
        <is>
          <t>RADAR</t>
        </is>
      </c>
      <c r="B71" s="3" t="inlineStr">
        <is>
          <t>ENTRADA: mercado da mesma cultura</t>
        </is>
      </c>
      <c r="C71" s="3" t="inlineStr">
        <is>
          <t>CRITICAL</t>
        </is>
      </c>
      <c r="D71" s="3" t="inlineStr">
        <is>
          <t>HERDADO</t>
        </is>
      </c>
      <c r="E71" s="3" t="inlineStr">
        <is>
          <t>NAO_SEI</t>
        </is>
      </c>
      <c r="F71" s="3" t="inlineStr">
        <is>
          <t>77 precos, uma fonte, 3 culturas sem nada</t>
        </is>
      </c>
      <c r="G71" s="3" t="inlineStr">
        <is>
          <t>HERDADO</t>
        </is>
      </c>
      <c r="H71" s="3" t="n">
        <v>0</v>
      </c>
      <c r="I71" s="3" t="inlineStr">
        <is>
          <t>HERDADO</t>
        </is>
      </c>
      <c r="J71" s="3">
        <f> MARKET</f>
        <v/>
      </c>
      <c r="K71" s="3" t="inlineStr">
        <is>
          <t>herda de MARKET.</t>
        </is>
      </c>
      <c r="L71" s="3" t="inlineStr">
        <is>
          <t>HERDADO</t>
        </is>
      </c>
      <c r="M71" s="3" t="inlineStr">
        <is>
          <t>entrada do Radar: a materia-prima e' a da ferramenta de origem, medida na linha dela. Procurar fonte «para o Radar» seria contar a mesma fonte duas vezes.</t>
        </is>
      </c>
    </row>
    <row r="72">
      <c r="A72" s="6" t="inlineStr">
        <is>
          <t>RADAR</t>
        </is>
      </c>
      <c r="B72" s="3" t="inlineStr">
        <is>
          <t>ENTRADA: ciencia da mesma cultura/problema</t>
        </is>
      </c>
      <c r="C72" s="3" t="inlineStr">
        <is>
          <t>HIGH</t>
        </is>
      </c>
      <c r="D72" s="3" t="inlineStr">
        <is>
          <t>HERDADO</t>
        </is>
      </c>
      <c r="E72" s="3" t="inlineStr">
        <is>
          <t>NAO_SEI</t>
        </is>
      </c>
      <c r="F72" s="3" t="inlineStr">
        <is>
          <t>88 trabalhos + 60 investigadores + 34 resistencias</t>
        </is>
      </c>
      <c r="G72" s="3" t="inlineStr">
        <is>
          <t>HERDADO</t>
        </is>
      </c>
      <c r="H72" s="3" t="n">
        <v>0</v>
      </c>
      <c r="I72" s="3" t="inlineStr">
        <is>
          <t>HERDADO</t>
        </is>
      </c>
      <c r="J72" s="3">
        <f> SCIENCE</f>
        <v/>
      </c>
      <c r="K72" s="3" t="inlineStr">
        <is>
          <t>herda de SCIENCE.</t>
        </is>
      </c>
      <c r="L72" s="3" t="inlineStr">
        <is>
          <t>HERDADO</t>
        </is>
      </c>
      <c r="M72" s="3" t="inlineStr">
        <is>
          <t>entrada do Radar: a materia-prima e' a da ferramenta de origem, medida na linha dela. Procurar fonte «para o Radar» seria contar a mesma fonte duas vezes.</t>
        </is>
      </c>
    </row>
    <row r="73">
      <c r="A73" s="6" t="inlineStr">
        <is>
          <t>RADAR</t>
        </is>
      </c>
      <c r="B73" s="3" t="inlineStr">
        <is>
          <t>VOCABULARIO UNICO de cultura entre as camadas</t>
        </is>
      </c>
      <c r="C73" s="3" t="inlineStr">
        <is>
          <t>HIGH</t>
        </is>
      </c>
      <c r="D73" s="3" t="inlineStr">
        <is>
          <t>NAO SEI</t>
        </is>
      </c>
      <c r="E73" s="3" t="inlineStr">
        <is>
          <t>NAO_SEI</t>
        </is>
      </c>
      <c r="F73" s="3" t="inlineStr">
        <is>
          <t>4 vocabularios de cultura em simultaneo</t>
        </is>
      </c>
      <c r="G73" s="3" t="inlineStr">
        <is>
          <t>NO_SOURCE</t>
        </is>
      </c>
      <c r="H73" s="3" t="n">
        <v>0</v>
      </c>
      <c r="I73" s="3" t="inlineStr">
        <is>
          <t>NAO_E_GAP_DE_FONTE</t>
        </is>
      </c>
      <c r="J73" s="3" t="inlineStr">
        <is>
          <t>EPPO e ISTAT ajudam, mas nao decidem</t>
        </is>
      </c>
      <c r="K73" s="3" t="inlineStr">
        <is>
          <t>a memoria do projeto ja registou que o nome da cultura chega em SEIS vocabularios que nao se falam. Ha catalogos externos que ajudam a mapear; qual deles MANDA e' decisao da casa, e essa decisao nao se coleta.</t>
        </is>
      </c>
      <c r="L73" s="3" t="inlineStr">
        <is>
          <t>PALAVRA</t>
        </is>
      </c>
      <c r="M73" s="3" t="inlineStr"/>
    </row>
    <row r="74">
      <c r="A74" s="1" t="inlineStr">
        <is>
          <t>RADAR</t>
        </is>
      </c>
      <c r="B74" s="3" t="inlineStr">
        <is>
          <t>IDENTIDADE UNICA de caso entre as camadas</t>
        </is>
      </c>
      <c r="C74" s="3" t="inlineStr">
        <is>
          <t>MEDIUM</t>
        </is>
      </c>
      <c r="D74" s="3" t="inlineStr">
        <is>
          <t>NAO SEI</t>
        </is>
      </c>
      <c r="E74" s="3" t="inlineStr">
        <is>
          <t>NAO_SEI</t>
        </is>
      </c>
      <c r="F74" s="3" t="inlineStr">
        <is>
          <t>5 espacos de id de caso, sem sobreposicao</t>
        </is>
      </c>
      <c r="G74" s="3" t="inlineStr">
        <is>
          <t>CANDIDATA_A_CONFIRMAR</t>
        </is>
      </c>
      <c r="H74" s="3" t="n">
        <v>40</v>
      </c>
      <c r="I74" s="3" t="inlineStr">
        <is>
          <t>NAO_E_GAP_DE_FONTE</t>
        </is>
      </c>
      <c r="J74" s="3" t="inlineStr">
        <is>
          <t>—</t>
        </is>
      </c>
      <c r="K74" s="3" t="inlineStr">
        <is>
          <t>identificador de caso do SINTONIA. Nenhum italiano o publica.</t>
        </is>
      </c>
      <c r="L74" s="3" t="inlineStr">
        <is>
          <t>PALAVRA</t>
        </is>
      </c>
      <c r="M74" s="3" t="inlineStr"/>
    </row>
  </sheetData>
  <mergeCells count="1">
    <mergeCell ref="A1:M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46"/>
  <sheetViews>
    <sheetView workbookViewId="0">
      <pane ySplit="2" topLeftCell="A3" activePane="bottomLeft" state="frozen"/>
      <selection pane="bottomLeft" activeCell="A1" sqref="A1"/>
    </sheetView>
  </sheetViews>
  <sheetFormatPr baseColWidth="8" defaultRowHeight="15"/>
  <cols>
    <col width="14" customWidth="1" min="1" max="1"/>
    <col width="13" customWidth="1" min="2" max="2"/>
    <col width="62" customWidth="1" min="3" max="3"/>
    <col width="62" customWidth="1" min="4" max="4"/>
    <col width="62" customWidth="1" min="5" max="5"/>
    <col width="46" customWidth="1" min="6" max="6"/>
    <col width="24" customWidth="1" min="7" max="7"/>
    <col width="62" customWidth="1" min="8" max="8"/>
    <col width="62" customWidth="1" min="9" max="9"/>
  </cols>
  <sheetData>
    <row r="1" ht="44" customHeight="1">
      <c r="A1" s="1" t="inlineStr">
        <is>
          <t>UMA LINHA = UM GAP CRITICAL ou HIGH. A gravidade sai do CAMPO MEDIDO no casco, nunca da contagem de candidatas — ter candidata e' promessa, ter campo e' capacidade. Leia a coluna FONTE_NOVA_FECHA_ISTO: nem todo gap fecha com fonte. Tres classes nao fecham — join interno, extracao de PDF, e dado proprietario da casa.</t>
        </is>
      </c>
    </row>
    <row r="2">
      <c r="A2" s="2" t="inlineStr">
        <is>
          <t>GAP_SEVERITY</t>
        </is>
      </c>
      <c r="B2" s="2" t="inlineStr">
        <is>
          <t>TOOL</t>
        </is>
      </c>
      <c r="C2" s="2" t="inlineStr">
        <is>
          <t>RAW_NEED</t>
        </is>
      </c>
      <c r="D2" s="2" t="inlineStr">
        <is>
          <t>O_QUE_A_FERRAMENTA_PERDE_SEM_ISTO</t>
        </is>
      </c>
      <c r="E2" s="2" t="inlineStr">
        <is>
          <t>MEDICAO_QUE_PROVA_O_GAP</t>
        </is>
      </c>
      <c r="F2" s="2" t="inlineStr">
        <is>
          <t>FONTE_NOVA_FECHA_ISTO</t>
        </is>
      </c>
      <c r="G2" s="2" t="inlineStr">
        <is>
          <t>VEREDITO_A_MAO</t>
        </is>
      </c>
      <c r="H2" s="2" t="inlineStr">
        <is>
          <t>QUEM_SUSTENTA</t>
        </is>
      </c>
      <c r="I2" s="2" t="inlineStr">
        <is>
          <t>POR_QUE</t>
        </is>
      </c>
    </row>
    <row r="3">
      <c r="A3" s="5" t="inlineStr">
        <is>
          <t>CRITICAL</t>
        </is>
      </c>
      <c r="B3" s="3" t="inlineStr">
        <is>
          <t>FIELD_NET</t>
        </is>
      </c>
      <c r="C3" s="3" t="inlineStr">
        <is>
          <t>Relato da rede comercial, com autor e data</t>
        </is>
      </c>
      <c r="D3" s="3" t="inlineStr">
        <is>
          <t>O que a rede comercial no campo esta a relatar?</t>
        </is>
      </c>
      <c r="E3" s="3" t="inlineStr">
        <is>
          <t>18 registos, TODOS SYNTHETIC_DEMO — zero dado real</t>
        </is>
      </c>
      <c r="F3" s="3" t="inlineStr">
        <is>
          <t>NAO SE FECHA COM FONTE</t>
        </is>
      </c>
      <c r="G3" s="3" t="inlineStr">
        <is>
          <t>NAO_E_GAP_DE_FONTE</t>
        </is>
      </c>
      <c r="H3" s="3" t="inlineStr">
        <is>
          <t>—</t>
        </is>
      </c>
      <c r="I3" s="3" t="inlineStr">
        <is>
          <t>os 18 registos do casco sao todos `SYNTHETIC_DEMO`. E nenhuma fonte italiana pode enche-los: o relato da rede comercial da ADAMA e' dado PROPRIO da casa. Procurar fonte externa para isto e' procurar fora o que esta dentro. A acao e' de sistema interno, nao de coleta.</t>
        </is>
      </c>
    </row>
    <row r="4">
      <c r="A4" s="5" t="inlineStr">
        <is>
          <t>CRITICAL</t>
        </is>
      </c>
      <c r="B4" s="3" t="inlineStr">
        <is>
          <t>FUTURE</t>
        </is>
      </c>
      <c r="C4" s="3" t="inlineStr">
        <is>
          <t>PRAGA OU DOENCA EMERGENTE (primeira deteccao)</t>
        </is>
      </c>
      <c r="D4" s="3" t="inlineStr">
        <is>
          <t>Que sinal novo apareceu que ainda nao e um facto de campo estabelecido?</t>
        </is>
      </c>
      <c r="E4" s="3" t="inlineStr">
        <is>
          <t>ausente</t>
        </is>
      </c>
      <c r="F4" s="3" t="inlineStr">
        <is>
          <t>SIM — ha fonte nomeada</t>
        </is>
      </c>
      <c r="G4" s="3" t="inlineStr">
        <is>
          <t>STRONG</t>
        </is>
      </c>
      <c r="H4" s="3" t="inlineStr">
        <is>
          <t>protezionedellepiante.it (Emergenze Fitosanitarie · Sorveglianza · Barriere) · Piano Nazionale di Indagine · salutepianteinlombardia.it · EPPO (ja no acervo)</t>
        </is>
      </c>
      <c r="I4" s="3" t="inlineStr">
        <is>
          <t>o campo esta ausente no casco e existe declaracao oficial de primeira detecao, com regiao e data, do Servizio Fitosanitario Nazionale — chefiado por Bruno Faraglia, com laboratorios «Custos Plantis». ⚠️ Evento raro: serie curta, valor alto — o contrario de um boletim semanal.</t>
        </is>
      </c>
    </row>
    <row r="5">
      <c r="A5" s="5" t="inlineStr">
        <is>
          <t>CRITICAL</t>
        </is>
      </c>
      <c r="B5" s="3" t="inlineStr">
        <is>
          <t>MARKET</t>
        </is>
      </c>
      <c r="C5" s="3" t="inlineStr">
        <is>
          <t>PRODUCAO, AREA e RENDIMENTO por cultura</t>
        </is>
      </c>
      <c r="D5" s="3" t="inlineStr">
        <is>
          <t>Como esta o mercado de cada cultura — preco, producao, oferta e custo — e o que mudou?</t>
        </is>
      </c>
      <c r="E5" s="3" t="inlineStr">
        <is>
          <t>ING.MARKET nao tem coluna de producao, area nem rendimento</t>
        </is>
      </c>
      <c r="F5" s="3" t="inlineStr">
        <is>
          <t>SIM — ha fonte nomeada</t>
        </is>
      </c>
      <c r="G5" s="3" t="inlineStr">
        <is>
          <t>STRONG</t>
        </is>
      </c>
      <c r="H5" s="3" t="inlineStr">
        <is>
          <t>ISTAT DCSP_COLTIVAZIONI (via esploradati.istat.it/SDMXWS/rest/)</t>
        </is>
      </c>
      <c r="I5" s="3" t="inlineStr">
        <is>
          <t>a coluna esta AUSENTE no casco, e existe fonte oficial com estimativa mensal e recorte regional. Gap fechavel sem inventar nada. ⚠️ partes vem de terceiros declarados: arroz do Enterisi, tabaco da Agea, beterraba da ABSI — a procedencia tem de viajar com o numero.</t>
        </is>
      </c>
    </row>
    <row r="6">
      <c r="A6" s="5" t="inlineStr">
        <is>
          <t>CRITICAL</t>
        </is>
      </c>
      <c r="B6" s="3" t="inlineStr">
        <is>
          <t>PORTFOLIO</t>
        </is>
      </c>
      <c r="C6" s="3" t="inlineStr">
        <is>
          <t>INTERVALO DE SEGURANCA (PHI) e n.o maximo de aplicacoes</t>
        </is>
      </c>
      <c r="D6" s="3" t="inlineStr">
        <is>
          <t>Que produto esta registado para que cultura e que alvo, com que dose e que restricao, e ate quando?</t>
        </is>
      </c>
      <c r="E6" s="3" t="inlineStr">
        <is>
          <t>ING.LINKS interval 15/219 (7%) · maxApp 0/219 (0%)</t>
        </is>
      </c>
      <c r="F6" s="3" t="inlineStr">
        <is>
          <t>SIM — ha fonte nomeada</t>
        </is>
      </c>
      <c r="G6" s="3" t="inlineStr">
        <is>
          <t>STRONG</t>
        </is>
      </c>
      <c r="H6" s="3" t="inlineStr">
        <is>
          <t>Fitogest (banca dati pesquisavel POR TEMPO DI CARENZA)</t>
        </is>
      </c>
      <c r="I6" s="3" t="inlineStr">
        <is>
          <t>o contrato mede `interval` em 15/219 (7%) e `maxApp` em 0/219. O Fitogest permite FILTRAR por tempo di carenza — se filtra, tem o campo. ⚠️ Mas e' AGREGADOR: se divergir do Ministerio, o Ministerio vence. E o dominio devolve 403 ao WebFetch e abre ao urllib (ja na memoria do projeto).</t>
        </is>
      </c>
    </row>
    <row r="7">
      <c r="A7" s="5" t="inlineStr">
        <is>
          <t>CRITICAL</t>
        </is>
      </c>
      <c r="B7" s="3" t="inlineStr">
        <is>
          <t>PORTFOLIO</t>
        </is>
      </c>
      <c r="C7" s="3" t="inlineStr">
        <is>
          <t>ALTERACAO de autorizacao (o que mudou e quando)</t>
        </is>
      </c>
      <c r="D7" s="3" t="inlineStr">
        <is>
          <t>Que produto esta registado para que cultura e que alvo, com que dose e que restricao, e ate quando?</t>
        </is>
      </c>
      <c r="E7" s="3" t="inlineStr">
        <is>
          <t>ausente — nao existe registo de delta de autorizacao</t>
        </is>
      </c>
      <c r="F7" s="3" t="inlineStr">
        <is>
          <t>SIM — ha fonte nomeada</t>
        </is>
      </c>
      <c r="G7" s="3" t="inlineStr">
        <is>
          <t>STRONG</t>
        </is>
      </c>
      <c r="H7" s="3" t="inlineStr">
        <is>
          <t>Banca dati do Ministero (atualizacao diaria, comparavel entre dias) · convegno «Prodotti fitosanitari: le novità» · AgroNotizie</t>
        </is>
      </c>
      <c r="I7" s="3" t="inlineStr">
        <is>
          <t>o campo esta AUSENTE no casco. Duas vias: comparar o descarregavel diario consigo mesmo (mudanca calculada, com data exata), ou ler o convegno, que declara a mudanca com intencao comercial — ex. Bayer/Sivanto Prime, extensoes de emprego em Eriosoma lanigerum e psila da pereira.</t>
        </is>
      </c>
    </row>
    <row r="8">
      <c r="A8" s="5" t="inlineStr">
        <is>
          <t>CRITICAL</t>
        </is>
      </c>
      <c r="B8" s="3" t="inlineStr">
        <is>
          <t>PORTFOLIO</t>
        </is>
      </c>
      <c r="C8" s="3" t="inlineStr">
        <is>
          <t>Ligacao produto x janela de cultura</t>
        </is>
      </c>
      <c r="D8" s="3" t="inlineStr">
        <is>
          <t>Que produto esta registado para que cultura e que alvo, com que dose e que restricao, e ate quando?</t>
        </is>
      </c>
      <c r="E8" s="3" t="inlineStr">
        <is>
          <t>0/29 · so ITALY_LABEL_VERDICTS (12 VERIFIED) liga produto a problema</t>
        </is>
      </c>
      <c r="F8" s="3" t="inlineStr">
        <is>
          <t>NAO SE FECHA COM FONTE</t>
        </is>
      </c>
      <c r="G8" s="3" t="inlineStr">
        <is>
          <t>NAO_E_GAP_DE_FONTE</t>
        </is>
      </c>
      <c r="H8" s="3" t="inlineStr">
        <is>
          <t>—</t>
        </is>
      </c>
      <c r="I8" s="3" t="inlineStr">
        <is>
          <t>`PRODUCT_MATCHES 0/29`. E' um JOIN entre 219 produtos e 29 janelas, ambos ja em casa. Nenhum italiano publica esta ligacao — e nem devia.</t>
        </is>
      </c>
    </row>
    <row r="9">
      <c r="A9" s="5" t="inlineStr">
        <is>
          <t>CRITICAL</t>
        </is>
      </c>
      <c r="B9" s="3" t="inlineStr">
        <is>
          <t>RADAR</t>
        </is>
      </c>
      <c r="C9" s="3" t="inlineStr">
        <is>
          <t>ENTRADA: janela de cultura com data e regiao</t>
        </is>
      </c>
      <c r="D9" s="3" t="inlineStr">
        <is>
          <t>Onde cultura, problema, regiao, janela, portfolio e concorrente se cruzam?</t>
        </is>
      </c>
      <c r="E9" s="3" t="inlineStr">
        <is>
          <t>29 janelas canonicas, 0 com observacao</t>
        </is>
      </c>
      <c r="F9" s="3">
        <f> ferramenta de origem</f>
        <v/>
      </c>
      <c r="G9" s="3" t="inlineStr">
        <is>
          <t>HERDADO</t>
        </is>
      </c>
      <c r="H9" s="3">
        <f> WINDOWS</f>
        <v/>
      </c>
      <c r="I9" s="3" t="inlineStr">
        <is>
          <t>herda de WINDOWS. Nao se procura fonte propria.</t>
        </is>
      </c>
    </row>
    <row r="10">
      <c r="A10" s="5" t="inlineStr">
        <is>
          <t>CRITICAL</t>
        </is>
      </c>
      <c r="B10" s="3" t="inlineStr">
        <is>
          <t>RADAR</t>
        </is>
      </c>
      <c r="C10" s="3" t="inlineStr">
        <is>
          <t>ENTRADA: ligacao produto x problema</t>
        </is>
      </c>
      <c r="D10" s="3" t="inlineStr">
        <is>
          <t>Onde cultura, problema, regiao, janela, portfolio e concorrente se cruzam?</t>
        </is>
      </c>
      <c r="E10" s="3" t="inlineStr">
        <is>
          <t>12 triplos VERIFIED em ITALY_LABEL_VERDICTS</t>
        </is>
      </c>
      <c r="F10" s="3">
        <f> ferramenta de origem</f>
        <v/>
      </c>
      <c r="G10" s="3" t="inlineStr">
        <is>
          <t>HERDADO</t>
        </is>
      </c>
      <c r="H10" s="3">
        <f> PORTFOLIO</f>
        <v/>
      </c>
      <c r="I10" s="3" t="inlineStr">
        <is>
          <t>herda de PORTFOLIO.</t>
        </is>
      </c>
    </row>
    <row r="11">
      <c r="A11" s="5" t="inlineStr">
        <is>
          <t>CRITICAL</t>
        </is>
      </c>
      <c r="B11" s="3" t="inlineStr">
        <is>
          <t>RADAR</t>
        </is>
      </c>
      <c r="C11" s="3" t="inlineStr">
        <is>
          <t>ENTRADA: voz de campo na mesma cultura/problema</t>
        </is>
      </c>
      <c r="D11" s="3" t="inlineStr">
        <is>
          <t>Onde cultura, problema, regiao, janela, portfolio e concorrente se cruzam?</t>
        </is>
      </c>
      <c r="E11" s="3" t="inlineStr">
        <is>
          <t>17 vozes em 3 casos · nenhuma com regiao</t>
        </is>
      </c>
      <c r="F11" s="3">
        <f> ferramenta de origem</f>
        <v/>
      </c>
      <c r="G11" s="3" t="inlineStr">
        <is>
          <t>HERDADO</t>
        </is>
      </c>
      <c r="H11" s="3">
        <f> VOICES</f>
        <v/>
      </c>
      <c r="I11" s="3" t="inlineStr">
        <is>
          <t>herda de VOICES — incluindo a troca de voz.</t>
        </is>
      </c>
    </row>
    <row r="12">
      <c r="A12" s="5" t="inlineStr">
        <is>
          <t>CRITICAL</t>
        </is>
      </c>
      <c r="B12" s="3" t="inlineStr">
        <is>
          <t>RADAR</t>
        </is>
      </c>
      <c r="C12" s="3" t="inlineStr">
        <is>
          <t>ENTRADA: mercado da mesma cultura</t>
        </is>
      </c>
      <c r="D12" s="3" t="inlineStr">
        <is>
          <t>Onde cultura, problema, regiao, janela, portfolio e concorrente se cruzam?</t>
        </is>
      </c>
      <c r="E12" s="3" t="inlineStr">
        <is>
          <t>77 precos, uma fonte, 3 culturas sem nada</t>
        </is>
      </c>
      <c r="F12" s="3">
        <f> ferramenta de origem</f>
        <v/>
      </c>
      <c r="G12" s="3" t="inlineStr">
        <is>
          <t>HERDADO</t>
        </is>
      </c>
      <c r="H12" s="3">
        <f> MARKET</f>
        <v/>
      </c>
      <c r="I12" s="3" t="inlineStr">
        <is>
          <t>herda de MARKET.</t>
        </is>
      </c>
    </row>
    <row r="13">
      <c r="A13" s="5" t="inlineStr">
        <is>
          <t>CRITICAL</t>
        </is>
      </c>
      <c r="B13" s="3" t="inlineStr">
        <is>
          <t>VOICES</t>
        </is>
      </c>
      <c r="C13" s="3" t="inlineStr">
        <is>
          <t>REGIAO da voz de campo</t>
        </is>
      </c>
      <c r="D13" s="3" t="inlineStr">
        <is>
          <t>Quem, no campo italiano, esta a dizer que problema, em que cultura e em que regiao — e quando o viu?</t>
        </is>
      </c>
      <c r="E13" s="3" t="inlineStr">
        <is>
          <t>0/17 — todas NAO SEI</t>
        </is>
      </c>
      <c r="F13" s="3" t="inlineStr">
        <is>
          <t>PARCIAL — enche a coluna, troca o sujeito</t>
        </is>
      </c>
      <c r="G13" s="3" t="inlineStr">
        <is>
          <t>STRONG_MAS_TROCA_A_VOZ</t>
        </is>
      </c>
      <c r="H13" s="3" t="inlineStr">
        <is>
          <t>ARSAC (8 zonas nomeadas) · CAAR (GE/IM/SP/SV) · LaMMA (por provincia)</t>
        </is>
      </c>
      <c r="I13" s="3" t="inlineStr">
        <is>
          <t>0 de 17 vozes tem regiao. Existe fonte forte e recorrente com regiao escrita — mas e' BOLETIM TECNICO INSTITUCIONAL, nao agricultor a falar. Enche a coluna e troca o sujeito. Se a ferramenta quer saber o que o produtor do Veneto esta a dizer, isto nao responde.</t>
        </is>
      </c>
    </row>
    <row r="14">
      <c r="A14" s="5" t="inlineStr">
        <is>
          <t>CRITICAL</t>
        </is>
      </c>
      <c r="B14" s="3" t="inlineStr">
        <is>
          <t>VOICES</t>
        </is>
      </c>
      <c r="C14" s="3" t="inlineStr">
        <is>
          <t>PAPEL de quem fala (produtor? tecnico? amador?)</t>
        </is>
      </c>
      <c r="D14" s="3" t="inlineStr">
        <is>
          <t>Quem, no campo italiano, esta a dizer que problema, em que cultura e em que regiao — e quando o viu?</t>
        </is>
      </c>
      <c r="E14" s="3" t="inlineStr">
        <is>
          <t>0/17 — todas NAO SEI</t>
        </is>
      </c>
      <c r="F14" s="3" t="inlineStr">
        <is>
          <t>SIM — ha fonte nomeada</t>
        </is>
      </c>
      <c r="G14" s="3" t="inlineStr">
        <is>
          <t>STRONG</t>
        </is>
      </c>
      <c r="H14" s="3" t="inlineStr">
        <is>
          <t>CONAF e federacoes regionais dos Dottori Agronomi (o albo) · listas de participantes do Forum Fitoiatrico</t>
        </is>
      </c>
      <c r="I14" s="3" t="inlineStr">
        <is>
          <t>0 de 17 tem papel. O albo profissional da nome, papel reconhecido e territorio de inscricao — os tres de uma vez. ⚠️ Mas ENRIQUECE uma voz existente; nao cria observacao. E a busca estabeleceu que NAO EXISTE lista central de agronomos liberais que publiquem boletim proprio: sao iniciativas por estudio, fragmentadas.</t>
        </is>
      </c>
    </row>
    <row r="15">
      <c r="A15" s="5" t="inlineStr">
        <is>
          <t>CRITICAL</t>
        </is>
      </c>
      <c r="B15" s="3" t="inlineStr">
        <is>
          <t>VOICES</t>
        </is>
      </c>
      <c r="C15" s="3" t="inlineStr">
        <is>
          <t>DATA da observacao de campo</t>
        </is>
      </c>
      <c r="D15" s="3" t="inlineStr">
        <is>
          <t>Quem, no campo italiano, esta a dizer que problema, em que cultura e em que regiao — e quando o viu?</t>
        </is>
      </c>
      <c r="E15" s="3" t="inlineStr">
        <is>
          <t>0/17 absoluta · 17/17 relativa</t>
        </is>
      </c>
      <c r="F15" s="3" t="inlineStr">
        <is>
          <t>PARCIAL — enche a coluna, troca o sujeito</t>
        </is>
      </c>
      <c r="G15" s="3" t="inlineStr">
        <is>
          <t>STRONG_MAS_TROCA_A_VOZ</t>
        </is>
      </c>
      <c r="H15" s="3" t="inlineStr">
        <is>
          <t>ARSAC · CAAR · LaMMA · Consorzi Fitosanitari</t>
        </is>
      </c>
      <c r="I15" s="3" t="inlineStr">
        <is>
          <t>0 de 17 tem data. Os boletins tem data e periodo de validade no proprio titulo. ⚠️ Mas atencao a duas datas que nao sao a mesma: a data de PUBLICACAO do post e a data em que se VIU a coisa no campo. Rede social da a primeira; boletim da as duas.</t>
        </is>
      </c>
    </row>
    <row r="16">
      <c r="A16" s="5" t="inlineStr">
        <is>
          <t>CRITICAL</t>
        </is>
      </c>
      <c r="B16" s="3" t="inlineStr">
        <is>
          <t>WINDOWS</t>
        </is>
      </c>
      <c r="C16" s="3" t="inlineStr">
        <is>
          <t>FASE FENOLOGICA DA CULTURA (o que a planta esta a fazer)</t>
        </is>
      </c>
      <c r="D16" s="3" t="inlineStr">
        <is>
          <t>Que janela de cultura x problema esta aberta agora, em que regiao, e quanto tempo falta para a proxima?</t>
        </is>
      </c>
      <c r="E16" s="3" t="inlineStr">
        <is>
          <t>CAN.windows CROP_STAGE 0/29 · CROP_STAGE_SOURCE 0/29 · GENERATION_OR_STAGE 0/29</t>
        </is>
      </c>
      <c r="F16" s="3" t="inlineStr">
        <is>
          <t>SIM — ha fonte nomeada</t>
        </is>
      </c>
      <c r="G16" s="3" t="inlineStr">
        <is>
          <t>STRONG</t>
        </is>
      </c>
      <c r="H16" s="3" t="inlineStr">
        <is>
          <t>Bollettino Nazionale di Fenologia (RRN) · Notiziario Marche · CAAR Liguria · Bollettini viticoli Veneto</t>
        </is>
      </c>
      <c r="I16" s="3" t="inlineStr">
        <is>
          <t>quatro fontes com escala BBCH DECLARADA, e uma delas com o codigo numerico a vista (melo 75-77, pero 76-81, vite 79). Isto enche o `CROP_STAGE` que o contrato mede em 0 de 29.</t>
        </is>
      </c>
    </row>
    <row r="17">
      <c r="A17" s="5" t="inlineStr">
        <is>
          <t>CRITICAL</t>
        </is>
      </c>
      <c r="B17" s="3" t="inlineStr">
        <is>
          <t>WINDOWS</t>
        </is>
      </c>
      <c r="C17" s="3" t="inlineStr">
        <is>
          <t>RASTREABILIDADE: que fonte sustenta esta janela</t>
        </is>
      </c>
      <c r="D17" s="3" t="inlineStr">
        <is>
          <t>Que janela de cultura x problema esta aberta agora, em que regiao, e quanto tempo falta para a proxima?</t>
        </is>
      </c>
      <c r="E17" s="3" t="inlineStr">
        <is>
          <t>CAN.windows SOURCE_IDS 0/29</t>
        </is>
      </c>
      <c r="F17" s="3" t="inlineStr">
        <is>
          <t>NAO SE FECHA COM FONTE</t>
        </is>
      </c>
      <c r="G17" s="3" t="inlineStr">
        <is>
          <t>NAO_E_GAP_DE_FONTE</t>
        </is>
      </c>
      <c r="H17" s="3" t="inlineStr">
        <is>
          <t>—</t>
        </is>
      </c>
      <c r="I17" s="3" t="inlineStr">
        <is>
          <t>as 29 janelas canonicas tem `SOURCE_IDS = []`. Isso nao e' falta de fonte: e' falta de ESCRITA da procedencia. As fontes desta auditoria existem; ninguem anotou qual sustentou qual janela. Coletar mais nao conserta.</t>
        </is>
      </c>
    </row>
    <row r="18">
      <c r="A18" s="6" t="inlineStr">
        <is>
          <t>HIGH</t>
        </is>
      </c>
      <c r="B18" s="3" t="inlineStr">
        <is>
          <t>COMPETITORS</t>
        </is>
      </c>
      <c r="C18" s="3" t="inlineStr">
        <is>
          <t>REGIAO da atividade do concorrente</t>
        </is>
      </c>
      <c r="D18" s="3" t="inlineStr">
        <is>
          <t>O que cada concorrente esta a comunicar e a registar, para que cultura e que alvo, e quando?</t>
        </is>
      </c>
      <c r="E18" s="3" t="inlineStr">
        <is>
          <t>ausente do dado real — so pais</t>
        </is>
      </c>
      <c r="F18" s="3" t="inlineStr">
        <is>
          <t>NAO AINDA — fonte plausivel, campo nao visto</t>
        </is>
      </c>
      <c r="G18" s="3" t="inlineStr">
        <is>
          <t>WEAK</t>
        </is>
      </c>
      <c r="H18" s="3" t="inlineStr">
        <is>
          <t>AgriEvents (Emilia-Romagna) · Forum Fitoiatrico (Treviso-Belluno) · sitios de cada empresa</t>
        </is>
      </c>
      <c r="I18" s="3" t="inlineStr">
        <is>
          <t>⚠️ DUAS RAZOES PARA NAO DIZER STRONG. Primeira: o local do EVENTO nao e' a regiao da ATIVIDADE comercial — um convegno em Bolonha apresenta produtos nacionais. Segunda: a busca estabeleceu que NAO EXISTE calendario unico nacional de jornadas demonstrativas regiao a regiao; para Bayer, Corteva e BASF ha que vigiar o sitio de cada uma. Cobertura nacional aqui custa N rotas, nao uma.</t>
        </is>
      </c>
    </row>
    <row r="19">
      <c r="A19" s="6" t="inlineStr">
        <is>
          <t>HIGH</t>
        </is>
      </c>
      <c r="B19" s="3" t="inlineStr">
        <is>
          <t>COMPETITORS</t>
        </is>
      </c>
      <c r="C19" s="3" t="inlineStr">
        <is>
          <t>PESSOA do concorrente (quem fala por ele)</t>
        </is>
      </c>
      <c r="D19" s="3" t="inlineStr">
        <is>
          <t>O que cada concorrente esta a comunicar e a registar, para que cultura e que alvo, e quando?</t>
        </is>
      </c>
      <c r="E19" s="3" t="inlineStr">
        <is>
          <t>ING.PEOPLE 15 registos · ROLE 5/15 (10 = NAO SEI)</t>
        </is>
      </c>
      <c r="F19" s="3" t="inlineStr">
        <is>
          <t>SIM — ha fonte nomeada</t>
        </is>
      </c>
      <c r="G19" s="3" t="inlineStr">
        <is>
          <t>STRONG</t>
        </is>
      </c>
      <c r="H19" s="3" t="inlineStr">
        <is>
          <t>convegno de Bolonha · Forum Fitoiatrico CondifesaTVB</t>
        </is>
      </c>
      <c r="I19" s="3" t="inlineStr">
        <is>
          <t>o automatico dizia NO_SOURCE. A busca dirigida devolveu OITO pessoas nomeadas com empresa: Mattia Fumagalli (Syngenta), Sara Ciofini (Corteva), Mirko Valente (BASF), Silvano Locardi (Bayer) no convegno; Marco Pravisano (Syngenta), Marco Grandin (Bayer), Giorgio Fioretti (BASF) no Forum; mais Alessandra Moccia (IBMA Global). ⚠️ A ADAMA esta na lista de participantes do Forum: ler isto como «concorrente» obriga a excluir a propria casa.</t>
        </is>
      </c>
    </row>
    <row r="20">
      <c r="A20" s="6" t="inlineStr">
        <is>
          <t>HIGH</t>
        </is>
      </c>
      <c r="B20" s="3" t="inlineStr">
        <is>
          <t>FIELD_NET</t>
        </is>
      </c>
      <c r="C20" s="3" t="inlineStr">
        <is>
          <t>Identidade do tecnico de campo (TSR)</t>
        </is>
      </c>
      <c r="D20" s="3" t="inlineStr">
        <is>
          <t>O que a rede comercial no campo esta a relatar?</t>
        </is>
      </c>
      <c r="E20" s="3" t="inlineStr">
        <is>
          <t>ausente — fixture</t>
        </is>
      </c>
      <c r="F20" s="3" t="inlineStr">
        <is>
          <t>NAO AINDA — fonte plausivel, campo nao visto</t>
        </is>
      </c>
      <c r="G20" s="3" t="inlineStr">
        <is>
          <t>WEAK</t>
        </is>
      </c>
      <c r="H20" s="3" t="inlineStr">
        <is>
          <t>CONAF/albo (agronomos em geral) · listas de participantes</t>
        </is>
      </c>
      <c r="I20" s="3" t="inlineStr">
        <is>
          <t>o albo identifica agronomos com papel e territorio; nao identifica os tecnicos de campo DA CASA. Serve para reconhecer terceiros, nao os proprios.</t>
        </is>
      </c>
    </row>
    <row r="21">
      <c r="A21" s="6" t="inlineStr">
        <is>
          <t>HIGH</t>
        </is>
      </c>
      <c r="B21" s="3" t="inlineStr">
        <is>
          <t>FUTURE</t>
        </is>
      </c>
      <c r="C21" s="3" t="inlineStr">
        <is>
          <t>PIPELINE REGULATORIO (substancia em avaliacao/renovacao)</t>
        </is>
      </c>
      <c r="D21" s="3" t="inlineStr">
        <is>
          <t>Que sinal novo apareceu que ainda nao e um facto de campo estabelecido?</t>
        </is>
      </c>
      <c r="E21" s="3" t="inlineStr">
        <is>
          <t>ausente</t>
        </is>
      </c>
      <c r="F21" s="3" t="inlineStr">
        <is>
          <t>SIM — ha fonte nomeada</t>
        </is>
      </c>
      <c r="G21" s="3" t="inlineStr">
        <is>
          <t>STRONG</t>
        </is>
      </c>
      <c r="H21" s="3" t="inlineStr">
        <is>
          <t>EU Pesticides Database (anexo do Reg. UE 540/2011) · registo de conclusoes de peer review da EFSA</t>
        </is>
      </c>
      <c r="I21" s="3" t="inlineStr">
        <is>
          <t>o automatico dizia NO_SOURCE. E ha fonte, e o mecanismo que a torna PREVISAO esta na lei: Reg. (CE) 1107/2009 art. 15 — o pedido de renovacao entra TRES ANOS antes de expirar. A data de expiracao de hoje e' o sinal de amanha. ⚠️ E O PRAZO MUDOU: o pacote Omnibus altera o art. 43 — pedido de renovacao de AUTORIZACAO passa a ate 9 meses antes de expirar, ou 3 meses se a substancia tiver aprovacao limitada. Calcular pela regra antiga da a data errada.</t>
        </is>
      </c>
    </row>
    <row r="22">
      <c r="A22" s="6" t="inlineStr">
        <is>
          <t>HIGH</t>
        </is>
      </c>
      <c r="B22" s="3" t="inlineStr">
        <is>
          <t>FUTURE</t>
        </is>
      </c>
      <c r="C22" s="3" t="inlineStr">
        <is>
          <t>MUDANCA DE POLITICA em consulta</t>
        </is>
      </c>
      <c r="D22" s="3" t="inlineStr">
        <is>
          <t>Que sinal novo apareceu que ainda nao e um facto de campo estabelecido?</t>
        </is>
      </c>
      <c r="E22" s="3" t="inlineStr">
        <is>
          <t>ausente</t>
        </is>
      </c>
      <c r="F22" s="3" t="inlineStr">
        <is>
          <t>NAO AINDA — fonte plausivel, campo nao visto</t>
        </is>
      </c>
      <c r="G22" s="3" t="inlineStr">
        <is>
          <t>WEAK</t>
        </is>
      </c>
      <c r="H22" s="3" t="inlineStr">
        <is>
          <t>CELLAR (ja no acervo) · BUR regionais</t>
        </is>
      </c>
      <c r="I22" s="3" t="inlineStr">
        <is>
          <t>⚠️ O CELLAR da o ato ADOTADO, e a pergunta e' sobre o que esta EM CONSULTA — sao dois estagios diferentes, e confundi-los faz o sistema avisar depois de a decisao estar tomada. O portal de consultas da UE (Have Your Say) nao foi pesquisado nesta missao. Achei um exemplo regional real (a instancia do Prosecco DOC publicada no BUR do Veneto, com prazo de observacoes aberto), o que mostra que o estagio de consulta E' publicado — so nao ha rota unica.</t>
        </is>
      </c>
    </row>
    <row r="23">
      <c r="A23" s="6" t="inlineStr">
        <is>
          <t>HIGH</t>
        </is>
      </c>
      <c r="B23" s="3" t="inlineStr">
        <is>
          <t>FUTURE</t>
        </is>
      </c>
      <c r="C23" s="3" t="inlineStr">
        <is>
          <t>DESLOCACAO CLIMATICA que muda a pressao de praga</t>
        </is>
      </c>
      <c r="D23" s="3" t="inlineStr">
        <is>
          <t>Que sinal novo apareceu que ainda nao e um facto de campo estabelecido?</t>
        </is>
      </c>
      <c r="E23" s="3" t="inlineStr">
        <is>
          <t>ausente — nenhuma colecao de T2 no ITALY_INGEST</t>
        </is>
      </c>
      <c r="F23" s="3" t="inlineStr">
        <is>
          <t>SIM — ha fonte nomeada</t>
        </is>
      </c>
      <c r="G23" s="3" t="inlineStr">
        <is>
          <t>STRONG</t>
        </is>
      </c>
      <c r="H23" s="3" t="inlineStr">
        <is>
          <t>SCIA/ISPRA · Arpae ERG5 · Arpa Piemonte (series centenarias) · Campania</t>
        </is>
      </c>
      <c r="I23" s="3" t="inlineStr">
        <is>
          <t>serie longa mais anomalia face a periodo de referencia. ⚠️ Serie longa nao e' serie homogenea: comparar 1753 com 2026 exige correcao que nao vem feita.</t>
        </is>
      </c>
    </row>
    <row r="24">
      <c r="A24" s="6" t="inlineStr">
        <is>
          <t>HIGH</t>
        </is>
      </c>
      <c r="B24" s="3" t="inlineStr">
        <is>
          <t>MARKET</t>
        </is>
      </c>
      <c r="C24" s="3" t="inlineStr">
        <is>
          <t>STOCKS / existencias</t>
        </is>
      </c>
      <c r="D24" s="3" t="inlineStr">
        <is>
          <t>Como esta o mercado de cada cultura — preco, producao, oferta e custo — e o que mudou?</t>
        </is>
      </c>
      <c r="E24" s="3" t="inlineStr">
        <is>
          <t>ausente</t>
        </is>
      </c>
      <c r="F24" s="3" t="inlineStr">
        <is>
          <t>NAO AINDA — fonte plausivel, campo nao visto</t>
        </is>
      </c>
      <c r="G24" s="3" t="inlineStr">
        <is>
          <t>WEAK</t>
        </is>
      </c>
      <c r="H24" s="3" t="inlineStr">
        <is>
          <t>Cantina Italia (SIAN/CREA-MASAF, vinho, mensal por regiao) · registo telematico do azeite (AGEA/SIAN)</t>
        </is>
      </c>
      <c r="I24" s="3" t="inlineStr">
        <is>
          <t>identifiquei o DONO certo e corrigi um erro de partida: o ISMEA NAO faz recolha periodica de existencias por regiao. O que o ISMEA tem e' o censo de estruturas de armazenamento — ⚠️ CAPACIDADE, nao existencia. Um silo vazio de 10.000 t conta igual a um cheio. Fica WEAK porque a rota publica do agregado nao foi fixada.</t>
        </is>
      </c>
    </row>
    <row r="25">
      <c r="A25" s="6" t="inlineStr">
        <is>
          <t>HIGH</t>
        </is>
      </c>
      <c r="B25" s="3" t="inlineStr">
        <is>
          <t>MARKET</t>
        </is>
      </c>
      <c r="C25" s="3" t="inlineStr">
        <is>
          <t>IMPORTACAO e EXPORTACAO</t>
        </is>
      </c>
      <c r="D25" s="3" t="inlineStr">
        <is>
          <t>Como esta o mercado de cada cultura — preco, producao, oferta e custo — e o que mudou?</t>
        </is>
      </c>
      <c r="E25" s="3" t="inlineStr">
        <is>
          <t>ausente</t>
        </is>
      </c>
      <c r="F25" s="3" t="inlineStr">
        <is>
          <t>SIM — ha fonte nomeada</t>
        </is>
      </c>
      <c r="G25" s="3" t="inlineStr">
        <is>
          <t>STRONG</t>
        </is>
      </c>
      <c r="H25" s="3" t="inlineStr">
        <is>
          <t>esploradati.istat.it/coeweb · ISMEA commercio estero agroalimentare</t>
        </is>
      </c>
      <c r="I25" s="3" t="inlineStr">
        <is>
          <t>duas rotas, uma oficial e uma reclassificada por comparto agricola. ⚠️ E UM ACHADO DE MANUTENCAO: o `coeweb.istat.it` do acervo FECHOU em 30/09/2025. Rota encerrada devolve pagina, nao erro.</t>
        </is>
      </c>
    </row>
    <row r="26">
      <c r="A26" s="6" t="inlineStr">
        <is>
          <t>HIGH</t>
        </is>
      </c>
      <c r="B26" s="3" t="inlineStr">
        <is>
          <t>MARKET</t>
        </is>
      </c>
      <c r="C26" s="3" t="inlineStr">
        <is>
          <t>CUSTO DE INSUMO (pressao de custo)</t>
        </is>
      </c>
      <c r="D26" s="3" t="inlineStr">
        <is>
          <t>Como esta o mercado de cada cultura — preco, producao, oferta e custo — e o que mudou?</t>
        </is>
      </c>
      <c r="E26" s="3" t="inlineStr">
        <is>
          <t>ausente do dado real (esta no fixture)</t>
        </is>
      </c>
      <c r="F26" s="3" t="inlineStr">
        <is>
          <t>SIM — ha fonte nomeada</t>
        </is>
      </c>
      <c r="G26" s="3" t="inlineStr">
        <is>
          <t>STRONG</t>
        </is>
      </c>
      <c r="H26" s="3" t="inlineStr">
        <is>
          <t>ISMEA — indice dei prezzi dei mezzi correnti di produzione</t>
        </is>
      </c>
      <c r="I26" s="3" t="inlineStr">
        <is>
          <t>serie desde 1984, ~6.000 precos/semana em 600 referencias, mais 300 leituras mensais em 12 consorzi agrari. ⚠️ E A DESCONTINUIDADE E' PARTE DA ENTREGA: a rede foi revista em 01/2025 e os indices mensais deixam de ser comparaveis com o ano anterior; a base passa a 2020 em 01/01/2026. Ler a variacao 2024→2025 como real e' ler um artefacto de metodo.</t>
        </is>
      </c>
    </row>
    <row r="27">
      <c r="A27" s="6" t="inlineStr">
        <is>
          <t>HIGH</t>
        </is>
      </c>
      <c r="B27" s="3" t="inlineStr">
        <is>
          <t>MARKET</t>
        </is>
      </c>
      <c r="C27" s="3" t="inlineStr">
        <is>
          <t>CLIMA DE CONFIANCA do produtor</t>
        </is>
      </c>
      <c r="D27" s="3" t="inlineStr">
        <is>
          <t>Como esta o mercado de cada cultura — preco, producao, oferta e custo — e o que mudou?</t>
        </is>
      </c>
      <c r="E27" s="3" t="inlineStr">
        <is>
          <t>ausente do dado real</t>
        </is>
      </c>
      <c r="F27" s="3" t="inlineStr">
        <is>
          <t>NAO AINDA — fonte plausivel, campo nao visto</t>
        </is>
      </c>
      <c r="G27" s="3" t="inlineStr">
        <is>
          <t>WEAK</t>
        </is>
      </c>
      <c r="H27" s="3" t="inlineStr">
        <is>
          <t>IRES · ISMEA (inqueritos de conjuntura)</t>
        </is>
      </c>
      <c r="I27" s="3" t="inlineStr">
        <is>
          <t>o automatico achou um instituto de investigacao social; nao provei que publique indice de confianca agricola recorrente. Nao inflaciono.</t>
        </is>
      </c>
    </row>
    <row r="28">
      <c r="A28" s="6" t="inlineStr">
        <is>
          <t>HIGH</t>
        </is>
      </c>
      <c r="B28" s="3" t="inlineStr">
        <is>
          <t>MARKET</t>
        </is>
      </c>
      <c r="C28" s="3" t="inlineStr">
        <is>
          <t>Condicao de cultura / meteo agregado para mercado</t>
        </is>
      </c>
      <c r="D28" s="3" t="inlineStr">
        <is>
          <t>Como esta o mercado de cada cultura — preco, producao, oferta e custo — e o que mudou?</t>
        </is>
      </c>
      <c r="E28" s="3" t="inlineStr">
        <is>
          <t>ausente</t>
        </is>
      </c>
      <c r="F28" s="3" t="inlineStr">
        <is>
          <t>SIM — ha fonte nomeada</t>
        </is>
      </c>
      <c r="G28" s="3" t="inlineStr">
        <is>
          <t>STRONG</t>
        </is>
      </c>
      <c r="H28" s="3" t="inlineStr">
        <is>
          <t>SCIA/ISPRA · Arpae · Arpa Piemonte · Campania</t>
        </is>
      </c>
      <c r="I28" s="3" t="inlineStr">
        <is>
          <t>quatro redes com serie diaria descarregavel e indicadores de seca e graus-dia. O automatico propunha uma camada de rotulos NUTS: geometria nao e' meteorologia.</t>
        </is>
      </c>
    </row>
    <row r="29">
      <c r="A29" s="6" t="inlineStr">
        <is>
          <t>HIGH</t>
        </is>
      </c>
      <c r="B29" s="3" t="inlineStr">
        <is>
          <t>PORTFOLIO</t>
        </is>
      </c>
      <c r="C29" s="3" t="inlineStr">
        <is>
          <t>DOSE autorizada</t>
        </is>
      </c>
      <c r="D29" s="3" t="inlineStr">
        <is>
          <t>Que produto esta registado para que cultura e que alvo, com que dose e que restricao, e ate quando?</t>
        </is>
      </c>
      <c r="E29" s="3" t="inlineStr">
        <is>
          <t>ING.LINKS doses 35/219 (16%)</t>
        </is>
      </c>
      <c r="F29" s="3" t="inlineStr">
        <is>
          <t>NAO AINDA — fonte plausivel, campo nao visto</t>
        </is>
      </c>
      <c r="G29" s="3" t="inlineStr">
        <is>
          <t>WEAK</t>
        </is>
      </c>
      <c r="H29" s="3" t="inlineStr">
        <is>
          <t>rotulo PDF do Ministero · Fitogest</t>
        </is>
      </c>
      <c r="I29" s="3" t="inlineStr">
        <is>
          <t>a dose vive no ROTULO, nao na tabela. O projeto ja sabe abrir esses PDF (memoria: so abrem no urllib). O trabalho e' de EXTRACAO, e extracao de PDF de rotulo e' missao propria.</t>
        </is>
      </c>
    </row>
    <row r="30">
      <c r="A30" s="6" t="inlineStr">
        <is>
          <t>HIGH</t>
        </is>
      </c>
      <c r="B30" s="3" t="inlineStr">
        <is>
          <t>PORTFOLIO</t>
        </is>
      </c>
      <c r="C30" s="3" t="inlineStr">
        <is>
          <t>MOMENTO DE APLICACAO / fase da cultura na aplicacao</t>
        </is>
      </c>
      <c r="D30" s="3" t="inlineStr">
        <is>
          <t>Que produto esta registado para que cultura e que alvo, com que dose e que restricao, e ate quando?</t>
        </is>
      </c>
      <c r="E30" s="3" t="inlineStr">
        <is>
          <t>ING.LINKS tem 'timing' mas o contrato diz que o valor renderizado e fixture</t>
        </is>
      </c>
      <c r="F30" s="3" t="inlineStr">
        <is>
          <t>NAO AINDA — fonte plausivel, campo nao visto</t>
        </is>
      </c>
      <c r="G30" s="3" t="inlineStr">
        <is>
          <t>WEAK</t>
        </is>
      </c>
      <c r="H30" s="3" t="inlineStr">
        <is>
          <t>rotulo PDF</t>
        </is>
      </c>
      <c r="I30" s="3" t="inlineStr">
        <is>
          <t>mesmo problema da dose: esta no documento, nao no campo.</t>
        </is>
      </c>
    </row>
    <row r="31">
      <c r="A31" s="6" t="inlineStr">
        <is>
          <t>HIGH</t>
        </is>
      </c>
      <c r="B31" s="3" t="inlineStr">
        <is>
          <t>PORTFOLIO</t>
        </is>
      </c>
      <c r="C31" s="3" t="inlineStr">
        <is>
          <t>MECANISMO DE ACAO (FRAC/HRAC/IRAC)</t>
        </is>
      </c>
      <c r="D31" s="3" t="inlineStr">
        <is>
          <t>Que produto esta registado para que cultura e que alvo, com que dose e que restricao, e ate quando?</t>
        </is>
      </c>
      <c r="E31" s="3" t="inlineStr">
        <is>
          <t>ING.PRODUCTS frac 8/163 (5%) · irac 10/163 (6%) · hrac 52/163 (32%)</t>
        </is>
      </c>
      <c r="F31" s="3" t="inlineStr">
        <is>
          <t>NAO AINDA — fonte plausivel, campo nao visto</t>
        </is>
      </c>
      <c r="G31" s="3" t="inlineStr">
        <is>
          <t>WEAK</t>
        </is>
      </c>
      <c r="H31" s="3" t="inlineStr">
        <is>
          <t>FRAC · HRAC · IRAC (comites internacionais) · SIRFI (ja no acervo) · Fitogest</t>
        </is>
      </c>
      <c r="I31" s="3" t="inlineStr">
        <is>
          <t>⚠️ O DONO DESTE DADO NAO E' ITALIANO: a classificacao e' dos tres comites internacionais. A busca da Italia nunca o acharia, e o automatico devolveu «Cassandra Tech – Models for change», que nao tem nada a ver. Fica WEAK porque a via italiana (SIRFI, Fitogest) e' de segunda mao.</t>
        </is>
      </c>
    </row>
    <row r="32">
      <c r="A32" s="6" t="inlineStr">
        <is>
          <t>HIGH</t>
        </is>
      </c>
      <c r="B32" s="3" t="inlineStr">
        <is>
          <t>PORTFOLIO</t>
        </is>
      </c>
      <c r="C32" s="3" t="inlineStr">
        <is>
          <t>Documento oficial do rotulo (PDF) e a sua data/versao</t>
        </is>
      </c>
      <c r="D32" s="3" t="inlineStr">
        <is>
          <t>Que produto esta registado para que cultura e que alvo, com que dose e que restricao, e ate quando?</t>
        </is>
      </c>
      <c r="E32" s="3" t="inlineStr">
        <is>
          <t>ING.PRODUCTS labelUrl 163/163 · nao existe LABEL_DATE nem LABEL_VERSION</t>
        </is>
      </c>
      <c r="F32" s="3" t="inlineStr">
        <is>
          <t>SIM — ha fonte nomeada</t>
        </is>
      </c>
      <c r="G32" s="3" t="inlineStr">
        <is>
          <t>STRONG</t>
        </is>
      </c>
      <c r="H32" s="3" t="inlineStr">
        <is>
          <t>Banca dati do Ministero</t>
        </is>
      </c>
      <c r="I32" s="3" t="inlineStr">
        <is>
          <t>o rotulo e' servido pelo registo, e o projeto ja provou que o le.</t>
        </is>
      </c>
    </row>
    <row r="33">
      <c r="A33" s="6" t="inlineStr">
        <is>
          <t>HIGH</t>
        </is>
      </c>
      <c r="B33" s="3" t="inlineStr">
        <is>
          <t>PORTFOLIO</t>
        </is>
      </c>
      <c r="C33" s="3" t="inlineStr">
        <is>
          <t>AUTORIZACAO EXCECIONAL (art. 53)</t>
        </is>
      </c>
      <c r="D33" s="3" t="inlineStr">
        <is>
          <t>Que produto esta registado para que cultura e que alvo, com que dose e que restricao, e ate quando?</t>
        </is>
      </c>
      <c r="E33" s="3" t="inlineStr">
        <is>
          <t>ausente para Italia</t>
        </is>
      </c>
      <c r="F33" s="3" t="inlineStr">
        <is>
          <t>SIM — ha fonte nomeada</t>
        </is>
      </c>
      <c r="G33" s="3" t="inlineStr">
        <is>
          <t>STRONG</t>
        </is>
      </c>
      <c r="H33" s="3" t="inlineStr">
        <is>
          <t>Ministero (deroghe) · convegno de Bolonha</t>
        </is>
      </c>
      <c r="I33" s="3" t="inlineStr">
        <is>
          <t>exemplo real com nome: BASF Efficon (dimpropyridaz), uso excecional art. 53 em fruta, vite e horticolas, apresentado em 19/02/2026.</t>
        </is>
      </c>
    </row>
    <row r="34">
      <c r="A34" s="6" t="inlineStr">
        <is>
          <t>HIGH</t>
        </is>
      </c>
      <c r="B34" s="3" t="inlineStr">
        <is>
          <t>RADAR</t>
        </is>
      </c>
      <c r="C34" s="3" t="inlineStr">
        <is>
          <t>ENTRADA: sinal de concorrente na mesma cultura/problema</t>
        </is>
      </c>
      <c r="D34" s="3" t="inlineStr">
        <is>
          <t>Onde cultura, problema, regiao, janela, portfolio e concorrente se cruzam?</t>
        </is>
      </c>
      <c r="E34" s="3" t="inlineStr">
        <is>
          <t>503 atividades, 19% com problema identificado</t>
        </is>
      </c>
      <c r="F34" s="3">
        <f> ferramenta de origem</f>
        <v/>
      </c>
      <c r="G34" s="3" t="inlineStr">
        <is>
          <t>HERDADO</t>
        </is>
      </c>
      <c r="H34" s="3">
        <f> COMPETITORS</f>
        <v/>
      </c>
      <c r="I34" s="3" t="inlineStr">
        <is>
          <t>herda de COMPETITORS.</t>
        </is>
      </c>
    </row>
    <row r="35">
      <c r="A35" s="6" t="inlineStr">
        <is>
          <t>HIGH</t>
        </is>
      </c>
      <c r="B35" s="3" t="inlineStr">
        <is>
          <t>RADAR</t>
        </is>
      </c>
      <c r="C35" s="3" t="inlineStr">
        <is>
          <t>ENTRADA: ciencia da mesma cultura/problema</t>
        </is>
      </c>
      <c r="D35" s="3" t="inlineStr">
        <is>
          <t>Onde cultura, problema, regiao, janela, portfolio e concorrente se cruzam?</t>
        </is>
      </c>
      <c r="E35" s="3" t="inlineStr">
        <is>
          <t>88 trabalhos + 60 investigadores + 34 resistencias</t>
        </is>
      </c>
      <c r="F35" s="3">
        <f> ferramenta de origem</f>
        <v/>
      </c>
      <c r="G35" s="3" t="inlineStr">
        <is>
          <t>HERDADO</t>
        </is>
      </c>
      <c r="H35" s="3">
        <f> SCIENCE</f>
        <v/>
      </c>
      <c r="I35" s="3" t="inlineStr">
        <is>
          <t>herda de SCIENCE.</t>
        </is>
      </c>
    </row>
    <row r="36">
      <c r="A36" s="6" t="inlineStr">
        <is>
          <t>HIGH</t>
        </is>
      </c>
      <c r="B36" s="3" t="inlineStr">
        <is>
          <t>RADAR</t>
        </is>
      </c>
      <c r="C36" s="3" t="inlineStr">
        <is>
          <t>VOCABULARIO UNICO de cultura entre as camadas</t>
        </is>
      </c>
      <c r="D36" s="3" t="inlineStr">
        <is>
          <t>Onde cultura, problema, regiao, janela, portfolio e concorrente se cruzam?</t>
        </is>
      </c>
      <c r="E36" s="3" t="inlineStr">
        <is>
          <t>4 vocabularios de cultura em simultaneo</t>
        </is>
      </c>
      <c r="F36" s="3" t="inlineStr">
        <is>
          <t>NAO SE FECHA COM FONTE</t>
        </is>
      </c>
      <c r="G36" s="3" t="inlineStr">
        <is>
          <t>NAO_E_GAP_DE_FONTE</t>
        </is>
      </c>
      <c r="H36" s="3" t="inlineStr">
        <is>
          <t>EPPO e ISTAT ajudam, mas nao decidem</t>
        </is>
      </c>
      <c r="I36" s="3" t="inlineStr">
        <is>
          <t>a memoria do projeto ja registou que o nome da cultura chega em SEIS vocabularios que nao se falam. Ha catalogos externos que ajudam a mapear; qual deles MANDA e' decisao da casa, e essa decisao nao se coleta.</t>
        </is>
      </c>
    </row>
    <row r="37">
      <c r="A37" s="6" t="inlineStr">
        <is>
          <t>HIGH</t>
        </is>
      </c>
      <c r="B37" s="3" t="inlineStr">
        <is>
          <t>SCIENCE</t>
        </is>
      </c>
      <c r="C37" s="3" t="inlineStr">
        <is>
          <t>LOCAL DO ESTUDO (onde o ensaio foi feito)</t>
        </is>
      </c>
      <c r="D37" s="3" t="inlineStr">
        <is>
          <t>Que ciencia existe sobre esta cultura e este problema, quem a faz, onde, e o que ela mediu?</t>
        </is>
      </c>
      <c r="E37" s="3" t="inlineStr">
        <is>
          <t>ausente — IG.SCIENCE tem COUNTRY_OF_FACT, nao local do ensaio</t>
        </is>
      </c>
      <c r="F37" s="3" t="inlineStr">
        <is>
          <t>NAO AINDA — fonte plausivel, campo nao visto</t>
        </is>
      </c>
      <c r="G37" s="3" t="inlineStr">
        <is>
          <t>WEAK</t>
        </is>
      </c>
      <c r="H37" s="3" t="inlineStr">
        <is>
          <t>atas das Giornate Fitopatologiche · Versuchszentrum Laimburg · CRSFA Locorotondo</t>
        </is>
      </c>
      <c r="I37" s="3" t="inlineStr">
        <is>
          <t>as atas declaram o local no corpo do texto, nao como campo. Extrair local de prosa e' leitura, e leitura nao e' coleta.</t>
        </is>
      </c>
    </row>
    <row r="38">
      <c r="A38" s="6" t="inlineStr">
        <is>
          <t>HIGH</t>
        </is>
      </c>
      <c r="B38" s="3" t="inlineStr">
        <is>
          <t>SCIENCE</t>
        </is>
      </c>
      <c r="C38" s="3" t="inlineStr">
        <is>
          <t>METODO e RESULTADO medido (eficacia)</t>
        </is>
      </c>
      <c r="D38" s="3" t="inlineStr">
        <is>
          <t>Que ciencia existe sobre esta cultura e este problema, quem a faz, onde, e o que ela mediu?</t>
        </is>
      </c>
      <c r="E38" s="3" t="inlineStr">
        <is>
          <t>ausente — ha MATERIAL_TYPE e MATERIAL_ROLE, nao resultado</t>
        </is>
      </c>
      <c r="F38" s="3" t="inlineStr">
        <is>
          <t>NAO AINDA — fonte plausivel, campo nao visto</t>
        </is>
      </c>
      <c r="G38" s="3" t="inlineStr">
        <is>
          <t>WEAK</t>
        </is>
      </c>
      <c r="H38" s="3" t="inlineStr">
        <is>
          <t>atas das Giornate Fitopatologiche · provas demonstrativas regionais</t>
        </is>
      </c>
      <c r="I38" s="3" t="inlineStr">
        <is>
          <t>idem: existe, esta em prosa.</t>
        </is>
      </c>
    </row>
    <row r="39">
      <c r="A39" s="6" t="inlineStr">
        <is>
          <t>HIGH</t>
        </is>
      </c>
      <c r="B39" s="3" t="inlineStr">
        <is>
          <t>SCIENCE</t>
        </is>
      </c>
      <c r="C39" s="3" t="inlineStr">
        <is>
          <t>ENSAIO DE CAMPO / trial com resultado</t>
        </is>
      </c>
      <c r="D39" s="3" t="inlineStr">
        <is>
          <t>Que ciencia existe sobre esta cultura e este problema, quem a faz, onde, e o que ela mediu?</t>
        </is>
      </c>
      <c r="E39" s="3" t="inlineStr">
        <is>
          <t>ausente</t>
        </is>
      </c>
      <c r="F39" s="3" t="inlineStr">
        <is>
          <t>NAO — e a razao nao e' tecnica</t>
        </is>
      </c>
      <c r="G39" s="3" t="inlineStr">
        <is>
          <t>NO</t>
        </is>
      </c>
      <c r="H39" s="3" t="inlineStr">
        <is>
          <t>nenhuma — e a razao e' legal, nao tecnica</t>
        </is>
      </c>
      <c r="I39" s="3" t="inlineStr">
        <is>
          <t>⚠️ O ACHADO MAIS DURO DA MISSAO: os seis centros de saggio GEP italianos (Agrea, Sagea, AgriSearch, Agro Services, Agritec, Repros) fazem ensaio oficial de eficacia — e os dados sao RESERVADOS, propriedade da empresa que os encomenda, e NAO SAO PUBLICADOS. Isto nao e' gap de fonte: e' GAP DE ACESSO. Nenhuma coleta o resolve; resolve-se por contrato. O que e' divulgavel sao as provas demonstrativas regionais e as atas — que dao resultado sem dar o ensaio de registo.</t>
        </is>
      </c>
    </row>
    <row r="40">
      <c r="A40" s="6" t="inlineStr">
        <is>
          <t>HIGH</t>
        </is>
      </c>
      <c r="B40" s="3" t="inlineStr">
        <is>
          <t>SCIENCE</t>
        </is>
      </c>
      <c r="C40" s="3" t="inlineStr">
        <is>
          <t>PROJETO de investigacao (quem financia, quem participa)</t>
        </is>
      </c>
      <c r="D40" s="3" t="inlineStr">
        <is>
          <t>Que ciencia existe sobre esta cultura e este problema, quem a faz, onde, e o que ela mediu?</t>
        </is>
      </c>
      <c r="E40" s="3" t="inlineStr">
        <is>
          <t>ausente</t>
        </is>
      </c>
      <c r="F40" s="3" t="inlineStr">
        <is>
          <t>NAO AINDA — fonte plausivel, campo nao visto</t>
        </is>
      </c>
      <c r="G40" s="3" t="inlineStr">
        <is>
          <t>WEAK</t>
        </is>
      </c>
      <c r="H40" s="3" t="inlineStr">
        <is>
          <t>innovarurale / Gruppi Operativi PSR · MASAF · Rete PAC</t>
        </is>
      </c>
      <c r="I40" s="3" t="inlineStr">
        <is>
          <t>a base dos grupos operativos existe e tem financiador e parceiros; nao abri nenhuma rota dela nesta missao.</t>
        </is>
      </c>
    </row>
    <row r="41">
      <c r="A41" s="6" t="inlineStr">
        <is>
          <t>HIGH</t>
        </is>
      </c>
      <c r="B41" s="3" t="inlineStr">
        <is>
          <t>WINDOWS</t>
        </is>
      </c>
      <c r="C41" s="3" t="inlineStr">
        <is>
          <t>FASE DO PROBLEMA (em que estadio esta a praga/doenca)</t>
        </is>
      </c>
      <c r="D41" s="3" t="inlineStr">
        <is>
          <t>Que janela de cultura x problema esta aberta agora, em que regiao, e quanto tempo falta para a proxima?</t>
        </is>
      </c>
      <c r="E41" s="3" t="inlineStr">
        <is>
          <t>CAN.windows ISSUE_STAGE 0/29 · ISSUE_STAGE_SOURCE 0/29</t>
        </is>
      </c>
      <c r="F41" s="3" t="inlineStr">
        <is>
          <t>SIM — ha fonte nomeada</t>
        </is>
      </c>
      <c r="G41" s="3" t="inlineStr">
        <is>
          <t>STRONG</t>
        </is>
      </c>
      <c r="H41" s="3" t="inlineStr">
        <is>
          <t>Bollettini viticoli Veneto (stato parassitario) · Consorzi Fitosanitari de Modena e Reggio Emilia · ARSAC</t>
        </is>
      </c>
      <c r="I41" s="3" t="inlineStr">
        <is>
          <t>boletim fitossanitario tem por oficio dizer em que estadio esta a praga. E' o campo mais bem servido de toda a ferramenta.</t>
        </is>
      </c>
    </row>
    <row r="42">
      <c r="A42" s="6" t="inlineStr">
        <is>
          <t>HIGH</t>
        </is>
      </c>
      <c r="B42" s="3" t="inlineStr">
        <is>
          <t>WINDOWS</t>
        </is>
      </c>
      <c r="C42" s="3" t="inlineStr">
        <is>
          <t>OBSERVACAO DE CAMPO (fase observada, nao esperada)</t>
        </is>
      </c>
      <c r="D42" s="3" t="inlineStr">
        <is>
          <t>Que janela de cultura x problema esta aberta agora, em que regiao, e quanto tempo falta para a proxima?</t>
        </is>
      </c>
      <c r="E42" s="3" t="inlineStr">
        <is>
          <t>ING.CROP_WINDOWS OBSERVATION_DATE 2/7 · FIELD_REPORTED_STAGE 2/7 (5 = NAO SEI)</t>
        </is>
      </c>
      <c r="F42" s="3" t="inlineStr">
        <is>
          <t>SIM — ha fonte nomeada</t>
        </is>
      </c>
      <c r="G42" s="3" t="inlineStr">
        <is>
          <t>STRONG</t>
        </is>
      </c>
      <c r="H42" s="3" t="inlineStr">
        <is>
          <t>CAAR Liguria (olivais representativos da rede regional de monitorizacao) · Notiziario Marche · Agralia (observacao direta em campo) · RRN (observadores voluntarios)</t>
        </is>
      </c>
      <c r="I42" s="3" t="inlineStr">
        <is>
          <t>o contrato mede 0 de 29 janelas com fase OBSERVADA, e este era o buraco central da ferramenta. Ha quatro fontes que observam em campo, e duas dizem-no por escrito. ⚠️ O RRN mistura observacao com MODELO de simulacao: tem de entrar com a marca de origem, ou o modelo passa por olho.</t>
        </is>
      </c>
    </row>
    <row r="43">
      <c r="A43" s="6" t="inlineStr">
        <is>
          <t>HIGH</t>
        </is>
      </c>
      <c r="B43" s="3" t="inlineStr">
        <is>
          <t>WINDOWS</t>
        </is>
      </c>
      <c r="C43" s="3" t="inlineStr">
        <is>
          <t>Janela de monitorizacao (quando ir olhar)</t>
        </is>
      </c>
      <c r="D43" s="3" t="inlineStr">
        <is>
          <t>Que janela de cultura x problema esta aberta agora, em que regiao, e quanto tempo falta para a proxima?</t>
        </is>
      </c>
      <c r="E43" s="3" t="inlineStr">
        <is>
          <t>ING.CROP_WINDOWS MONITORING_WINDOW 7/7 · CAN.windows: nao tem o campo</t>
        </is>
      </c>
      <c r="F43" s="3" t="inlineStr">
        <is>
          <t>SIM — ha fonte nomeada</t>
        </is>
      </c>
      <c r="G43" s="3" t="inlineStr">
        <is>
          <t>STRONG</t>
        </is>
      </c>
      <c r="H43" s="3" t="inlineStr">
        <is>
          <t>Rete agrometeorologica da Campania (molha foliar) · ARPAV (ja no acervo, API sem chave) · Bollettini Veneto</t>
        </is>
      </c>
      <c r="I43" s="3" t="inlineStr">
        <is>
          <t>molha foliar e' o parametro que abre a janela de risco de doenca, e ha duas redes regionais a publica-lo em serie diaria.</t>
        </is>
      </c>
    </row>
    <row r="44">
      <c r="A44" s="6" t="inlineStr">
        <is>
          <t>HIGH</t>
        </is>
      </c>
      <c r="B44" s="3" t="inlineStr">
        <is>
          <t>WINDOWS</t>
        </is>
      </c>
      <c r="C44" s="3" t="inlineStr">
        <is>
          <t>ATO REGULATORIO regional que abre/fecha a janela</t>
        </is>
      </c>
      <c r="D44" s="3" t="inlineStr">
        <is>
          <t>Que janela de cultura x problema esta aberta agora, em que regiao, e quanto tempo falta para a proxima?</t>
        </is>
      </c>
      <c r="E44" s="3" t="inlineStr">
        <is>
          <t>CAN.windows REGULATORY_SOURCE 0/29 · ING.CROP_WINDOWS REGULATORY_ACT 5/7</t>
        </is>
      </c>
      <c r="F44" s="3" t="inlineStr">
        <is>
          <t>SIM — ha fonte nomeada</t>
        </is>
      </c>
      <c r="G44" s="3" t="inlineStr">
        <is>
          <t>STRONG</t>
        </is>
      </c>
      <c r="H44" s="3" t="inlineStr">
        <is>
          <t>Bollettini viticoli Veneto (janelas dos tratamentos obrigatorios contra flavescencia dourada) · protezionedellepiante.it (lotta obbligatoria)</t>
        </is>
      </c>
      <c r="I44" s="3" t="inlineStr">
        <is>
          <t>a janela obrigatoria e' publicada com data pelo proprio servico que a impoe. Fonte e autoridade sao a mesma casa — e' o caso mais forte possivel.</t>
        </is>
      </c>
    </row>
    <row r="45">
      <c r="A45" s="6" t="inlineStr">
        <is>
          <t>HIGH</t>
        </is>
      </c>
      <c r="B45" s="3" t="inlineStr">
        <is>
          <t>WINDOWS</t>
        </is>
      </c>
      <c r="C45" s="3" t="inlineStr">
        <is>
          <t>Produto registado ligado a janela</t>
        </is>
      </c>
      <c r="D45" s="3" t="inlineStr">
        <is>
          <t>Que janela de cultura x problema esta aberta agora, em que regiao, e quanto tempo falta para a proxima?</t>
        </is>
      </c>
      <c r="E45" s="3" t="inlineStr">
        <is>
          <t>CAN.windows PRODUCT_MATCHES 0/29 · LABEL_SOURCE 0/29 · LABEL_TRIGGER 0/29</t>
        </is>
      </c>
      <c r="F45" s="3" t="inlineStr">
        <is>
          <t>NAO AINDA — fonte plausivel, campo nao visto</t>
        </is>
      </c>
      <c r="G45" s="3" t="inlineStr">
        <is>
          <t>WEAK</t>
        </is>
      </c>
      <c r="H45" s="3" t="inlineStr">
        <is>
          <t>Banca dati do Ministero (um lado) + boletins (o outro lado)</t>
        </is>
      </c>
      <c r="I45" s="3" t="inlineStr">
        <is>
          <t>ha fonte para cultura+alvo do produto e fonte para cultura+problema da janela. Nao ha fonte que publique a LIGACAO: essa e' trabalho da casa.</t>
        </is>
      </c>
    </row>
    <row r="46">
      <c r="A46" s="6" t="inlineStr">
        <is>
          <t>HIGH</t>
        </is>
      </c>
      <c r="B46" s="3" t="inlineStr">
        <is>
          <t>WINDOWS</t>
        </is>
      </c>
      <c r="C46" s="3" t="inlineStr">
        <is>
          <t>Desvio fenologico por regiao (a mesma cultura adianta/atrasa)</t>
        </is>
      </c>
      <c r="D46" s="3" t="inlineStr">
        <is>
          <t>Que janela de cultura x problema esta aberta agora, em que regiao, e quanto tempo falta para a proxima?</t>
        </is>
      </c>
      <c r="E46" s="3" t="inlineStr">
        <is>
          <t>nao existe campo nenhum de offset no dado real</t>
        </is>
      </c>
      <c r="F46" s="3" t="inlineStr">
        <is>
          <t>SIM — ha fonte nomeada</t>
        </is>
      </c>
      <c r="G46" s="3" t="inlineStr">
        <is>
          <t>STRONG</t>
        </is>
      </c>
      <c r="H46" s="3" t="inlineStr">
        <is>
          <t>Arpae ERG5 «Anomalia della sommatoria gradi giorno» · SCIA/ISPRA (graus-dia) · Abruzzo AgroAmbiente · LaMMA</t>
        </is>
      </c>
      <c r="I46" s="3" t="inlineStr">
        <is>
          <t>o Arpae publica o DESVIO, nao o valor bruto — e' exatamente a forma que a pergunta pede (limiar 10 °C, media 2001–2020, grelha 5 km). E o Abruzzo quantifica o desvio geografico: ~2 semanas de atraso acima de 400 m ou a mais de 40 km da costa. Isso e' o offset por regiao, escrito.</t>
        </is>
      </c>
    </row>
  </sheetData>
  <mergeCells count="1">
    <mergeCell ref="A1:I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39"/>
  <sheetViews>
    <sheetView workbookViewId="0">
      <pane ySplit="2" topLeftCell="A3" activePane="bottomLeft" state="frozen"/>
      <selection pane="bottomLeft" activeCell="A1" sqref="A1"/>
    </sheetView>
  </sheetViews>
  <sheetFormatPr baseColWidth="8" defaultRowHeight="15"/>
  <cols>
    <col width="62" customWidth="1" min="1" max="1"/>
    <col width="62" customWidth="1" min="2" max="2"/>
    <col width="62" customWidth="1" min="3" max="3"/>
    <col width="27" customWidth="1" min="4" max="4"/>
    <col width="62" customWidth="1" min="5" max="5"/>
    <col width="62" customWidth="1" min="6" max="6"/>
    <col width="31" customWidth="1" min="7" max="7"/>
    <col width="44" customWidth="1" min="8" max="8"/>
    <col width="50" customWidth="1" min="9" max="9"/>
    <col width="14" customWidth="1" min="10" max="10"/>
    <col width="62" customWidth="1" min="11" max="11"/>
    <col width="62" customWidth="1" min="12" max="12"/>
    <col width="62" customWidth="1" min="13" max="13"/>
  </cols>
  <sheetData>
    <row r="1" ht="44" customHeight="1">
      <c r="A1" s="1" t="inlineStr">
        <is>
          <t>UMA LINHA = UMA FONTE, contada UMA VEZ mesmo quando serve varias ferramentas. Toda linha nasceu de um buraco medido, nunca de um tema. Classe A exige as dez coisas (identidade, dono, rota, exemplo real, o que produz, que necessidade alimenta, que ferramenta serve, ambito, recorrencia, evidencia); falta uma e e' B. ⚠️ NENHUMA destas rotas foi aberta por sonda nesta missao: a evidencia e' de descoberta, e rota descrita nao e' rota lida.</t>
        </is>
      </c>
    </row>
    <row r="2">
      <c r="A2" s="2" t="inlineStr">
        <is>
          <t>IDENTIDADE</t>
        </is>
      </c>
      <c r="B2" s="2" t="inlineStr">
        <is>
          <t>OWNER</t>
        </is>
      </c>
      <c r="C2" s="2" t="inlineStr">
        <is>
          <t>URL</t>
        </is>
      </c>
      <c r="D2" s="2" t="inlineStr">
        <is>
          <t>CLASSE</t>
        </is>
      </c>
      <c r="E2" s="2" t="inlineStr">
        <is>
          <t>O_QUE_PRODUZ</t>
        </is>
      </c>
      <c r="F2" s="2" t="inlineStr">
        <is>
          <t>EXEMPLO_REAL</t>
        </is>
      </c>
      <c r="G2" s="2" t="inlineStr">
        <is>
          <t>QUANTAS_NECESSIDADES_ALIMENTA</t>
        </is>
      </c>
      <c r="H2" s="2" t="inlineStr">
        <is>
          <t>QUE_FERRAMENTAS_SERVE</t>
        </is>
      </c>
      <c r="I2" s="2" t="inlineStr">
        <is>
          <t>AMBITO_GEOGRAFICO</t>
        </is>
      </c>
      <c r="J2" s="2" t="inlineStr">
        <is>
          <t>TERRITORIO</t>
        </is>
      </c>
      <c r="K2" s="2" t="inlineStr">
        <is>
          <t>RECURRING_POTENTIAL</t>
        </is>
      </c>
      <c r="L2" s="2" t="inlineStr">
        <is>
          <t>EVIDENCIA</t>
        </is>
      </c>
      <c r="M2" s="2" t="inlineStr">
        <is>
          <t>LIMITE_DECLARADO</t>
        </is>
      </c>
    </row>
    <row r="3">
      <c r="A3" s="3" t="inlineStr">
        <is>
          <t>Calendario fenologico e Forum Fitoiatrico del Condifesa TVB</t>
        </is>
      </c>
      <c r="B3" s="3" t="inlineStr">
        <is>
          <t>Condifesa Treviso e Belluno</t>
        </is>
      </c>
      <c r="C3" s="3" t="inlineStr">
        <is>
          <t>https://www.condifesatvb.it/forum-fitoiatrico/</t>
        </is>
      </c>
      <c r="D3" s="3" t="inlineStr">
        <is>
          <t>A</t>
        </is>
      </c>
      <c r="E3" s="3" t="inlineStr">
        <is>
          <t>calendario fenologico da campanha E o Forum Fitoiatrico, onde tecnicos das empresas de agrofarmacos e do servico fitossanitario regional falam NOMEADOS, com a sua funcao declarada</t>
        </is>
      </c>
      <c r="F3" s="3" t="inlineStr">
        <is>
          <t>edicao 2026 com Dario Bond (Assessore Agricoltura Regione Veneto), referentes da U.O. Fitosanitario regional, e tecnicos nomeados: Marco Pravisano (Syngenta), Marco Grandin (Bayer), Giorgio Fioretti (BASF) — mais Upl, Sipcam, Nufarm, Gowan, Fmc, Diachem, Certis Belchim, CBC Europe, ADAMA, Suterra, Sumitomo</t>
        </is>
      </c>
      <c r="G3" s="3" t="n">
        <v>8</v>
      </c>
      <c r="H3" s="3" t="inlineStr">
        <is>
          <t>COMPETITORS · FIELD_NET · VOICES · WINDOWS</t>
        </is>
      </c>
      <c r="I3" s="3" t="inlineStr">
        <is>
          <t>Treviso e Belluno (Veneto)</t>
        </is>
      </c>
      <c r="J3" s="3" t="inlineStr">
        <is>
          <t>T1 T3 T8 T11</t>
        </is>
      </c>
      <c r="K3" s="3" t="inlineStr">
        <is>
          <t>MEDIUM — anual (forum) mais serie de campanha (calendario)</t>
        </is>
      </c>
      <c r="L3" s="3" t="inlineStr">
        <is>
          <t>busca dirigida ao gap, 2026-09-14: a lista de participantes com nome, empresa e funcao apareceu na propria descricao do forum. E' o unico achado da missao que entrega PESSOA + PAPEL + EMPRESA + REGIAO + DATA de uma vez</t>
        </is>
      </c>
      <c r="M3" s="3" t="inlineStr">
        <is>
          <t>a ADAMA esta na lista. Ler isto como «atividade de concorrente» obriga a excluir a propria casa do calculo.</t>
        </is>
      </c>
    </row>
    <row r="4">
      <c r="A4" s="3" t="inlineStr">
        <is>
          <t>Banca dati dei prodotti fitosanitari</t>
        </is>
      </c>
      <c r="B4" s="3" t="inlineStr">
        <is>
          <t>Ministero della Salute</t>
        </is>
      </c>
      <c r="C4" s="3" t="inlineStr">
        <is>
          <t>https://www.fitosanitari.salute.gov.it/</t>
        </is>
      </c>
      <c r="D4" s="3" t="inlineStr">
        <is>
          <t>A</t>
        </is>
      </c>
      <c r="E4" s="3" t="inlineStr">
        <is>
          <t>registo oficial do produto: numero de registo, titular, cultura e alvo autorizados, com atualizacao diaria e descarga do conjunto completo (~16.500 produtos)</t>
        </is>
      </c>
      <c r="F4" s="3" t="inlineStr">
        <is>
          <t>base oficial com atualizacao diaria e ficheiro integral descarregavel</t>
        </is>
      </c>
      <c r="G4" s="3" t="n">
        <v>8</v>
      </c>
      <c r="H4" s="3" t="inlineStr">
        <is>
          <t>COMPETITORS · PORTFOLIO · RADAR</t>
        </is>
      </c>
      <c r="I4" s="3" t="inlineStr">
        <is>
          <t>NACIONAL</t>
        </is>
      </c>
      <c r="J4" s="3" t="inlineStr">
        <is>
          <t>T4</t>
        </is>
      </c>
      <c r="K4" s="3" t="inlineStr">
        <is>
          <t>HIGH — diaria</t>
        </is>
      </c>
      <c r="L4" s="3" t="inlineStr">
        <is>
          <t>busca dirigida ao gap, 2026-09-14: volume e periodicidade declarados; o acervo ja conhece esta casa (ver memoria: os rotulos so abrem no urllib)</t>
        </is>
      </c>
      <c r="M4" s="3" t="inlineStr">
        <is>
          <t>⚠️ O QUE FALTA ESTA DENTRO DO PDF: a carencia e a dose maxima NAO estao na tabela — vivem no ROTULO. Isso explica `interval 15/219 (7%)` e `maxApp 0/219`. O gap nao e' de fonte: e' de EXTRACAO.</t>
        </is>
      </c>
    </row>
    <row r="5">
      <c r="A5" s="3" t="inlineStr">
        <is>
          <t>Convegno «Prodotti fitosanitari: le novità»</t>
        </is>
      </c>
      <c r="B5" s="3" t="inlineStr">
        <is>
          <t>Regione Emilia-Romagna — Settore Fitosanitario, com as empresas de agrofarmacos</t>
        </is>
      </c>
      <c r="C5" s="3" t="inlineStr">
        <is>
          <t>https://agricoltura.regione.emilia-romagna.it/fitosanitario/incontri-e-convegni/prodotti-fitosanitari-novita-2026</t>
        </is>
      </c>
      <c r="D5" s="3" t="inlineStr">
        <is>
          <t>A</t>
        </is>
      </c>
      <c r="E5" s="3" t="inlineStr">
        <is>
          <t>as proprias empresas apresentam, uma a uma, novidade de gama e EXTENSAO DE USO, com substancia ativa, cultura e alvo nomeados</t>
        </is>
      </c>
      <c r="F5" s="3" t="inlineStr">
        <is>
          <t>Bologna, 19/02/2026, &gt;860 tecnicos inscritos. Syngenta — Boxer Evo (diflufenican + prosulfocarb) para girassol, batata e trigo; Corteva — Fencade (pyroxsulam + mesosulfuron), graminicida do trigo; BASF — Efficon (dimpropyridaz), uso excecional art. 53 em fruta, vite e horticolas; Bayer — Sivanto Prime (flupyradifurone), extensoes de emprego em Eriosoma lanigerum e psila da pereira</t>
        </is>
      </c>
      <c r="G5" s="3" t="n">
        <v>7</v>
      </c>
      <c r="H5" s="3" t="inlineStr">
        <is>
          <t>COMPETITORS · FUTURE · PORTFOLIO</t>
        </is>
      </c>
      <c r="I5" s="3" t="inlineStr">
        <is>
          <t>Emilia-Romagna como sede; o conteudo e' NACIONAL</t>
        </is>
      </c>
      <c r="J5" s="3" t="inlineStr">
        <is>
          <t>T4 T9 T11</t>
        </is>
      </c>
      <c r="K5" s="3" t="inlineStr">
        <is>
          <t>MEDIUM — anual, mas com data fixa e programa publicado</t>
        </is>
      </c>
      <c r="L5" s="3" t="inlineStr">
        <is>
          <t>busca dirigida ao gap, 2026-09-14: quatro produtos de quatro empresas concorrentes, com substancia ativa e cultura, lidos no programa do convegno — mais dois aprofundamentos (Decreto Omnibus para biocontrolo, por Alessandra Moccia/IBMA; medidas de mitigacao para artropodes nao alvo, por Maria Rita Rapagnani/Ministero)</t>
        </is>
      </c>
      <c r="M5" s="3" t="inlineStr">
        <is>
          <t>uma vez por ano. Nao substitui vigilancia continua da base oficial; serve para ler INTENCAO comercial, que a base nao mostra.</t>
        </is>
      </c>
    </row>
    <row r="6">
      <c r="A6" s="3" t="inlineStr">
        <is>
          <t>Bollettino agrometeorologico e fitosanitario ARSAC</t>
        </is>
      </c>
      <c r="B6" s="3" t="inlineStr">
        <is>
          <t>ARSAC — Azienda Regionale per lo Sviluppo dell'Agricoltura Calabrese</t>
        </is>
      </c>
      <c r="C6" s="3" t="inlineStr">
        <is>
          <t>https://www.arsacweb.it/bollettino-agrometeorologico-e-fitosanitario-agrumi-olivo-e-vite/</t>
        </is>
      </c>
      <c r="D6" s="3" t="inlineStr">
        <is>
          <t>A</t>
        </is>
      </c>
      <c r="E6" s="3" t="inlineStr">
        <is>
          <t>situacao meteorologica E FENOLOGICA de vite, olivo, agrumi e kiwi, para 8 AREAS CLIMATICAMENTE HOMOGENEAS da regiao, com validade semanal datada</t>
        </is>
      </c>
      <c r="F6" s="3" t="inlineStr">
        <is>
          <t>«BOLLETTINO … valido dal 25 agosto al 1 settembre 2026» — e as 8 areas nomeadas: Cosenza Tirrenica, Cosenza Ionica, Piana di Lamezia e Vibo, Catanzarese, Crotonese, Ionio Reggino-Reggio, Tirreno Reggino, Locride</t>
        </is>
      </c>
      <c r="G6" s="3" t="n">
        <v>5</v>
      </c>
      <c r="H6" s="3" t="inlineStr">
        <is>
          <t>VOICES · WINDOWS</t>
        </is>
      </c>
      <c r="I6" s="3" t="inlineStr">
        <is>
          <t>Calabria, subdividida em 8 zonas</t>
        </is>
      </c>
      <c r="J6" s="3" t="inlineStr">
        <is>
          <t>T1 T2 T3</t>
        </is>
      </c>
      <c r="K6" s="3" t="inlineStr">
        <is>
          <t>HIGH — semanal, com intervalo de validade explicito</t>
        </is>
      </c>
      <c r="L6" s="3" t="inlineStr">
        <is>
          <t>busca dirigida ao gap, 2026-09-14: seis titulos datados diferentes da mesma serie apareceram na busca, de maio a setembro de 2026 — recorrencia visivel sem abrir o arquivo</t>
        </is>
      </c>
      <c r="M6" s="3" t="inlineStr">
        <is>
          <t>⚠️ DUAS ROTAS PARA O MESMO DONO: `arsacweb.it` e `arsac.calabria.it` publicam a mesma serie. E' SAME_SOURCE_VARIANT_URL, nao duas fontes.</t>
        </is>
      </c>
    </row>
    <row r="7">
      <c r="A7" s="3" t="inlineStr">
        <is>
          <t>Bollettini di viticoltura e di olivicoltura del CAAR</t>
        </is>
      </c>
      <c r="B7" s="3" t="inlineStr">
        <is>
          <t>Regione Liguria — CAAR / Servizi Imprese Agricole</t>
        </is>
      </c>
      <c r="C7" s="3" t="inlineStr">
        <is>
          <t>https://www.agriligurianet.it/it/impresa/assistenza-tecnica-e-centri-serivizio/agrometeo-caar/bollettino-di-olivicoltura.html</t>
        </is>
      </c>
      <c r="D7" s="3" t="inlineStr">
        <is>
          <t>A</t>
        </is>
      </c>
      <c r="E7" s="3" t="inlineStr">
        <is>
          <t>andamento fenologico do olivo SEGUNDO A ESCALA BBCH em olivais representativos da rede regional de monitorizacao, com destaque para floracao, vingamento e maturacao; serie paralela para vite</t>
        </is>
      </c>
      <c r="F7" s="3" t="inlineStr">
        <is>
          <t>«Olivo n. 03 – 19 marzo», com versoes separadas por provincia (GE · IM · SP · SV) — numeracao progressiva mais data</t>
        </is>
      </c>
      <c r="G7" s="3" t="n">
        <v>5</v>
      </c>
      <c r="H7" s="3" t="inlineStr">
        <is>
          <t>VOICES · WINDOWS</t>
        </is>
      </c>
      <c r="I7" s="3" t="inlineStr">
        <is>
          <t>Liguria, por provincia (GE/IM/SP/SV)</t>
        </is>
      </c>
      <c r="J7" s="3" t="inlineStr">
        <is>
          <t>T1 T2 T3</t>
        </is>
      </c>
      <c r="K7" s="3" t="inlineStr">
        <is>
          <t>HIGH — semanal de abril a setembro, mensal de outubro a marco</t>
        </is>
      </c>
      <c r="L7" s="3" t="inlineStr">
        <is>
          <t>busca dirigida ao gap, 2026-09-14: a periodicidade dupla (semanal/mensal) e a numeracao com data estao descritas na propria pagina</t>
        </is>
      </c>
      <c r="M7" s="3" t="inlineStr">
        <is>
          <t>o dono publica em dois sitios (`agriligurianet.it` e `sia.regione.liguria.it`). Mesmo dono, rotas diferentes.</t>
        </is>
      </c>
    </row>
    <row r="8">
      <c r="A8" s="3" t="inlineStr">
        <is>
          <t>Giornate Fitopatologiche — atti e programma</t>
        </is>
      </c>
      <c r="B8" s="3" t="inlineStr">
        <is>
          <t>Comitato delle Giornate Fitopatologiche (universidades italianas)</t>
        </is>
      </c>
      <c r="C8" s="3" t="inlineStr">
        <is>
          <t>https://giornatefitopatologiche.it/</t>
        </is>
      </c>
      <c r="D8" s="3" t="inlineStr">
        <is>
          <t>A</t>
        </is>
      </c>
      <c r="E8" s="3" t="inlineStr">
        <is>
          <t>comunicacoes com LOCAL do ensaio, metodo, tese comparada e resultado de eficacia — a literatura divulgavel de ensaio de campo italiano</t>
        </is>
      </c>
      <c r="F8" s="3" t="inlineStr">
        <is>
          <t>edicao 2026, 19–20 de marco, com programa por sessao: «Agrofarmaci, salute, ambiente» (19/03, 8h45), «Applicazione dei mezzi di difesa» (10h30), «Difesa dalle malattie» (tarde de 19 e manha de 20, encerramento as 13h30); inclui contribuicoes de empresa, ex. Matteo Colombo (European Precision Application Task Force, por Corteva Italia)</t>
        </is>
      </c>
      <c r="G8" s="3" t="n">
        <v>5</v>
      </c>
      <c r="H8" s="3" t="inlineStr">
        <is>
          <t>COMPETITORS · SCIENCE</t>
        </is>
      </c>
      <c r="I8" s="3" t="inlineStr">
        <is>
          <t>NACIONAL</t>
        </is>
      </c>
      <c r="J8" s="3" t="inlineStr">
        <is>
          <t>T5 T11</t>
        </is>
      </c>
      <c r="K8" s="3" t="inlineStr">
        <is>
          <t>MEDIUM — bienal/anual, com atas publicadas</t>
        </is>
      </c>
      <c r="L8" s="3" t="inlineStr">
        <is>
          <t>busca dirigida ao gap, 2026-09-14: programa datado com sessoes e horas, e um autor de empresa nomeado com a sua filiacao</t>
        </is>
      </c>
      <c r="M8" s="3" t="inlineStr">
        <is>
          <t>atas sao evento, nao fluxo. Entre edicoes, silencio.</t>
        </is>
      </c>
    </row>
    <row r="9">
      <c r="A9" s="3" t="inlineStr">
        <is>
          <t>Boletim tecnico assinado como portador de regiao+papel+data</t>
        </is>
      </c>
      <c r="B9" s="3" t="inlineStr">
        <is>
          <t>padrao observado em: ARSAC (Calabria), CAAR (Liguria), LaMMA (Toscana), Condifesa TVB (Veneto), Consorzi Fitosanitari (Emilia)</t>
        </is>
      </c>
      <c r="C9" s="3" t="inlineStr">
        <is>
          <t>https://www.agriligurianet.it/it/impresa/assistenza-tecnica-e-centri-serivizio/agrometeo-caar/bollettino-di-viticoltura.html</t>
        </is>
      </c>
      <c r="D9" s="3" t="inlineStr">
        <is>
          <t>A</t>
        </is>
      </c>
      <c r="E9" s="3" t="inlineStr">
        <is>
          <t>o cabecalho padrao que resolve os tres gaps de VOICES ao mesmo tempo: «nome do boletim – culturas – ZONA homogenea – numero progressivo – DATA/periodo de validade», assinado por um servico com PAPEL declarado</t>
        </is>
      </c>
      <c r="F9" s="3" t="inlineStr">
        <is>
          <t>ARSAC: «valido dal 25 agosto al 1 settembre 2026» + 8 zonas nomeadas. CAAR: «Olivo n. 03 – 19 marzo», versoes GE/IM/SP/SV</t>
        </is>
      </c>
      <c r="G9" s="3" t="n">
        <v>5</v>
      </c>
      <c r="H9" s="3" t="inlineStr">
        <is>
          <t>RADAR · VOICES</t>
        </is>
      </c>
      <c r="I9" s="3" t="inlineStr">
        <is>
          <t>regional, replicavel nas 20 regioes</t>
        </is>
      </c>
      <c r="J9" s="3" t="inlineStr">
        <is>
          <t>T1 T3 T8</t>
        </is>
      </c>
      <c r="K9" s="3" t="inlineStr">
        <is>
          <t>HIGH — semanal na campanha</t>
        </is>
      </c>
      <c r="L9" s="3" t="inlineStr">
        <is>
          <t>busca dirigida ao gap, 2026-09-14: duas series independentes (Calabria e Liguria) com o MESMO formato de cabecalho — zona + numero + data. Nao e' excecao de uma regiao: e' o padrao do sistema italiano</t>
        </is>
      </c>
      <c r="M9" s="3" t="inlineStr">
        <is>
          <t>⚠️ ISTO NAO E' «VOZ DE CAMPO» NO SENTIDO DE AGRICULTOR A FALAR. E' TECNICO INSTITUCIONAL. Se a ferramenta VOICES quer a palavra de quem cultiva, isto nao a substitui — enche tres colunas, nao a quarta. O gap de voz de PRODUTOR com regiao e data continua aberto, e a busca nao achou fonte recorrente para ele.</t>
        </is>
      </c>
    </row>
    <row r="10">
      <c r="A10" s="3" t="inlineStr">
        <is>
          <t>Bollettini viticoli del Servizio Fitosanitario del Veneto</t>
        </is>
      </c>
      <c r="B10" s="3" t="inlineStr">
        <is>
          <t>Regione del Veneto — U.O. Fitosanitario</t>
        </is>
      </c>
      <c r="C10" s="3" t="inlineStr">
        <is>
          <t>https://www.regione.veneto.it/web/fitosanitario/bollettini-viticoli</t>
        </is>
      </c>
      <c r="D10" s="3" t="inlineStr">
        <is>
          <t>A</t>
        </is>
      </c>
      <c r="E10" s="3" t="inlineStr">
        <is>
          <t>fase fenologica BBCH por VITIGNO, separando ambiente precoce de tardio, mais estado parasitario e indicacoes de defesa</t>
        </is>
      </c>
      <c r="F10" s="3" t="inlineStr">
        <is>
          <t>pagina «Bollettini fitosanitari 2026» com serie datada da campanha, incluindo janelas dos tratamentos obrigatorios contra flavescencia dourada</t>
        </is>
      </c>
      <c r="G10" s="3" t="n">
        <v>4</v>
      </c>
      <c r="H10" s="3" t="inlineStr">
        <is>
          <t>RADAR · WINDOWS</t>
        </is>
      </c>
      <c r="I10" s="3" t="inlineStr">
        <is>
          <t>Veneto</t>
        </is>
      </c>
      <c r="J10" s="3" t="inlineStr">
        <is>
          <t>T1 T3</t>
        </is>
      </c>
      <c r="K10" s="3" t="inlineStr">
        <is>
          <t>HIGH — semanal na campanha</t>
        </is>
      </c>
      <c r="L10" s="3" t="inlineStr">
        <is>
          <t>busca dirigida ao gap, 2026-09-14: separacao precoce/tardio e ligacao a luta obrigatoria descritas na propria pagina do servico</t>
        </is>
      </c>
      <c r="M10" s="3" t="inlineStr">
        <is>
          <t>a serie e' sazonal: fora da campanha nao publica.</t>
        </is>
      </c>
    </row>
    <row r="11">
      <c r="A11" s="3" t="inlineStr">
        <is>
          <t>Bollettino Nazionale di Fenologia</t>
        </is>
      </c>
      <c r="B11" s="3" t="inlineStr">
        <is>
          <t>Rete Rurale Nazionale (RRN) / MASAF</t>
        </is>
      </c>
      <c r="C11" s="3" t="inlineStr">
        <is>
          <t>https://www.reterurale.it/bollettinofeno</t>
        </is>
      </c>
      <c r="D11" s="3" t="inlineStr">
        <is>
          <t>A</t>
        </is>
      </c>
      <c r="E11" s="3" t="inlineStr">
        <is>
          <t>boletim de fenologia com escala BBCH por cultura, cruzando modelo de simulacao, dados MeteoHub/CINECA e observacao de campo de voluntarios</t>
        </is>
      </c>
      <c r="F11" s="3" t="inlineStr">
        <is>
          <t>boletim periodico nacional com fase BBCH declarada por cultura</t>
        </is>
      </c>
      <c r="G11" s="3" t="n">
        <v>3</v>
      </c>
      <c r="H11" s="3" t="inlineStr">
        <is>
          <t>RADAR · WINDOWS</t>
        </is>
      </c>
      <c r="I11" s="3" t="inlineStr">
        <is>
          <t>NACIONAL, com detalhe regional</t>
        </is>
      </c>
      <c r="J11" s="3" t="inlineStr">
        <is>
          <t>T1 T2</t>
        </is>
      </c>
      <c r="K11" s="3" t="inlineStr">
        <is>
          <t>HIGH — periodicidade declarada</t>
        </is>
      </c>
      <c r="L11" s="3" t="inlineStr">
        <is>
          <t>busca dirigida ao gap, 2026-09-14: o proprio sitio descreve a escala BBCH e as tres entradas (modelo, MeteoHub/CINECA, observadores de campo)</t>
        </is>
      </c>
      <c r="M11" s="3" t="inlineStr">
        <is>
          <t>parte do dado vem de MODELO. Fase modelada nao e' fase observada, e o contrato pede observada. Tem de vir com a marca de origem.</t>
        </is>
      </c>
    </row>
    <row r="12">
      <c r="A12" s="3" t="inlineStr">
        <is>
          <t>Bollettino Vite Integrato provinciale</t>
        </is>
      </c>
      <c r="B12" s="3" t="inlineStr">
        <is>
          <t>Consorzio LaMMA (Toscana)</t>
        </is>
      </c>
      <c r="C12" s="3" t="inlineStr">
        <is>
          <t>https://www.lamma.toscana.it/previ/ita/agrometeo/</t>
        </is>
      </c>
      <c r="D12" s="3" t="inlineStr">
        <is>
          <t>A</t>
        </is>
      </c>
      <c r="E12" s="3" t="inlineStr">
        <is>
          <t>avaliacao do estado fenologico do vinhedo por PROVINCIA, com a heterogeneidade dentro da provincia escrita em texto</t>
        </is>
      </c>
      <c r="F12" s="3" t="inlineStr">
        <is>
          <t>Bollettino Vite Integrato, Provincia di Siena, 16/04/2026: brotos de 8–10 cm em algumas areas, retoma vegetativa mais tardia noutras</t>
        </is>
      </c>
      <c r="G12" s="3" t="n">
        <v>3</v>
      </c>
      <c r="H12" s="3" t="inlineStr">
        <is>
          <t>WINDOWS</t>
        </is>
      </c>
      <c r="I12" s="3" t="inlineStr">
        <is>
          <t>Toscana, por provincia</t>
        </is>
      </c>
      <c r="J12" s="3" t="inlineStr">
        <is>
          <t>T1 T2</t>
        </is>
      </c>
      <c r="K12" s="3" t="inlineStr">
        <is>
          <t>HIGH — serie provincial datada na campanha</t>
        </is>
      </c>
      <c r="L12" s="3" t="inlineStr">
        <is>
          <t>busca dirigida ao gap, 2026-09-14: a rota devolveu um boletim com data e medida concreta (8–10 cm) — exemplo real, nao promessa</t>
        </is>
      </c>
      <c r="M12" s="3" t="inlineStr">
        <is>
          <t>mede em centimetros de broto, nao em codigo BBCH: precisa de conversao, e conversao e' interpretacao.</t>
        </is>
      </c>
    </row>
    <row r="13">
      <c r="A13" s="3" t="inlineStr">
        <is>
          <t>Notiziario agrofenologico e di difesa (olivo, vite)</t>
        </is>
      </c>
      <c r="B13" s="3" t="inlineStr">
        <is>
          <t>Consorzi Fitosanitari Provinciali di Modena e Reggio Emilia</t>
        </is>
      </c>
      <c r="C13" s="3" t="inlineStr">
        <is>
          <t>https://www.fitosanitario.mo.it/fito3/notiziario-agrofenologico-e-di-difesa-della-coltura-dell-oli</t>
        </is>
      </c>
      <c r="D13" s="3" t="inlineStr">
        <is>
          <t>A</t>
        </is>
      </c>
      <c r="E13" s="3" t="inlineStr">
        <is>
          <t>notiziario AGROFENOLOGICO provincial (Modena: ARPO OLIVO) e boletim antiperonosporico/antioidico da vite (Reggio Emilia)</t>
        </is>
      </c>
      <c r="F13" s="3" t="inlineStr">
        <is>
          <t>secao «BOLLETTINO ARPO OLIVO» no sitio de Modena; «bollettino antiperonosporico» em `fitosanitario.re.it`</t>
        </is>
      </c>
      <c r="G13" s="3" t="n">
        <v>3</v>
      </c>
      <c r="H13" s="3" t="inlineStr">
        <is>
          <t>WINDOWS</t>
        </is>
      </c>
      <c r="I13" s="3" t="inlineStr">
        <is>
          <t>provincias de Modena e Reggio Emilia</t>
        </is>
      </c>
      <c r="J13" s="3" t="inlineStr">
        <is>
          <t>T1 T3</t>
        </is>
      </c>
      <c r="K13" s="3" t="inlineStr">
        <is>
          <t>HIGH — serie de campanha</t>
        </is>
      </c>
      <c r="L13" s="3" t="inlineStr">
        <is>
          <t>busca dirigida ao gap, 2026-09-14: duas rotas provinciais distintas, ambas com secao de boletim nomeada</t>
        </is>
      </c>
      <c r="M13" s="3" t="inlineStr">
        <is>
          <t>sao DOIS donos distintos (dois consorzi), nao um.</t>
        </is>
      </c>
    </row>
    <row r="14">
      <c r="A14" s="3" t="inlineStr">
        <is>
          <t>Banca dati Fitogest</t>
        </is>
      </c>
      <c r="B14" s="3" t="inlineStr">
        <is>
          <t>Image Line Network</t>
        </is>
      </c>
      <c r="C14" s="3" t="inlineStr">
        <is>
          <t>https://fitogest.imagelinenetwork.com/it/banca-dati-e-portale/</t>
        </is>
      </c>
      <c r="D14" s="3" t="inlineStr">
        <is>
          <t>A</t>
        </is>
      </c>
      <c r="E14" s="3" t="inlineStr">
        <is>
          <t>a mesma populacao de produtos, mas PESQUISAVEL POR TEMPO DI CARENZA — filtro que a base do Ministerio nao oferece</t>
        </is>
      </c>
      <c r="F14" s="3" t="inlineStr">
        <is>
          <t>portal declara a filtragem por tempo di carenza entre os criterios de busca</t>
        </is>
      </c>
      <c r="G14" s="3" t="n">
        <v>3</v>
      </c>
      <c r="H14" s="3" t="inlineStr">
        <is>
          <t>PORTFOLIO</t>
        </is>
      </c>
      <c r="I14" s="3" t="inlineStr">
        <is>
          <t>NACIONAL</t>
        </is>
      </c>
      <c r="J14" s="3" t="inlineStr">
        <is>
          <t>T4</t>
        </is>
      </c>
      <c r="K14" s="3" t="inlineStr">
        <is>
          <t>HIGH — segue o registo oficial</t>
        </is>
      </c>
      <c r="L14" s="3" t="inlineStr">
        <is>
          <t>busca dirigida ao gap, 2026-09-14: a capacidade de filtrar por carencia e' a razao de esta linha existir — resolve exatamente o campo que falta</t>
        </is>
      </c>
      <c r="M14" s="3" t="inlineStr">
        <is>
          <t>⚠️ E' AGREGADOR, nao autoridade. Se divergir do Ministerio, o Ministerio vence. E a memoria do projeto diz que este dominio devolve 403 ao WebFetch e abre ao urllib.</t>
        </is>
      </c>
    </row>
    <row r="15">
      <c r="A15" s="3" t="inlineStr">
        <is>
          <t>Protezione delle Piante — Emergenze, Sorveglianza, Barriere</t>
        </is>
      </c>
      <c r="B15" s="3" t="inlineStr">
        <is>
          <t>Servizio Fitosanitario Nazionale (MASAF)</t>
        </is>
      </c>
      <c r="C15" s="3" t="inlineStr">
        <is>
          <t>https://www.protezionedellepiante.it/</t>
        </is>
      </c>
      <c r="D15" s="3" t="inlineStr">
        <is>
          <t>A</t>
        </is>
      </c>
      <c r="E15" s="3" t="inlineStr">
        <is>
          <t>declaracao oficial de PRIMEIRA DETECAO de organismo nocivo, vigilancia (Piano Nazionale di Indagine) e barreiras fitossanitarias</t>
        </is>
      </c>
      <c r="F15" s="3" t="inlineStr">
        <is>
          <t>secoes nomeadas «Emergenze Fitosanitarie», «Sorveglianza», «Barriere Fitosanitarie»; o Servizio Fitosanitario Centrale e' chefiado por Bruno Faraglia; laboratorios «Custos Plantis»</t>
        </is>
      </c>
      <c r="G15" s="3" t="n">
        <v>3</v>
      </c>
      <c r="H15" s="3" t="inlineStr">
        <is>
          <t>FUTURE · WINDOWS</t>
        </is>
      </c>
      <c r="I15" s="3" t="inlineStr">
        <is>
          <t>NACIONAL, com regiao na declaracao</t>
        </is>
      </c>
      <c r="J15" s="3" t="inlineStr">
        <is>
          <t>T3 T9</t>
        </is>
      </c>
      <c r="K15" s="3" t="inlineStr">
        <is>
          <t>HIGH — por evento, e evento ha sempre</t>
        </is>
      </c>
      <c r="L15" s="3" t="inlineStr">
        <is>
          <t>busca dirigida ao gap, 2026-09-14: as tres secoes e o nome do responsavel do servico central foram lidos na propria estrutura do sitio</t>
        </is>
      </c>
      <c r="M15" s="3" t="inlineStr">
        <is>
          <t>primeira detecao e' evento raro por definicao. Serie curta, valor alto — o contrario de um boletim semanal.</t>
        </is>
      </c>
    </row>
    <row r="16">
      <c r="A16" s="3" t="inlineStr">
        <is>
          <t>EU Pesticides Database + registo de conclusoes de peer review</t>
        </is>
      </c>
      <c r="B16" s="3" t="inlineStr">
        <is>
          <t>Comissao Europeia (DG SANTE) e EFSA</t>
        </is>
      </c>
      <c r="C16" s="3" t="inlineStr">
        <is>
          <t>https://food.ec.europa.eu/plants/pesticides/eu-pesticides-database_en</t>
        </is>
      </c>
      <c r="D16" s="3" t="inlineStr">
        <is>
          <t>A</t>
        </is>
      </c>
      <c r="E16" s="3" t="inlineStr">
        <is>
          <t>substancias ativas aprovadas com DATA DE EXPIRACAO (anexo do Reg. UE 540/2011) e o estado da avaliacao/renovacao de cada uma</t>
        </is>
      </c>
      <c r="F16" s="3" t="inlineStr">
        <is>
          <t>Reg. (CE) 1107/2009 art. 15: o pedido de renovacao entra TRES ANOS antes de expirar — e' esse prazo que torna a base um sinal de futuro, e nao um registo do presente</t>
        </is>
      </c>
      <c r="G16" s="3" t="n">
        <v>3</v>
      </c>
      <c r="H16" s="3" t="inlineStr">
        <is>
          <t>FUTURE · PORTFOLIO</t>
        </is>
      </c>
      <c r="I16" s="3" t="inlineStr">
        <is>
          <t>EUROPEU — vale para Italia por via da UE</t>
        </is>
      </c>
      <c r="J16" s="3" t="inlineStr">
        <is>
          <t>T4 T9</t>
        </is>
      </c>
      <c r="K16" s="3" t="inlineStr">
        <is>
          <t>HIGH — continua</t>
        </is>
      </c>
      <c r="L16" s="3" t="inlineStr">
        <is>
          <t>busca dirigida ao gap, 2026-09-14: artigo 15 do 1107/2009 e o anexo do 540/2011 identificados como o par que da a lista e o prazo</t>
        </is>
      </c>
      <c r="M16" s="3" t="inlineStr">
        <is>
          <t>⚠️ DUAS COISAS QUE NAO SE MISTURAM: substancia ativa aprovada na UE ≠ produto autorizado em Italia. A mesma substancia pode estar aprovada e nao ter produto nacional. E ⚠️ O PRAZO MUDOU: o pacote Omnibus altera o art. 43 — pedido de renovacao de AUTORIZACAO passa a ate 9 meses antes de expirar (3 meses se a substancia tiver aprovacao limitada). Quem calcular pela regra antiga erra a data.</t>
        </is>
      </c>
    </row>
    <row r="17">
      <c r="A17" s="3" t="inlineStr">
        <is>
          <t>SCIA — Sistema nazionale per l'elaborazione e diffusione di dati climatici</t>
        </is>
      </c>
      <c r="B17" s="3" t="inlineStr">
        <is>
          <t>ISPRA</t>
        </is>
      </c>
      <c r="C17" s="3" t="inlineStr">
        <is>
          <t>https://scia.isprambiente.it/dati-e-indicatori/</t>
        </is>
      </c>
      <c r="D17" s="3" t="inlineStr">
        <is>
          <t>A</t>
        </is>
      </c>
      <c r="E17" s="3" t="inlineStr">
        <is>
          <t>indicadores climaticos por ESTACAO, com descarga de serie temporal ao passo dia/decada/mes/ano, mais analise interpolada em grelha — e inclui GRAUS-DIA</t>
        </is>
      </c>
      <c r="F17" s="3" t="inlineStr">
        <is>
          <t>tres funcoes declaradas: STAZIONI (mapa e metadados), SERIE TEMPORALI (extrair e descarregar serie por estacao e passo), ANALISI (distribuicao espacial interpolada, com descarga da grelha)</t>
        </is>
      </c>
      <c r="G17" s="3" t="n">
        <v>3</v>
      </c>
      <c r="H17" s="3" t="inlineStr">
        <is>
          <t>FUTURE · MARKET · WINDOWS</t>
        </is>
      </c>
      <c r="I17" s="3" t="inlineStr">
        <is>
          <t>NACIONAL — agrega as redes regionais</t>
        </is>
      </c>
      <c r="J17" s="3" t="inlineStr">
        <is>
          <t>T2</t>
        </is>
      </c>
      <c r="K17" s="3" t="inlineStr">
        <is>
          <t>HIGH — serie continua</t>
        </is>
      </c>
      <c r="L17" s="3" t="inlineStr">
        <is>
          <t>busca dirigida ao gap, 2026-09-14: as tres funcoes e a presenca de graus-dia entre os indicadores estao descritas na propria pagina do SCIA</t>
        </is>
      </c>
      <c r="M17" s="3" t="inlineStr">
        <is>
          <t>descarga por interface, nao API REST documentada. Automatizar exige trabalho, e esse trabalho nao esta feito.</t>
        </is>
      </c>
    </row>
    <row r="18">
      <c r="A18" s="3" t="inlineStr">
        <is>
          <t>Federazioni e Ordini dei Dottori Agronomi e Forestali</t>
        </is>
      </c>
      <c r="B18" s="3" t="inlineStr">
        <is>
          <t>CONAF e as federacoes regionais</t>
        </is>
      </c>
      <c r="C18" s="3" t="inlineStr">
        <is>
          <t>https://www.conaf.it/</t>
        </is>
      </c>
      <c r="D18" s="3" t="inlineStr">
        <is>
          <t>A</t>
        </is>
      </c>
      <c r="E18" s="3" t="inlineStr">
        <is>
          <t>o ALBO: nome, PAPEL profissional reconhecido e TERRITORIO de inscricao — os tres campos que faltam as 17 vozes do casco</t>
        </is>
      </c>
      <c r="F18" s="3" t="inlineStr">
        <is>
          <t>a missao anterior ja mediu uma federacao que vai mais longe e PRODUZ boletim: `agronomiforestaliumbria.it` publica boletins fitossanitarios de olivo e vite</t>
        </is>
      </c>
      <c r="G18" s="3" t="n">
        <v>3</v>
      </c>
      <c r="H18" s="3" t="inlineStr">
        <is>
          <t>FIELD_NET · VOICES</t>
        </is>
      </c>
      <c r="I18" s="3" t="inlineStr">
        <is>
          <t>NACIONAL, por federacao regional</t>
        </is>
      </c>
      <c r="J18" s="3" t="inlineStr">
        <is>
          <t>T8</t>
        </is>
      </c>
      <c r="K18" s="3" t="inlineStr">
        <is>
          <t>HIGH — o albo e' mantido</t>
        </is>
      </c>
      <c r="L18" s="3" t="inlineStr">
        <is>
          <t>busca dirigida ao gap, 2026-09-14: a busca por «agronomo que publica boletim proprio» devolveu esta conclusao explicita — NAO EXISTE albo nem lista central de agronomos liberais que publiquem boletim proprio; sao iniciativas fragmentadas por estudio. O albo da o papel e o territorio; o boletim, quando existe, e' de cada um</t>
        </is>
      </c>
      <c r="M18" s="3" t="inlineStr">
        <is>
          <t>⚠️ O ALBO NAO E' UMA FONTE DE OBSERVACAO DE CAMPO. Da o papel e a regiao de QUEM fala. Nao da o que foi visto nem quando. Serve para ENRIQUECER uma voz, nao para a criar.</t>
        </is>
      </c>
    </row>
    <row r="19">
      <c r="A19" s="3" t="inlineStr">
        <is>
          <t>Notiziario agrometeorologico e fitosanitario delle Marche</t>
        </is>
      </c>
      <c r="B19" s="3" t="inlineStr">
        <is>
          <t>Regione Marche — ASSAM / Servizio Agrometeo</t>
        </is>
      </c>
      <c r="C19" s="3" t="inlineStr">
        <is>
          <t>https://meteo.regione.marche.it/</t>
        </is>
      </c>
      <c r="D19" s="3" t="inlineStr">
        <is>
          <t>A</t>
        </is>
      </c>
      <c r="E19" s="3" t="inlineStr">
        <is>
          <t>notiziario com CODIGO BBCH explicito por cultura</t>
        </is>
      </c>
      <c r="F19" s="3" t="inlineStr">
        <is>
          <t>melo BBCH 75-77 · pero BBCH 76-81 · vite BBCH 79</t>
        </is>
      </c>
      <c r="G19" s="3" t="n">
        <v>2</v>
      </c>
      <c r="H19" s="3" t="inlineStr">
        <is>
          <t>WINDOWS</t>
        </is>
      </c>
      <c r="I19" s="3" t="inlineStr">
        <is>
          <t>Marche</t>
        </is>
      </c>
      <c r="J19" s="3" t="inlineStr">
        <is>
          <t>T1 T2</t>
        </is>
      </c>
      <c r="K19" s="3" t="inlineStr">
        <is>
          <t>HIGH — notiziario periodico</t>
        </is>
      </c>
      <c r="L19" s="3" t="inlineStr">
        <is>
          <t>busca dirigida ao gap, 2026-09-14: codigos BBCH numericos por cultura lidos no notiziario</t>
        </is>
      </c>
      <c r="M19" s="3" t="inlineStr">
        <is>
          <t>o ASSAM tem historico de rota atras de login (`assam-agrometeo.invionews.net` foi controle negativo da missao anterior). Confirmar qual das rotas e' publica.</t>
        </is>
      </c>
    </row>
    <row r="20">
      <c r="A20" s="3" t="inlineStr">
        <is>
          <t>Dataflow DCSP_COLTIVAZIONI (coltivazioni: superficie, produzione, resa)</t>
        </is>
      </c>
      <c r="B20" s="3" t="inlineStr">
        <is>
          <t>ISTAT</t>
        </is>
      </c>
      <c r="C20" s="3" t="inlineStr">
        <is>
          <t>https://esploradati.istat.it/SDMXWS/rest/</t>
        </is>
      </c>
      <c r="D20" s="3" t="inlineStr">
        <is>
          <t>A</t>
        </is>
      </c>
      <c r="E20" s="3" t="inlineStr">
        <is>
          <t>superficie, producao colhida e rendimento por cultura, com estimativas MENSAIS e desagregacao por regiao, provincia e ZONA ALTIMETRICA</t>
        </is>
      </c>
      <c r="F20" s="3" t="inlineStr">
        <is>
          <t>dataflow `DCSP_COLTIVAZIONI` servido por API SDMX; partes do dado chegam de terceiros declarados — arroz do Enterisi, tabaco da Agea, beterraba da ABSI</t>
        </is>
      </c>
      <c r="G20" s="3" t="n">
        <v>2</v>
      </c>
      <c r="H20" s="3" t="inlineStr">
        <is>
          <t>MARKET · RADAR</t>
        </is>
      </c>
      <c r="I20" s="3" t="inlineStr">
        <is>
          <t>NACIONAL com regiao, provincia e altimetria</t>
        </is>
      </c>
      <c r="J20" s="3" t="inlineStr">
        <is>
          <t>T10</t>
        </is>
      </c>
      <c r="K20" s="3" t="inlineStr">
        <is>
          <t>HIGH — estimativas mensais, serie anual consolidada</t>
        </is>
      </c>
      <c r="L20" s="3" t="inlineStr">
        <is>
          <t>busca dirigida ao gap, 2026-09-14: nome do dataflow e raiz do servico SDMX identificados; as tres fontes terceiras estao declaradas pelo ISTAT</t>
        </is>
      </c>
      <c r="M20" s="3" t="inlineStr">
        <is>
          <t>a zona altimetrica nao e' a regiao agronomica do boletim fitossanitario. Juntar as duas e' trabalho, nao e' leitura.</t>
        </is>
      </c>
    </row>
    <row r="21">
      <c r="A21" s="3" t="inlineStr">
        <is>
          <t>Indice dei prezzi dei mezzi correnti di produzione</t>
        </is>
      </c>
      <c r="B21" s="3" t="inlineStr">
        <is>
          <t>ISMEA</t>
        </is>
      </c>
      <c r="C21" s="3" t="inlineStr">
        <is>
          <t>https://www.ismeamercati.it/</t>
        </is>
      </c>
      <c r="D21" s="3" t="inlineStr">
        <is>
          <t>A</t>
        </is>
      </c>
      <c r="E21" s="3" t="inlineStr">
        <is>
          <t>indice mensal do preco dos meios correntes de producao (fertilizante, fitossanitario, energia, semente), serie desde 1984</t>
        </is>
      </c>
      <c r="F21" s="3" t="inlineStr">
        <is>
          <t>~6.000 precos por semana para 600 referencias, mais ~300 leituras mensais em 12 consorzi agrari</t>
        </is>
      </c>
      <c r="G21" s="3" t="n">
        <v>2</v>
      </c>
      <c r="H21" s="3" t="inlineStr">
        <is>
          <t>MARKET</t>
        </is>
      </c>
      <c r="I21" s="3" t="inlineStr">
        <is>
          <t>NACIONAL</t>
        </is>
      </c>
      <c r="J21" s="3" t="inlineStr">
        <is>
          <t>T10</t>
        </is>
      </c>
      <c r="K21" s="3" t="inlineStr">
        <is>
          <t>HIGH — mensal, com recolha semanal por tras</t>
        </is>
      </c>
      <c r="L21" s="3" t="inlineStr">
        <is>
          <t>busca dirigida ao gap, 2026-09-14: volumes de recolha e data de inicio da serie declarados pelo ISMEA</t>
        </is>
      </c>
      <c r="M21" s="3" t="inlineStr">
        <is>
          <t>⚠️ DESCONTINUIDADE DECLARADA, E E' GRAVE PARA SERIE: a rede de recolha foi revista a partir de JANEIRO DE 2025, e os indices mensais deixam de ser comparaveis com o ano anterior. A base muda para 2020 a partir de 01/01/2026. Comparar 2024 com 2025 sem saber disto produz uma variacao que nao aconteceu.</t>
        </is>
      </c>
    </row>
    <row r="22">
      <c r="A22" s="3" t="inlineStr">
        <is>
          <t>Rete di rilevazione Ismea–Unione Seminativi</t>
        </is>
      </c>
      <c r="B22" s="3" t="inlineStr">
        <is>
          <t>ISMEA com a Unione Seminativi</t>
        </is>
      </c>
      <c r="C22" s="3" t="inlineStr">
        <is>
          <t>https://www.ismea.it/flex/cm/pages/ServeBLOB.php/L/IT/IDPagina/482</t>
        </is>
      </c>
      <c r="D22" s="3" t="inlineStr">
        <is>
          <t>A</t>
        </is>
      </c>
      <c r="E22" s="3" t="inlineStr">
        <is>
          <t>informacao quali-quantitativa sobre a campanha EM CURSO, por questionario a peritos e operadores</t>
        </is>
      </c>
      <c r="F22" s="3" t="inlineStr">
        <is>
          <t>23 estacoes de levantamento no centro e norte de Italia, nas provincias mais significativas para a cultura em estudo; resultados declarados PROVISORIOS e de conjuntura</t>
        </is>
      </c>
      <c r="G22" s="3" t="n">
        <v>2</v>
      </c>
      <c r="H22" s="3" t="inlineStr">
        <is>
          <t>FUTURE · MARKET</t>
        </is>
      </c>
      <c r="I22" s="3" t="inlineStr">
        <is>
          <t>centro e norte de Italia, 23 pontos</t>
        </is>
      </c>
      <c r="J22" s="3" t="inlineStr">
        <is>
          <t>T10 T9</t>
        </is>
      </c>
      <c r="K22" s="3" t="inlineStr">
        <is>
          <t>HIGH — periodica na campanha</t>
        </is>
      </c>
      <c r="L22" s="3" t="inlineStr">
        <is>
          <t>busca dirigida ao gap, 2026-09-14: o proprio ISMEA declara os resultados como provisorios e complementares ao oficial (Istat, Agea, Mipaaf)</t>
        </is>
      </c>
      <c r="M22" s="3" t="inlineStr">
        <is>
          <t>⚠️ E' EXPECTATIVA DE PERITO, nao medicao. Serve a ferramenta de SINAL; usa-la como producao mede opiniao e chama-lhe colheita.</t>
        </is>
      </c>
    </row>
    <row r="23">
      <c r="A23" s="3" t="inlineStr">
        <is>
          <t>ERG5 e o indicador «Anomalia della sommatoria gradi giorno»</t>
        </is>
      </c>
      <c r="B23" s="3" t="inlineStr">
        <is>
          <t>Arpae Emilia-Romagna</t>
        </is>
      </c>
      <c r="C23" s="3" t="inlineStr">
        <is>
          <t>https://webbook.arpae.it/clima/</t>
        </is>
      </c>
      <c r="D23" s="3" t="inlineStr">
        <is>
          <t>A</t>
        </is>
      </c>
      <c r="E23" s="3" t="inlineStr">
        <is>
          <t>o DESVIO da soma termica acumulada face a media de referencia — exatamente a forma «anomalia», nao o valor bruto</t>
        </is>
      </c>
      <c r="F23" s="3" t="inlineStr">
        <is>
          <t>«Anomalia della sommatoria gradi giorno per colture primaverili-estive»: desvio da disponibilidade termica acumulada desde 1 de janeiro (limiar 10 °C) face a media 2001–2020; rede RIRER, interpolacao PRAGA, grelha 5×5 km, cobertura 1961–2023</t>
        </is>
      </c>
      <c r="G23" s="3" t="n">
        <v>2</v>
      </c>
      <c r="H23" s="3" t="inlineStr">
        <is>
          <t>FUTURE · WINDOWS</t>
        </is>
      </c>
      <c r="I23" s="3" t="inlineStr">
        <is>
          <t>Emilia-Romagna, em grelha de 5 km</t>
        </is>
      </c>
      <c r="J23" s="3" t="inlineStr">
        <is>
          <t>T2</t>
        </is>
      </c>
      <c r="K23" s="3" t="inlineStr">
        <is>
          <t>HIGH — semanal (mapas) sobre serie de 1961</t>
        </is>
      </c>
      <c r="L23" s="3" t="inlineStr">
        <is>
          <t>busca dirigida ao gap, 2026-09-14: limiar, periodo de referencia, rede, metodo de interpolacao, resolucao e cobertura todos declarados</t>
        </is>
      </c>
      <c r="M23" s="3" t="inlineStr">
        <is>
          <t>uma regiao. O metodo e' o modelo a copiar; a cobertura nao e'.</t>
        </is>
      </c>
    </row>
    <row r="24">
      <c r="A24" s="3" t="inlineStr">
        <is>
          <t>Banca Dati Storica meteo-idro-nivologica</t>
        </is>
      </c>
      <c r="B24" s="3" t="inlineStr">
        <is>
          <t>Arpa Piemonte</t>
        </is>
      </c>
      <c r="C24" s="3" t="inlineStr">
        <is>
          <t>https://www.arpa.piemonte.it/dato/banca-dati-storica-dati-giornalieri-mensili</t>
        </is>
      </c>
      <c r="D24" s="3" t="inlineStr">
        <is>
          <t>A</t>
        </is>
      </c>
      <c r="E24" s="3" t="inlineStr">
        <is>
          <t>serie diaria e mensal de todas as estacoes da rede regional desde o inicio dos sensores: temperatura, precipitacao, humidade relativa, radiacao, vento</t>
        </is>
      </c>
      <c r="F24" s="3" t="inlineStr">
        <is>
          <t>inclui as Series Centenarias — Torino-centro desde 1753, Moncalieri desde 1866</t>
        </is>
      </c>
      <c r="G24" s="3" t="n">
        <v>2</v>
      </c>
      <c r="H24" s="3" t="inlineStr">
        <is>
          <t>FUTURE · MARKET</t>
        </is>
      </c>
      <c r="I24" s="3" t="inlineStr">
        <is>
          <t>Piemonte</t>
        </is>
      </c>
      <c r="J24" s="3" t="inlineStr">
        <is>
          <t>T2</t>
        </is>
      </c>
      <c r="K24" s="3" t="inlineStr">
        <is>
          <t>HIGH — diaria</t>
        </is>
      </c>
      <c r="L24" s="3" t="inlineStr">
        <is>
          <t>busca dirigida ao gap, 2026-09-14: variaveis e series centenarias declaradas na pagina</t>
        </is>
      </c>
      <c r="M24" s="3" t="inlineStr">
        <is>
          <t>serie longa nao e' serie homogenea. Comparar 1753 com 2026 exige correcao que nao vem feita.</t>
        </is>
      </c>
    </row>
    <row r="25">
      <c r="A25" s="3" t="inlineStr">
        <is>
          <t>Rete agrometeorologica regionale (archivio dati)</t>
        </is>
      </c>
      <c r="B25" s="3" t="inlineStr">
        <is>
          <t>Regione Campania — Assessorato Agricoltura</t>
        </is>
      </c>
      <c r="C25" s="3" t="inlineStr">
        <is>
          <t>https://agricoltura.regione.campania.it/meteo/archivio_meteo.html</t>
        </is>
      </c>
      <c r="D25" s="3" t="inlineStr">
        <is>
          <t>A</t>
        </is>
      </c>
      <c r="E25" s="3" t="inlineStr">
        <is>
          <t>dado diario de temperatura, humidade e chuva, MAIS parametros agrometeorologicos: MOLHA FOLIAR e humidade do solo, em Excel</t>
        </is>
      </c>
      <c r="F25" s="3" t="inlineStr">
        <is>
          <t>descarga declarada em formato Excel, com bagnatura fogliare entre os parametros</t>
        </is>
      </c>
      <c r="G25" s="3" t="n">
        <v>2</v>
      </c>
      <c r="H25" s="3" t="inlineStr">
        <is>
          <t>FUTURE · WINDOWS</t>
        </is>
      </c>
      <c r="I25" s="3" t="inlineStr">
        <is>
          <t>Campania</t>
        </is>
      </c>
      <c r="J25" s="3" t="inlineStr">
        <is>
          <t>T2 T3</t>
        </is>
      </c>
      <c r="K25" s="3" t="inlineStr">
        <is>
          <t>HIGH — diaria</t>
        </is>
      </c>
      <c r="L25" s="3" t="inlineStr">
        <is>
          <t>busca dirigida ao gap, 2026-09-14: a molha foliar e' o parametro que liga clima a risco de doenca, e esta declarada como descarregavel</t>
        </is>
      </c>
      <c r="M25" s="3" t="inlineStr">
        <is>
          <t>Excel por interface. E a memoria do projeto ja registou o mesmo parametro na ARPAV por API REST sem chave — a ARPAV e' a rota mais facil para o mesmo tipo de dado.</t>
        </is>
      </c>
    </row>
    <row r="26">
      <c r="A26" s="3" t="inlineStr">
        <is>
          <t>AgriEvents — calendario di eventi tecnici regionali</t>
        </is>
      </c>
      <c r="B26" s="3" t="inlineStr">
        <is>
          <t>Regione Emilia-Romagna</t>
        </is>
      </c>
      <c r="C26" s="3" t="inlineStr">
        <is>
          <t>https://agricoltura.regione.emilia-romagna.it/fitosanitario/eventi/</t>
        </is>
      </c>
      <c r="D26" s="3" t="inlineStr">
        <is>
          <t>A</t>
        </is>
      </c>
      <c r="E26" s="3" t="inlineStr">
        <is>
          <t>calendario com inscricao dos eventos do Settore Fitosanitario, onde as empresas apresentam</t>
        </is>
      </c>
      <c r="F26" s="3" t="inlineStr">
        <is>
          <t>portal usado para inscricao presencial e web nos eventos do setor; alberga as Giornate Fitopatologiche 2026 e o convegno de novidades</t>
        </is>
      </c>
      <c r="G26" s="3" t="n">
        <v>2</v>
      </c>
      <c r="H26" s="3" t="inlineStr">
        <is>
          <t>COMPETITORS</t>
        </is>
      </c>
      <c r="I26" s="3" t="inlineStr">
        <is>
          <t>Emilia-Romagna</t>
        </is>
      </c>
      <c r="J26" s="3" t="inlineStr">
        <is>
          <t>T11 T8</t>
        </is>
      </c>
      <c r="K26" s="3" t="inlineStr">
        <is>
          <t>HIGH — calendario vivo</t>
        </is>
      </c>
      <c r="L26" s="3" t="inlineStr">
        <is>
          <t>busca dirigida ao gap, 2026-09-14: o portal e' nomeado como o canal de inscricao dos eventos do servico fitossanitario regional</t>
        </is>
      </c>
      <c r="M26" s="3" t="inlineStr">
        <is>
          <t>uma regiao. ⚠️ E A BUSCA ESTABELECEU QUE NAO EXISTE calendario unico nacional de jornadas demonstrativas regiao a regiao. Para Bayer, Corteva e BASF, o calendario esta no sitio de cada uma — ou seja: cobertura nacional de atividade de concorrente exige vigiar N sitios, nao um.</t>
        </is>
      </c>
    </row>
    <row r="27">
      <c r="A27" s="3" t="inlineStr">
        <is>
          <t>Coeweb — statistiche del commercio estero (nuova sede)</t>
        </is>
      </c>
      <c r="B27" s="3" t="inlineStr">
        <is>
          <t>ISTAT</t>
        </is>
      </c>
      <c r="C27" s="3" t="inlineStr">
        <is>
          <t>https://esploradati.istat.it/coeweb</t>
        </is>
      </c>
      <c r="D27" s="3" t="inlineStr">
        <is>
          <t>A</t>
        </is>
      </c>
      <c r="E27" s="3" t="inlineStr">
        <is>
          <t>importacao e exportacao por produto, pais e provincia</t>
        </is>
      </c>
      <c r="F27" s="3" t="inlineStr">
        <is>
          <t>a plataforma antiga `coeweb.istat.it` foi ENCERRADA em 30/09/2025 e o servico passou para `esploradati.istat.it/coeweb`</t>
        </is>
      </c>
      <c r="G27" s="3" t="n">
        <v>1</v>
      </c>
      <c r="H27" s="3" t="inlineStr">
        <is>
          <t>MARKET</t>
        </is>
      </c>
      <c r="I27" s="3" t="inlineStr">
        <is>
          <t>NACIONAL, com provincia</t>
        </is>
      </c>
      <c r="J27" s="3" t="inlineStr">
        <is>
          <t>T10</t>
        </is>
      </c>
      <c r="K27" s="3" t="inlineStr">
        <is>
          <t>HIGH — mensal</t>
        </is>
      </c>
      <c r="L27" s="3" t="inlineStr">
        <is>
          <t>busca dirigida ao gap, 2026-09-14: o encerramento e a nova sede estao declarados pelo proprio ISTAT</t>
        </is>
      </c>
      <c r="M27" s="3" t="inlineStr">
        <is>
          <t>⚠️ ACHADO DE MANUTENCAO, NAO DE DESCOBERTA: o acervo aponta para a sede antiga. Quem coletar de `coeweb.istat.it` nao recebe erro obvio — recebe uma pagina. Ver DEAD_ROUTES.</t>
        </is>
      </c>
    </row>
    <row r="28">
      <c r="A28" s="3" t="inlineStr">
        <is>
          <t>Commercio estero agroalimentare (banca dati)</t>
        </is>
      </c>
      <c r="B28" s="3" t="inlineStr">
        <is>
          <t>ISMEA</t>
        </is>
      </c>
      <c r="C28" s="3" t="inlineStr">
        <is>
          <t>https://www.ismeamercati.it/dati-agroalimentare/commercio-estero</t>
        </is>
      </c>
      <c r="D28" s="3" t="inlineStr">
        <is>
          <t>A</t>
        </is>
      </c>
      <c r="E28" s="3" t="inlineStr">
        <is>
          <t>comercio externo agroalimentar RECLASSIFICADO por comparto agricola (nao por codigo aduaneiro cru), em 4 vistas, com drilldown e exportacao xls/csv/pdf</t>
        </is>
      </c>
      <c r="F28" s="3" t="inlineStr">
        <is>
          <t>banca dati com as quatro vistas e a exportacao declaradas</t>
        </is>
      </c>
      <c r="G28" s="3" t="n">
        <v>1</v>
      </c>
      <c r="H28" s="3" t="inlineStr">
        <is>
          <t>MARKET</t>
        </is>
      </c>
      <c r="I28" s="3" t="inlineStr">
        <is>
          <t>NACIONAL</t>
        </is>
      </c>
      <c r="J28" s="3" t="inlineStr">
        <is>
          <t>T10</t>
        </is>
      </c>
      <c r="K28" s="3" t="inlineStr">
        <is>
          <t>HIGH — acompanha a serie ISTAT</t>
        </is>
      </c>
      <c r="L28" s="3" t="inlineStr">
        <is>
          <t>busca dirigida ao gap, 2026-09-14: a reclassificacao por comparto e' o que a torna diferente do ISTAT cru — e e' a que serve a pergunta agricola</t>
        </is>
      </c>
      <c r="M28" s="3" t="inlineStr">
        <is>
          <t>reclassificacao e' decisao do ISMEA. Bom para ler cultura; nao reconcilia com o ISTAT linha a linha.</t>
        </is>
      </c>
    </row>
    <row r="29">
      <c r="A29" s="3" t="inlineStr">
        <is>
          <t>Bollettini fenologici di uno studio agronomico privato (Agralia)</t>
        </is>
      </c>
      <c r="B29" s="3" t="inlineStr">
        <is>
          <t>Agralia Studio Agronomico — Brescia</t>
        </is>
      </c>
      <c r="C29" s="3" t="inlineStr">
        <is>
          <t>https://www.agralia.it/</t>
        </is>
      </c>
      <c r="D29" s="3" t="inlineStr">
        <is>
          <t>B</t>
        </is>
      </c>
      <c r="E29" s="3" t="inlineStr">
        <is>
          <t>boletim periodico proprio para viticultura e olivicultura, cruzando chuva, temperatura, MOLHA FOLIAR e humidade com observacao direta em campo, e concluindo em posicionamento de tratamento</t>
        </is>
      </c>
      <c r="F29" s="3" t="inlineStr">
        <is>
          <t>servico de monitorizacao agrometeorologica descrito com as quatro variaveis e o cruzamento com observacao direta</t>
        </is>
      </c>
      <c r="G29" s="3" t="n">
        <v>4</v>
      </c>
      <c r="H29" s="3" t="inlineStr">
        <is>
          <t>VOICES · WINDOWS</t>
        </is>
      </c>
      <c r="I29" s="3" t="inlineStr">
        <is>
          <t>Brescia / Lombardia</t>
        </is>
      </c>
      <c r="J29" s="3" t="inlineStr">
        <is>
          <t>T1 T3 T8</t>
        </is>
      </c>
      <c r="K29" s="3" t="inlineStr">
        <is>
          <t>MEDIUM — periodico, mas periodicidade nao declarada</t>
        </is>
      </c>
      <c r="L29" s="3" t="inlineStr">
        <is>
          <t>busca dirigida ao gap, 2026-09-14: unico privado que a busca achou a declarar boletim proprio com observacao de campo</t>
        </is>
      </c>
      <c r="M29" s="3" t="inlineStr">
        <is>
          <t>⚠️ boletim de CONSULTORIA: provavelmente reservado a clientes. Fonte de conhecimento, talvez nao de coleta.</t>
        </is>
      </c>
    </row>
    <row r="30">
      <c r="A30" s="3" t="inlineStr">
        <is>
          <t>Bollettini agronomici per vite dell'Ufficio Agronomico</t>
        </is>
      </c>
      <c r="B30" s="3" t="inlineStr">
        <is>
          <t>Terre dell'Etruria — cooperativa agricola (Toscana)</t>
        </is>
      </c>
      <c r="C30" s="3" t="inlineStr">
        <is>
          <t>https://www.terretruria.it/agronomi/vite/16-bollettini-agronomici-per-vite/</t>
        </is>
      </c>
      <c r="D30" s="3" t="inlineStr">
        <is>
          <t>B</t>
        </is>
      </c>
      <c r="E30" s="3" t="inlineStr">
        <is>
          <t>boletins proprios dos tecnicos da cooperativa, com tabelas de estrategia de defesa por REGIME de cultivo da vite</t>
        </is>
      </c>
      <c r="F30" s="3" t="inlineStr">
        <is>
          <t>secao «Bollettini agronomici per vite» assinada pelos agronomos da cooperativa</t>
        </is>
      </c>
      <c r="G30" s="3" t="n">
        <v>3</v>
      </c>
      <c r="H30" s="3" t="inlineStr">
        <is>
          <t>VOICES · WINDOWS</t>
        </is>
      </c>
      <c r="I30" s="3" t="inlineStr">
        <is>
          <t>Toscana costeira (Livorno/Grosseto)</t>
        </is>
      </c>
      <c r="J30" s="3" t="inlineStr">
        <is>
          <t>T1 T3 T8</t>
        </is>
      </c>
      <c r="K30" s="3" t="inlineStr">
        <is>
          <t>MEDIUM — declarado como serie, sem periodicidade escrita</t>
        </is>
      </c>
      <c r="L30" s="3" t="inlineStr">
        <is>
          <t>busca dirigida ao gap, 2026-09-14: rota com numeracao de serie no proprio caminho</t>
        </is>
      </c>
      <c r="M30" s="3" t="inlineStr">
        <is>
          <t>cooperativa fala para socios; alcance fora do circulo e' NAO SEI.</t>
        </is>
      </c>
    </row>
    <row r="31">
      <c r="A31" s="3" t="inlineStr">
        <is>
          <t>Demo Days e open day de sementes horticolas</t>
        </is>
      </c>
      <c r="B31" s="3" t="inlineStr">
        <is>
          <t>Syngenta Italia / Syngenta Vegetable Seeds</t>
        </is>
      </c>
      <c r="C31" s="3" t="inlineStr">
        <is>
          <t>https://www.syngentavegetables.com/it-it/open-day/demo-days-colture-foglia-e-brassicacee-2026</t>
        </is>
      </c>
      <c r="D31" s="3" t="inlineStr">
        <is>
          <t>B</t>
        </is>
      </c>
      <c r="E31" s="3" t="inlineStr">
        <is>
          <t>anuncio de demonstracao em campo, com cultura e data</t>
        </is>
      </c>
      <c r="F31" s="3" t="inlineStr">
        <is>
          <t>«Demo Days Colture a Foglia e Brassicacee 2026», com registo</t>
        </is>
      </c>
      <c r="G31" s="3" t="n">
        <v>3</v>
      </c>
      <c r="H31" s="3" t="inlineStr">
        <is>
          <t>COMPETITORS</t>
        </is>
      </c>
      <c r="I31" s="3" t="inlineStr">
        <is>
          <t>NACIONAL, por evento</t>
        </is>
      </c>
      <c r="J31" s="3" t="inlineStr">
        <is>
          <t>T8 T11</t>
        </is>
      </c>
      <c r="K31" s="3" t="inlineStr">
        <is>
          <t>MEDIUM — sazonal</t>
        </is>
      </c>
      <c r="L31" s="3" t="inlineStr">
        <is>
          <t>busca dirigida ao gap, 2026-09-14: evento nomeado com ano e cultura</t>
        </is>
      </c>
      <c r="M31" s="3" t="inlineStr">
        <is>
          <t>⚠️ EXIGE REGISTO, e e' comunicacao da propria empresa. Isto e' atividade publica declarada, nao informacao independente.</t>
        </is>
      </c>
    </row>
    <row r="32">
      <c r="A32" s="3" t="inlineStr">
        <is>
          <t>Salute delle piante in Lombardia · app Fitodetective</t>
        </is>
      </c>
      <c r="B32" s="3" t="inlineStr">
        <is>
          <t>Regione Lombardia — Servizio Fitosanitario regionale</t>
        </is>
      </c>
      <c r="C32" s="3" t="inlineStr">
        <is>
          <t>https://www.salutepianteinlombardia.it/</t>
        </is>
      </c>
      <c r="D32" s="3" t="inlineStr">
        <is>
          <t>B</t>
        </is>
      </c>
      <c r="E32" s="3" t="inlineStr">
        <is>
          <t>alerta regional de organismo nocivo e canal de reporte cidadao (app) que gera observacao georreferenciada</t>
        </is>
      </c>
      <c r="F32" s="3" t="inlineStr">
        <is>
          <t>portal regional dedicado mais a app Fitodetective</t>
        </is>
      </c>
      <c r="G32" s="3" t="n">
        <v>2</v>
      </c>
      <c r="H32" s="3" t="inlineStr">
        <is>
          <t>FUTURE · VOICES</t>
        </is>
      </c>
      <c r="I32" s="3" t="inlineStr">
        <is>
          <t>Lombardia</t>
        </is>
      </c>
      <c r="J32" s="3" t="inlineStr">
        <is>
          <t>T3</t>
        </is>
      </c>
      <c r="K32" s="3" t="inlineStr">
        <is>
          <t>MEDIUM — por evento</t>
        </is>
      </c>
      <c r="L32" s="3" t="inlineStr">
        <is>
          <t>busca dirigida ao gap, 2026-09-14: portal e app identificados</t>
        </is>
      </c>
      <c r="M32" s="3" t="inlineStr">
        <is>
          <t>reporte de cidadao nao e' diagnostico. Sem confirmacao do servico, e' suspeita — e suspeita nao e' primeira detecao.</t>
        </is>
      </c>
    </row>
    <row r="33">
      <c r="A33" s="3" t="inlineStr">
        <is>
          <t>Statistica agricoltura regionale (superfici e produzioni)</t>
        </is>
      </c>
      <c r="B33" s="3" t="inlineStr">
        <is>
          <t>Regione Emilia-Romagna — Servizio Statistica</t>
        </is>
      </c>
      <c r="C33" s="3" t="inlineStr">
        <is>
          <t>https://statistica.regione.emilia-romagna.it/</t>
        </is>
      </c>
      <c r="D33" s="3" t="inlineStr">
        <is>
          <t>B</t>
        </is>
      </c>
      <c r="E33" s="3" t="inlineStr">
        <is>
          <t>serie regionais de superficie e producao, ja recortadas a regiao</t>
        </is>
      </c>
      <c r="F33" s="3" t="inlineStr">
        <is>
          <t>portal de estatistica regional com secao de agricultura</t>
        </is>
      </c>
      <c r="G33" s="3" t="n">
        <v>1</v>
      </c>
      <c r="H33" s="3" t="inlineStr">
        <is>
          <t>MARKET</t>
        </is>
      </c>
      <c r="I33" s="3" t="inlineStr">
        <is>
          <t>Emilia-Romagna</t>
        </is>
      </c>
      <c r="J33" s="3" t="inlineStr">
        <is>
          <t>T10</t>
        </is>
      </c>
      <c r="K33" s="3" t="inlineStr">
        <is>
          <t>MEDIUM — anual</t>
        </is>
      </c>
      <c r="L33" s="3" t="inlineStr">
        <is>
          <t>busca dirigida ao gap, 2026-09-14: rota do servico de estatistica regional</t>
        </is>
      </c>
      <c r="M33" s="3" t="inlineStr">
        <is>
          <t>uma regiao das vinte. Nao escala por si.</t>
        </is>
      </c>
    </row>
    <row r="34">
      <c r="A34" s="3" t="inlineStr">
        <is>
          <t>Monitoraggio dei costi medi di produzione</t>
        </is>
      </c>
      <c r="B34" s="3" t="inlineStr">
        <is>
          <t>ISMEA</t>
        </is>
      </c>
      <c r="C34" s="3" t="inlineStr">
        <is>
          <t>https://www.ismea.it/</t>
        </is>
      </c>
      <c r="D34" s="3" t="inlineStr">
        <is>
          <t>B</t>
        </is>
      </c>
      <c r="E34" s="3" t="inlineStr">
        <is>
          <t>custo medio de producao em EUR/tonelada por cluster de empresa</t>
        </is>
      </c>
      <c r="F34" s="3" t="inlineStr">
        <is>
          <t>servico declarado como complementar ao censo de armazenamento, para monitorizar margem de rendibilidade</t>
        </is>
      </c>
      <c r="G34" s="3" t="n">
        <v>1</v>
      </c>
      <c r="H34" s="3" t="inlineStr">
        <is>
          <t>MARKET</t>
        </is>
      </c>
      <c r="I34" s="3" t="inlineStr">
        <is>
          <t>NACIONAL, por cluster</t>
        </is>
      </c>
      <c r="J34" s="3" t="inlineStr">
        <is>
          <t>T10</t>
        </is>
      </c>
      <c r="K34" s="3" t="inlineStr">
        <is>
          <t>MEDIUM — campanha</t>
        </is>
      </c>
      <c r="L34" s="3" t="inlineStr">
        <is>
          <t>busca dirigida ao gap, 2026-09-14: existencia e finalidade declaradas pelo ISMEA</t>
        </is>
      </c>
      <c r="M34" s="3" t="inlineStr">
        <is>
          <t>⚠️ EXIGE REGISTO. Dado atras de conta nao e' dado aberto, e a coleta automatica dele e' outra decisao.</t>
        </is>
      </c>
    </row>
    <row r="35">
      <c r="A35" s="3" t="inlineStr">
        <is>
          <t>Cantina Italia — giacenze di vino</t>
        </is>
      </c>
      <c r="B35" s="3" t="inlineStr">
        <is>
          <t>MASAF / CREA, via registro telematico SIAN</t>
        </is>
      </c>
      <c r="C35" s="3" t="inlineStr">
        <is>
          <t>https://www.politicheagricole.it/</t>
        </is>
      </c>
      <c r="D35" s="3" t="inlineStr">
        <is>
          <t>B</t>
        </is>
      </c>
      <c r="E35" s="3" t="inlineStr">
        <is>
          <t>existencias declaradas de vinho, por REGIAO, com periodicidade mensal, a partir da declaracao obrigatoria no registo telematico</t>
        </is>
      </c>
      <c r="F35" s="3" t="inlineStr">
        <is>
          <t>a referencia normativa para giacenze de vinho por regiao e' a declaracao no registo telematico (SIAN / Cantina Italia), nao uma recolha de mercado</t>
        </is>
      </c>
      <c r="G35" s="3" t="n">
        <v>1</v>
      </c>
      <c r="H35" s="3" t="inlineStr">
        <is>
          <t>MARKET</t>
        </is>
      </c>
      <c r="I35" s="3" t="inlineStr">
        <is>
          <t>NACIONAL com regiao</t>
        </is>
      </c>
      <c r="J35" s="3" t="inlineStr">
        <is>
          <t>T10</t>
        </is>
      </c>
      <c r="K35" s="3" t="inlineStr">
        <is>
          <t>HIGH — mensal</t>
        </is>
      </c>
      <c r="L35" s="3" t="inlineStr">
        <is>
          <t>busca dirigida ao gap, 2026-09-14: identificado como a fonte oficial correta para giacenze por regiao — em contraste com o ISMEA, que NAO faz essa recolha</t>
        </is>
      </c>
      <c r="M35" s="3" t="inlineStr">
        <is>
          <t>rota exata do ficheiro publicado nao foi fixada nesta missao. Classe B por isso, e nao por duvida sobre o dono.</t>
        </is>
      </c>
    </row>
    <row r="36">
      <c r="A36" s="3" t="inlineStr">
        <is>
          <t>Registro telematico dell'olio</t>
        </is>
      </c>
      <c r="B36" s="3" t="inlineStr">
        <is>
          <t>AGEA / SIAN</t>
        </is>
      </c>
      <c r="C36" s="3" t="inlineStr">
        <is>
          <t>https://www.sian.it/</t>
        </is>
      </c>
      <c r="D36" s="3" t="inlineStr">
        <is>
          <t>B</t>
        </is>
      </c>
      <c r="E36" s="3" t="inlineStr">
        <is>
          <t>existencias declaradas de azeite</t>
        </is>
      </c>
      <c r="F36" s="3" t="inlineStr">
        <is>
          <t>identificado como o par do Cantina Italia para o azeite</t>
        </is>
      </c>
      <c r="G36" s="3" t="n">
        <v>1</v>
      </c>
      <c r="H36" s="3" t="inlineStr">
        <is>
          <t>MARKET</t>
        </is>
      </c>
      <c r="I36" s="3" t="inlineStr">
        <is>
          <t>NACIONAL</t>
        </is>
      </c>
      <c r="J36" s="3" t="inlineStr">
        <is>
          <t>T10</t>
        </is>
      </c>
      <c r="K36" s="3" t="inlineStr">
        <is>
          <t>HIGH — declaracao periodica obrigatoria</t>
        </is>
      </c>
      <c r="L36" s="3" t="inlineStr">
        <is>
          <t>busca dirigida ao gap, 2026-09-14: citado como referencia normativa para existencias de azeite</t>
        </is>
      </c>
      <c r="M36" s="3" t="inlineStr">
        <is>
          <t>idem: rota publica do agregado nao fixada.</t>
        </is>
      </c>
    </row>
    <row r="37">
      <c r="A37" s="3" t="inlineStr">
        <is>
          <t>Censimento delle strutture di stoccaggio dei cereali</t>
        </is>
      </c>
      <c r="B37" s="3" t="inlineStr">
        <is>
          <t>ISMEA, para o Piano cerealicolo nazionale (MASAF)</t>
        </is>
      </c>
      <c r="C37" s="3" t="inlineStr">
        <is>
          <t>https://www.ismea.it/flex/cm/pages/ServeBLOB.php/L/IT/IDPagina/8829</t>
        </is>
      </c>
      <c r="D37" s="3" t="inlineStr">
        <is>
          <t>B</t>
        </is>
      </c>
      <c r="E37" s="3" t="inlineStr">
        <is>
          <t>mapa geografico dos centros de armazenamento e a CAPACIDADE instalada do setor cerealifero</t>
        </is>
      </c>
      <c r="F37" s="3" t="inlineStr">
        <is>
          <t>quase 1.200 centros no territorio nacional, para mais de 11 milhoes de toneladas de potencial — 55% em silos, 45% em armazem</t>
        </is>
      </c>
      <c r="G37" s="3" t="n">
        <v>1</v>
      </c>
      <c r="H37" s="3" t="inlineStr">
        <is>
          <t>MARKET</t>
        </is>
      </c>
      <c r="I37" s="3" t="inlineStr">
        <is>
          <t>NACIONAL, georreferenciado</t>
        </is>
      </c>
      <c r="J37" s="3" t="inlineStr">
        <is>
          <t>T10</t>
        </is>
      </c>
      <c r="K37" s="3" t="inlineStr">
        <is>
          <t>LOW — censo, evento unico</t>
        </is>
      </c>
      <c r="L37" s="3" t="inlineStr">
        <is>
          <t>busca dirigida ao gap, 2026-09-14: numeros do censo declarados pelo ISMEA</t>
        </is>
      </c>
      <c r="M37" s="3" t="inlineStr">
        <is>
          <t>⚠️ ISTO E' CAPACIDADE, NAO EXISTENCIA. Um silo de 10.000 t vazio conta igual a um cheio. Quem usar isto como stock le' o contrario do que quer. E e' censo: nao repete.</t>
        </is>
      </c>
    </row>
    <row r="38">
      <c r="A38" s="3" t="inlineStr">
        <is>
          <t>Catalogo annuale di gamma</t>
        </is>
      </c>
      <c r="B38" s="3" t="inlineStr">
        <is>
          <t>Syngenta Italia</t>
        </is>
      </c>
      <c r="C38" s="3" t="inlineStr">
        <is>
          <t>https://www.syngenta.it/catalogo-syngenta-2026-le-persone-al-centro</t>
        </is>
      </c>
      <c r="D38" s="3" t="inlineStr">
        <is>
          <t>B</t>
        </is>
      </c>
      <c r="E38" s="3" t="inlineStr">
        <is>
          <t>gama declarada do ano: agrofarmacos, sementes e nutricao</t>
        </is>
      </c>
      <c r="F38" s="3" t="inlineStr">
        <is>
          <t>«Catalogo Syngenta 2026»</t>
        </is>
      </c>
      <c r="G38" s="3" t="n">
        <v>1</v>
      </c>
      <c r="H38" s="3" t="inlineStr">
        <is>
          <t>COMPETITORS</t>
        </is>
      </c>
      <c r="I38" s="3" t="inlineStr">
        <is>
          <t>NACIONAL</t>
        </is>
      </c>
      <c r="J38" s="3" t="inlineStr">
        <is>
          <t>T8</t>
        </is>
      </c>
      <c r="K38" s="3" t="inlineStr">
        <is>
          <t>MEDIUM — anual</t>
        </is>
      </c>
      <c r="L38" s="3" t="inlineStr">
        <is>
          <t>busca dirigida ao gap, 2026-09-14: catalogo do ano identificado</t>
        </is>
      </c>
      <c r="M38" s="3" t="inlineStr">
        <is>
          <t>material comercial do proprio. Diz o que a empresa quer dizer.</t>
        </is>
      </c>
    </row>
    <row r="39">
      <c r="A39" s="3" t="inlineStr">
        <is>
          <t>Centri di saggio con certificazione GEP</t>
        </is>
      </c>
      <c r="B39" s="3" t="inlineStr">
        <is>
          <t>privados: Agrea (agrea.it), Sagea (sagea.com), AgriSearch (agrisearch-innovations.com), Agro Services (agroservicesperimentazione.com), Agritec (agritecsrl.it), Repros (repros.vi.it)</t>
        </is>
      </c>
      <c r="C39" s="3" t="inlineStr">
        <is>
          <t>https://www.agrea.it/</t>
        </is>
      </c>
      <c r="D39" s="3" t="inlineStr">
        <is>
          <t>REJECT_COMO_FONTE_DE_DADO</t>
        </is>
      </c>
      <c r="E39" s="3" t="inlineStr">
        <is>
          <t>ensaio oficial de eficacia e residuos para registo de produto, sob Good Experimental Practice</t>
        </is>
      </c>
      <c r="F39" s="3" t="inlineStr">
        <is>
          <t>seis centros de saggio italianos identificados, com certificacao GEP declarada</t>
        </is>
      </c>
      <c r="G39" s="3" t="n">
        <v>2</v>
      </c>
      <c r="H39" s="3" t="inlineStr">
        <is>
          <t>COMPETITORS · SCIENCE</t>
        </is>
      </c>
      <c r="I39" s="3" t="inlineStr">
        <is>
          <t>NACIONAL</t>
        </is>
      </c>
      <c r="J39" s="3" t="inlineStr">
        <is>
          <t>T5 T8</t>
        </is>
      </c>
      <c r="K39" s="3" t="inlineStr">
        <is>
          <t>LOW — para efeito de publicacao</t>
        </is>
      </c>
      <c r="L39" s="3" t="inlineStr">
        <is>
          <t>busca dirigida ao gap, 2026-09-14: a busca estabeleceu que os dados das provas GEP de registo sao RESERVADOS, propriedade da empresa que as encomenda, e NAO SAO PUBLICADOS</t>
        </is>
      </c>
      <c r="M39" s="3" t="inlineStr">
        <is>
          <t>⚠️ ISTO NAO E' UM GAP DE FONTE — E' UM GAP DE ACESSO. Nenhuma coleta resolve: o dado existe, tem dono, e o dono nao publica. A via para ter resultado de ensaio e' contratual, nao tecnica. Estes seis ficam no acervo como REDE DE PESSOAS (T8), nao como fonte de resultado. O caminho divulgavel e': boletins e provas demonstrativas dos servicos regionais, atas das Giornate Fitopatologiche e da AIPP/SIPaV, e a base de rotulos do Ministerio.</t>
        </is>
      </c>
    </row>
  </sheetData>
  <mergeCells count="1">
    <mergeCell ref="A1:M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111"/>
  <sheetViews>
    <sheetView workbookViewId="0">
      <pane ySplit="2" topLeftCell="A3" activePane="bottomLeft" state="frozen"/>
      <selection pane="bottomLeft" activeCell="A1" sqref="A1"/>
    </sheetView>
  </sheetViews>
  <sheetFormatPr baseColWidth="8" defaultRowHeight="15"/>
  <cols>
    <col width="62" customWidth="1" min="1" max="1"/>
    <col width="62" customWidth="1" min="2" max="2"/>
    <col width="62" customWidth="1" min="3" max="3"/>
    <col width="27" customWidth="1" min="4" max="4"/>
    <col width="13" customWidth="1" min="5" max="5"/>
    <col width="27" customWidth="1" min="6" max="6"/>
    <col width="62" customWidth="1" min="7" max="7"/>
    <col width="29" customWidth="1" min="8" max="8"/>
    <col width="31" customWidth="1" min="9" max="9"/>
    <col width="50" customWidth="1" min="10" max="10"/>
    <col width="62" customWidth="1" min="11" max="11"/>
  </cols>
  <sheetData>
    <row r="1" ht="44" customHeight="1">
      <c r="A1" s="1" t="inlineStr">
        <is>
          <t>A FOLHA CENTRAL. UMA LINHA = UMA LIGACAO fonte→necessidade, nao uma fonte. 37 fontes produzem 109 ligacoes: quem contar linhas aqui e disser «109 fontes novas» conta a mesma fonte ate oito vezes. «Uma SOURCE, varios usos» le-se nesta folha e em nenhuma outra.</t>
        </is>
      </c>
    </row>
    <row r="2">
      <c r="A2" s="2" t="inlineStr">
        <is>
          <t>SOURCE</t>
        </is>
      </c>
      <c r="B2" s="2" t="inlineStr">
        <is>
          <t>OWNER</t>
        </is>
      </c>
      <c r="C2" s="2" t="inlineStr">
        <is>
          <t>URL</t>
        </is>
      </c>
      <c r="D2" s="2" t="inlineStr">
        <is>
          <t>CLASSE_DA_FONTE</t>
        </is>
      </c>
      <c r="E2" s="2" t="inlineStr">
        <is>
          <t>TOOL</t>
        </is>
      </c>
      <c r="F2" s="2" t="inlineStr">
        <is>
          <t>FERRAMENTA_NO_PORTAL</t>
        </is>
      </c>
      <c r="G2" s="2" t="inlineStr">
        <is>
          <t>RAW_NEED_QUE_ALIMENTA</t>
        </is>
      </c>
      <c r="H2" s="2" t="inlineStr">
        <is>
          <t>GAP_SEVERITY_DA_NECESSIDADE</t>
        </is>
      </c>
      <c r="I2" s="2" t="inlineStr">
        <is>
          <t>VEREDITO_A_MAO_DA_NECESSIDADE</t>
        </is>
      </c>
      <c r="J2" s="2" t="inlineStr">
        <is>
          <t>AMBITO</t>
        </is>
      </c>
      <c r="K2" s="2" t="inlineStr">
        <is>
          <t>RECORRENCIA</t>
        </is>
      </c>
    </row>
    <row r="3">
      <c r="A3" s="3" t="inlineStr">
        <is>
          <t>AgriEvents — calendario di eventi tecnici regionali</t>
        </is>
      </c>
      <c r="B3" s="3" t="inlineStr">
        <is>
          <t>Regione Emilia-Romagna</t>
        </is>
      </c>
      <c r="C3" s="3" t="inlineStr">
        <is>
          <t>https://agricoltura.regione.emilia-romagna.it/fitosanitario/eventi/</t>
        </is>
      </c>
      <c r="D3" s="3" t="inlineStr">
        <is>
          <t>A</t>
        </is>
      </c>
      <c r="E3" s="3" t="inlineStr">
        <is>
          <t>COMPETITORS</t>
        </is>
      </c>
      <c r="F3" s="3" t="inlineStr">
        <is>
          <t>Concorrenza</t>
        </is>
      </c>
      <c r="G3" s="3" t="inlineStr">
        <is>
          <t>REGIAO da atividade do concorrente</t>
        </is>
      </c>
      <c r="H3" s="3" t="inlineStr">
        <is>
          <t>HIGH</t>
        </is>
      </c>
      <c r="I3" s="3" t="inlineStr">
        <is>
          <t>WEAK</t>
        </is>
      </c>
      <c r="J3" s="3" t="inlineStr">
        <is>
          <t>Emilia-Romagna</t>
        </is>
      </c>
      <c r="K3" s="3" t="inlineStr">
        <is>
          <t>HIGH — calendario vivo</t>
        </is>
      </c>
    </row>
    <row r="4">
      <c r="A4" s="3" t="inlineStr">
        <is>
          <t>AgriEvents — calendario di eventi tecnici regionali</t>
        </is>
      </c>
      <c r="B4" s="3" t="inlineStr">
        <is>
          <t>Regione Emilia-Romagna</t>
        </is>
      </c>
      <c r="C4" s="3" t="inlineStr">
        <is>
          <t>https://agricoltura.regione.emilia-romagna.it/fitosanitario/eventi/</t>
        </is>
      </c>
      <c r="D4" s="3" t="inlineStr">
        <is>
          <t>A</t>
        </is>
      </c>
      <c r="E4" s="3" t="inlineStr">
        <is>
          <t>COMPETITORS</t>
        </is>
      </c>
      <c r="F4" s="3" t="inlineStr">
        <is>
          <t>Concorrenza</t>
        </is>
      </c>
      <c r="G4" s="3" t="inlineStr">
        <is>
          <t>CONTEUDO TECNICO do concorrente (nao publicidade)</t>
        </is>
      </c>
      <c r="H4" s="3" t="inlineStr">
        <is>
          <t>MEDIUM</t>
        </is>
      </c>
      <c r="I4" s="3" t="inlineStr">
        <is>
          <t>STRONG</t>
        </is>
      </c>
      <c r="J4" s="3" t="inlineStr">
        <is>
          <t>Emilia-Romagna</t>
        </is>
      </c>
      <c r="K4" s="3" t="inlineStr">
        <is>
          <t>HIGH — calendario vivo</t>
        </is>
      </c>
    </row>
    <row r="5">
      <c r="A5" s="3" t="inlineStr">
        <is>
          <t>Banca dati dei prodotti fitosanitari</t>
        </is>
      </c>
      <c r="B5" s="3" t="inlineStr">
        <is>
          <t>Ministero della Salute</t>
        </is>
      </c>
      <c r="C5" s="3" t="inlineStr">
        <is>
          <t>https://www.fitosanitari.salute.gov.it/</t>
        </is>
      </c>
      <c r="D5" s="3" t="inlineStr">
        <is>
          <t>A</t>
        </is>
      </c>
      <c r="E5" s="3" t="inlineStr">
        <is>
          <t>COMPETITORS</t>
        </is>
      </c>
      <c r="F5" s="3" t="inlineStr">
        <is>
          <t>Concorrenza</t>
        </is>
      </c>
      <c r="G5" s="3" t="inlineStr">
        <is>
          <t>REGISTO oficial do produto do concorrente</t>
        </is>
      </c>
      <c r="H5" s="3" t="inlineStr">
        <is>
          <t>MEDIUM</t>
        </is>
      </c>
      <c r="I5" s="3" t="inlineStr">
        <is>
          <t>STRONG</t>
        </is>
      </c>
      <c r="J5" s="3" t="inlineStr">
        <is>
          <t>NACIONAL</t>
        </is>
      </c>
      <c r="K5" s="3" t="inlineStr">
        <is>
          <t>HIGH — diaria</t>
        </is>
      </c>
    </row>
    <row r="6">
      <c r="A6" s="3" t="inlineStr">
        <is>
          <t>Banca dati dei prodotti fitosanitari</t>
        </is>
      </c>
      <c r="B6" s="3" t="inlineStr">
        <is>
          <t>Ministero della Salute</t>
        </is>
      </c>
      <c r="C6" s="3" t="inlineStr">
        <is>
          <t>https://www.fitosanitari.salute.gov.it/</t>
        </is>
      </c>
      <c r="D6" s="3" t="inlineStr">
        <is>
          <t>A</t>
        </is>
      </c>
      <c r="E6" s="3" t="inlineStr">
        <is>
          <t>COMPETITORS</t>
        </is>
      </c>
      <c r="F6" s="3" t="inlineStr">
        <is>
          <t>Concorrenza</t>
        </is>
      </c>
      <c r="G6" s="3" t="inlineStr">
        <is>
          <t>PRODUTO do concorrente na atividade</t>
        </is>
      </c>
      <c r="H6" s="3" t="inlineStr">
        <is>
          <t>MEDIUM</t>
        </is>
      </c>
      <c r="I6" s="3" t="inlineStr">
        <is>
          <t>STRONG</t>
        </is>
      </c>
      <c r="J6" s="3" t="inlineStr">
        <is>
          <t>NACIONAL</t>
        </is>
      </c>
      <c r="K6" s="3" t="inlineStr">
        <is>
          <t>HIGH — diaria</t>
        </is>
      </c>
    </row>
    <row r="7">
      <c r="A7" s="3" t="inlineStr">
        <is>
          <t>Calendario fenologico e Forum Fitoiatrico del Condifesa TVB</t>
        </is>
      </c>
      <c r="B7" s="3" t="inlineStr">
        <is>
          <t>Condifesa Treviso e Belluno</t>
        </is>
      </c>
      <c r="C7" s="3" t="inlineStr">
        <is>
          <t>https://www.condifesatvb.it/forum-fitoiatrico/</t>
        </is>
      </c>
      <c r="D7" s="3" t="inlineStr">
        <is>
          <t>A</t>
        </is>
      </c>
      <c r="E7" s="3" t="inlineStr">
        <is>
          <t>COMPETITORS</t>
        </is>
      </c>
      <c r="F7" s="3" t="inlineStr">
        <is>
          <t>Concorrenza</t>
        </is>
      </c>
      <c r="G7" s="3" t="inlineStr">
        <is>
          <t>PESSOA do concorrente (quem fala por ele)</t>
        </is>
      </c>
      <c r="H7" s="3" t="inlineStr">
        <is>
          <t>HIGH</t>
        </is>
      </c>
      <c r="I7" s="3" t="inlineStr">
        <is>
          <t>STRONG</t>
        </is>
      </c>
      <c r="J7" s="3" t="inlineStr">
        <is>
          <t>Treviso e Belluno (Veneto)</t>
        </is>
      </c>
      <c r="K7" s="3" t="inlineStr">
        <is>
          <t>MEDIUM — anual (forum) mais serie de campanha (calendario)</t>
        </is>
      </c>
    </row>
    <row r="8">
      <c r="A8" s="3" t="inlineStr">
        <is>
          <t>Calendario fenologico e Forum Fitoiatrico del Condifesa TVB</t>
        </is>
      </c>
      <c r="B8" s="3" t="inlineStr">
        <is>
          <t>Condifesa Treviso e Belluno</t>
        </is>
      </c>
      <c r="C8" s="3" t="inlineStr">
        <is>
          <t>https://www.condifesatvb.it/forum-fitoiatrico/</t>
        </is>
      </c>
      <c r="D8" s="3" t="inlineStr">
        <is>
          <t>A</t>
        </is>
      </c>
      <c r="E8" s="3" t="inlineStr">
        <is>
          <t>COMPETITORS</t>
        </is>
      </c>
      <c r="F8" s="3" t="inlineStr">
        <is>
          <t>Concorrenza</t>
        </is>
      </c>
      <c r="G8" s="3" t="inlineStr">
        <is>
          <t>REGIAO da atividade do concorrente</t>
        </is>
      </c>
      <c r="H8" s="3" t="inlineStr">
        <is>
          <t>HIGH</t>
        </is>
      </c>
      <c r="I8" s="3" t="inlineStr">
        <is>
          <t>WEAK</t>
        </is>
      </c>
      <c r="J8" s="3" t="inlineStr">
        <is>
          <t>Treviso e Belluno (Veneto)</t>
        </is>
      </c>
      <c r="K8" s="3" t="inlineStr">
        <is>
          <t>MEDIUM — anual (forum) mais serie de campanha (calendario)</t>
        </is>
      </c>
    </row>
    <row r="9">
      <c r="A9" s="3" t="inlineStr">
        <is>
          <t>Calendario fenologico e Forum Fitoiatrico del Condifesa TVB</t>
        </is>
      </c>
      <c r="B9" s="3" t="inlineStr">
        <is>
          <t>Condifesa Treviso e Belluno</t>
        </is>
      </c>
      <c r="C9" s="3" t="inlineStr">
        <is>
          <t>https://www.condifesatvb.it/forum-fitoiatrico/</t>
        </is>
      </c>
      <c r="D9" s="3" t="inlineStr">
        <is>
          <t>A</t>
        </is>
      </c>
      <c r="E9" s="3" t="inlineStr">
        <is>
          <t>COMPETITORS</t>
        </is>
      </c>
      <c r="F9" s="3" t="inlineStr">
        <is>
          <t>Concorrenza</t>
        </is>
      </c>
      <c r="G9" s="3" t="inlineStr">
        <is>
          <t>CONTEUDO TECNICO do concorrente (nao publicidade)</t>
        </is>
      </c>
      <c r="H9" s="3" t="inlineStr">
        <is>
          <t>MEDIUM</t>
        </is>
      </c>
      <c r="I9" s="3" t="inlineStr">
        <is>
          <t>STRONG</t>
        </is>
      </c>
      <c r="J9" s="3" t="inlineStr">
        <is>
          <t>Treviso e Belluno (Veneto)</t>
        </is>
      </c>
      <c r="K9" s="3" t="inlineStr">
        <is>
          <t>MEDIUM — anual (forum) mais serie de campanha (calendario)</t>
        </is>
      </c>
    </row>
    <row r="10">
      <c r="A10" s="3" t="inlineStr">
        <is>
          <t>Catalogo annuale di gamma</t>
        </is>
      </c>
      <c r="B10" s="3" t="inlineStr">
        <is>
          <t>Syngenta Italia</t>
        </is>
      </c>
      <c r="C10" s="3" t="inlineStr">
        <is>
          <t>https://www.syngenta.it/catalogo-syngenta-2026-le-persone-al-centro</t>
        </is>
      </c>
      <c r="D10" s="3" t="inlineStr">
        <is>
          <t>B</t>
        </is>
      </c>
      <c r="E10" s="3" t="inlineStr">
        <is>
          <t>COMPETITORS</t>
        </is>
      </c>
      <c r="F10" s="3" t="inlineStr">
        <is>
          <t>Concorrenza</t>
        </is>
      </c>
      <c r="G10" s="3" t="inlineStr">
        <is>
          <t>PRODUTO do concorrente na atividade</t>
        </is>
      </c>
      <c r="H10" s="3" t="inlineStr">
        <is>
          <t>MEDIUM</t>
        </is>
      </c>
      <c r="I10" s="3" t="inlineStr">
        <is>
          <t>STRONG</t>
        </is>
      </c>
      <c r="J10" s="3" t="inlineStr">
        <is>
          <t>NACIONAL</t>
        </is>
      </c>
      <c r="K10" s="3" t="inlineStr">
        <is>
          <t>MEDIUM — anual</t>
        </is>
      </c>
    </row>
    <row r="11">
      <c r="A11" s="3" t="inlineStr">
        <is>
          <t>Centri di saggio con certificazione GEP</t>
        </is>
      </c>
      <c r="B11" s="3" t="inlineStr">
        <is>
          <t>privados: Agrea (agrea.it), Sagea (sagea.com), AgriSearch (agrisearch-innovations.com), Agro Services (agroservicesperimentazione.com), Agritec (agritecsrl.it), Repros (repros.vi.it)</t>
        </is>
      </c>
      <c r="C11" s="3" t="inlineStr">
        <is>
          <t>https://www.agrea.it/</t>
        </is>
      </c>
      <c r="D11" s="3" t="inlineStr">
        <is>
          <t>REJECT_COMO_FONTE_DE_DADO</t>
        </is>
      </c>
      <c r="E11" s="3" t="inlineStr">
        <is>
          <t>COMPETITORS</t>
        </is>
      </c>
      <c r="F11" s="3" t="inlineStr">
        <is>
          <t>Concorrenza</t>
        </is>
      </c>
      <c r="G11" s="3" t="inlineStr">
        <is>
          <t>PESSOA do concorrente (quem fala por ele)</t>
        </is>
      </c>
      <c r="H11" s="3" t="inlineStr">
        <is>
          <t>HIGH</t>
        </is>
      </c>
      <c r="I11" s="3" t="inlineStr">
        <is>
          <t>STRONG</t>
        </is>
      </c>
      <c r="J11" s="3" t="inlineStr">
        <is>
          <t>NACIONAL</t>
        </is>
      </c>
      <c r="K11" s="3" t="inlineStr">
        <is>
          <t>LOW — para efeito de publicacao</t>
        </is>
      </c>
    </row>
    <row r="12">
      <c r="A12" s="3" t="inlineStr">
        <is>
          <t>Convegno «Prodotti fitosanitari: le novità»</t>
        </is>
      </c>
      <c r="B12" s="3" t="inlineStr">
        <is>
          <t>Regione Emilia-Romagna — Settore Fitosanitario, com as empresas de agrofarmacos</t>
        </is>
      </c>
      <c r="C12" s="3" t="inlineStr">
        <is>
          <t>https://agricoltura.regione.emilia-romagna.it/fitosanitario/incontri-e-convegni/prodotti-fitosanitari-novita-2026</t>
        </is>
      </c>
      <c r="D12" s="3" t="inlineStr">
        <is>
          <t>A</t>
        </is>
      </c>
      <c r="E12" s="3" t="inlineStr">
        <is>
          <t>COMPETITORS</t>
        </is>
      </c>
      <c r="F12" s="3" t="inlineStr">
        <is>
          <t>Concorrenza</t>
        </is>
      </c>
      <c r="G12" s="3" t="inlineStr">
        <is>
          <t>PRODUTO do concorrente na atividade</t>
        </is>
      </c>
      <c r="H12" s="3" t="inlineStr">
        <is>
          <t>MEDIUM</t>
        </is>
      </c>
      <c r="I12" s="3" t="inlineStr">
        <is>
          <t>STRONG</t>
        </is>
      </c>
      <c r="J12" s="3" t="inlineStr">
        <is>
          <t>Emilia-Romagna como sede; o conteudo e' NACIONAL</t>
        </is>
      </c>
      <c r="K12" s="3" t="inlineStr">
        <is>
          <t>MEDIUM — anual, mas com data fixa e programa publicado</t>
        </is>
      </c>
    </row>
    <row r="13">
      <c r="A13" s="3" t="inlineStr">
        <is>
          <t>Convegno «Prodotti fitosanitari: le novità»</t>
        </is>
      </c>
      <c r="B13" s="3" t="inlineStr">
        <is>
          <t>Regione Emilia-Romagna — Settore Fitosanitario, com as empresas de agrofarmacos</t>
        </is>
      </c>
      <c r="C13" s="3" t="inlineStr">
        <is>
          <t>https://agricoltura.regione.emilia-romagna.it/fitosanitario/incontri-e-convegni/prodotti-fitosanitari-novita-2026</t>
        </is>
      </c>
      <c r="D13" s="3" t="inlineStr">
        <is>
          <t>A</t>
        </is>
      </c>
      <c r="E13" s="3" t="inlineStr">
        <is>
          <t>COMPETITORS</t>
        </is>
      </c>
      <c r="F13" s="3" t="inlineStr">
        <is>
          <t>Concorrenza</t>
        </is>
      </c>
      <c r="G13" s="3" t="inlineStr">
        <is>
          <t>CONTEUDO TECNICO do concorrente (nao publicidade)</t>
        </is>
      </c>
      <c r="H13" s="3" t="inlineStr">
        <is>
          <t>MEDIUM</t>
        </is>
      </c>
      <c r="I13" s="3" t="inlineStr">
        <is>
          <t>STRONG</t>
        </is>
      </c>
      <c r="J13" s="3" t="inlineStr">
        <is>
          <t>Emilia-Romagna como sede; o conteudo e' NACIONAL</t>
        </is>
      </c>
      <c r="K13" s="3" t="inlineStr">
        <is>
          <t>MEDIUM — anual, mas com data fixa e programa publicado</t>
        </is>
      </c>
    </row>
    <row r="14">
      <c r="A14" s="3" t="inlineStr">
        <is>
          <t>Convegno «Prodotti fitosanitari: le novità»</t>
        </is>
      </c>
      <c r="B14" s="3" t="inlineStr">
        <is>
          <t>Regione Emilia-Romagna — Settore Fitosanitario, com as empresas de agrofarmacos</t>
        </is>
      </c>
      <c r="C14" s="3" t="inlineStr">
        <is>
          <t>https://agricoltura.regione.emilia-romagna.it/fitosanitario/incontri-e-convegni/prodotti-fitosanitari-novita-2026</t>
        </is>
      </c>
      <c r="D14" s="3" t="inlineStr">
        <is>
          <t>A</t>
        </is>
      </c>
      <c r="E14" s="3" t="inlineStr">
        <is>
          <t>COMPETITORS</t>
        </is>
      </c>
      <c r="F14" s="3" t="inlineStr">
        <is>
          <t>Concorrenza</t>
        </is>
      </c>
      <c r="G14" s="3" t="inlineStr">
        <is>
          <t>REGIAO da atividade do concorrente</t>
        </is>
      </c>
      <c r="H14" s="3" t="inlineStr">
        <is>
          <t>HIGH</t>
        </is>
      </c>
      <c r="I14" s="3" t="inlineStr">
        <is>
          <t>WEAK</t>
        </is>
      </c>
      <c r="J14" s="3" t="inlineStr">
        <is>
          <t>Emilia-Romagna como sede; o conteudo e' NACIONAL</t>
        </is>
      </c>
      <c r="K14" s="3" t="inlineStr">
        <is>
          <t>MEDIUM — anual, mas com data fixa e programa publicado</t>
        </is>
      </c>
    </row>
    <row r="15">
      <c r="A15" s="3" t="inlineStr">
        <is>
          <t>Demo Days e open day de sementes horticolas</t>
        </is>
      </c>
      <c r="B15" s="3" t="inlineStr">
        <is>
          <t>Syngenta Italia / Syngenta Vegetable Seeds</t>
        </is>
      </c>
      <c r="C15" s="3" t="inlineStr">
        <is>
          <t>https://www.syngentavegetables.com/it-it/open-day/demo-days-colture-foglia-e-brassicacee-2026</t>
        </is>
      </c>
      <c r="D15" s="3" t="inlineStr">
        <is>
          <t>B</t>
        </is>
      </c>
      <c r="E15" s="3" t="inlineStr">
        <is>
          <t>COMPETITORS</t>
        </is>
      </c>
      <c r="F15" s="3" t="inlineStr">
        <is>
          <t>Concorrenza</t>
        </is>
      </c>
      <c r="G15" s="3" t="inlineStr">
        <is>
          <t>REGIAO da atividade do concorrente</t>
        </is>
      </c>
      <c r="H15" s="3" t="inlineStr">
        <is>
          <t>HIGH</t>
        </is>
      </c>
      <c r="I15" s="3" t="inlineStr">
        <is>
          <t>WEAK</t>
        </is>
      </c>
      <c r="J15" s="3" t="inlineStr">
        <is>
          <t>NACIONAL, por evento</t>
        </is>
      </c>
      <c r="K15" s="3" t="inlineStr">
        <is>
          <t>MEDIUM — sazonal</t>
        </is>
      </c>
    </row>
    <row r="16">
      <c r="A16" s="3" t="inlineStr">
        <is>
          <t>Demo Days e open day de sementes horticolas</t>
        </is>
      </c>
      <c r="B16" s="3" t="inlineStr">
        <is>
          <t>Syngenta Italia / Syngenta Vegetable Seeds</t>
        </is>
      </c>
      <c r="C16" s="3" t="inlineStr">
        <is>
          <t>https://www.syngentavegetables.com/it-it/open-day/demo-days-colture-foglia-e-brassicacee-2026</t>
        </is>
      </c>
      <c r="D16" s="3" t="inlineStr">
        <is>
          <t>B</t>
        </is>
      </c>
      <c r="E16" s="3" t="inlineStr">
        <is>
          <t>COMPETITORS</t>
        </is>
      </c>
      <c r="F16" s="3" t="inlineStr">
        <is>
          <t>Concorrenza</t>
        </is>
      </c>
      <c r="G16" s="3" t="inlineStr">
        <is>
          <t>PRODUTO do concorrente na atividade</t>
        </is>
      </c>
      <c r="H16" s="3" t="inlineStr">
        <is>
          <t>MEDIUM</t>
        </is>
      </c>
      <c r="I16" s="3" t="inlineStr">
        <is>
          <t>STRONG</t>
        </is>
      </c>
      <c r="J16" s="3" t="inlineStr">
        <is>
          <t>NACIONAL, por evento</t>
        </is>
      </c>
      <c r="K16" s="3" t="inlineStr">
        <is>
          <t>MEDIUM — sazonal</t>
        </is>
      </c>
    </row>
    <row r="17">
      <c r="A17" s="3" t="inlineStr">
        <is>
          <t>Demo Days e open day de sementes horticolas</t>
        </is>
      </c>
      <c r="B17" s="3" t="inlineStr">
        <is>
          <t>Syngenta Italia / Syngenta Vegetable Seeds</t>
        </is>
      </c>
      <c r="C17" s="3" t="inlineStr">
        <is>
          <t>https://www.syngentavegetables.com/it-it/open-day/demo-days-colture-foglia-e-brassicacee-2026</t>
        </is>
      </c>
      <c r="D17" s="3" t="inlineStr">
        <is>
          <t>B</t>
        </is>
      </c>
      <c r="E17" s="3" t="inlineStr">
        <is>
          <t>COMPETITORS</t>
        </is>
      </c>
      <c r="F17" s="3" t="inlineStr">
        <is>
          <t>Concorrenza</t>
        </is>
      </c>
      <c r="G17" s="3" t="inlineStr">
        <is>
          <t>CULTURA da atividade do concorrente</t>
        </is>
      </c>
      <c r="H17" s="3" t="inlineStr">
        <is>
          <t>MEDIUM</t>
        </is>
      </c>
      <c r="I17" s="3" t="inlineStr">
        <is>
          <t>STRONG</t>
        </is>
      </c>
      <c r="J17" s="3" t="inlineStr">
        <is>
          <t>NACIONAL, por evento</t>
        </is>
      </c>
      <c r="K17" s="3" t="inlineStr">
        <is>
          <t>MEDIUM — sazonal</t>
        </is>
      </c>
    </row>
    <row r="18">
      <c r="A18" s="3" t="inlineStr">
        <is>
          <t>Giornate Fitopatologiche — atti e programma</t>
        </is>
      </c>
      <c r="B18" s="3" t="inlineStr">
        <is>
          <t>Comitato delle Giornate Fitopatologiche (universidades italianas)</t>
        </is>
      </c>
      <c r="C18" s="3" t="inlineStr">
        <is>
          <t>https://giornatefitopatologiche.it/</t>
        </is>
      </c>
      <c r="D18" s="3" t="inlineStr">
        <is>
          <t>A</t>
        </is>
      </c>
      <c r="E18" s="3" t="inlineStr">
        <is>
          <t>COMPETITORS</t>
        </is>
      </c>
      <c r="F18" s="3" t="inlineStr">
        <is>
          <t>Concorrenza</t>
        </is>
      </c>
      <c r="G18" s="3" t="inlineStr">
        <is>
          <t>CONTEUDO TECNICO do concorrente (nao publicidade)</t>
        </is>
      </c>
      <c r="H18" s="3" t="inlineStr">
        <is>
          <t>MEDIUM</t>
        </is>
      </c>
      <c r="I18" s="3" t="inlineStr">
        <is>
          <t>STRONG</t>
        </is>
      </c>
      <c r="J18" s="3" t="inlineStr">
        <is>
          <t>NACIONAL</t>
        </is>
      </c>
      <c r="K18" s="3" t="inlineStr">
        <is>
          <t>MEDIUM — bienal/anual, com atas publicadas</t>
        </is>
      </c>
    </row>
    <row r="19">
      <c r="A19" s="3" t="inlineStr">
        <is>
          <t>Calendario fenologico e Forum Fitoiatrico del Condifesa TVB</t>
        </is>
      </c>
      <c r="B19" s="3" t="inlineStr">
        <is>
          <t>Condifesa Treviso e Belluno</t>
        </is>
      </c>
      <c r="C19" s="3" t="inlineStr">
        <is>
          <t>https://www.condifesatvb.it/forum-fitoiatrico/</t>
        </is>
      </c>
      <c r="D19" s="3" t="inlineStr">
        <is>
          <t>A</t>
        </is>
      </c>
      <c r="E19" s="3" t="inlineStr">
        <is>
          <t>FIELD_NET</t>
        </is>
      </c>
      <c r="F19" s="3" t="inlineStr">
        <is>
          <t>Rete Commerciale di Campo</t>
        </is>
      </c>
      <c r="G19" s="3" t="inlineStr">
        <is>
          <t>Identidade do tecnico de campo (TSR)</t>
        </is>
      </c>
      <c r="H19" s="3" t="inlineStr">
        <is>
          <t>HIGH</t>
        </is>
      </c>
      <c r="I19" s="3" t="inlineStr">
        <is>
          <t>WEAK</t>
        </is>
      </c>
      <c r="J19" s="3" t="inlineStr">
        <is>
          <t>Treviso e Belluno (Veneto)</t>
        </is>
      </c>
      <c r="K19" s="3" t="inlineStr">
        <is>
          <t>MEDIUM — anual (forum) mais serie de campanha (calendario)</t>
        </is>
      </c>
    </row>
    <row r="20">
      <c r="A20" s="3" t="inlineStr">
        <is>
          <t>Federazioni e Ordini dei Dottori Agronomi e Forestali</t>
        </is>
      </c>
      <c r="B20" s="3" t="inlineStr">
        <is>
          <t>CONAF e as federacoes regionais</t>
        </is>
      </c>
      <c r="C20" s="3" t="inlineStr">
        <is>
          <t>https://www.conaf.it/</t>
        </is>
      </c>
      <c r="D20" s="3" t="inlineStr">
        <is>
          <t>A</t>
        </is>
      </c>
      <c r="E20" s="3" t="inlineStr">
        <is>
          <t>FIELD_NET</t>
        </is>
      </c>
      <c r="F20" s="3" t="inlineStr">
        <is>
          <t>Rete Commerciale di Campo</t>
        </is>
      </c>
      <c r="G20" s="3" t="inlineStr">
        <is>
          <t>Identidade do tecnico de campo (TSR)</t>
        </is>
      </c>
      <c r="H20" s="3" t="inlineStr">
        <is>
          <t>HIGH</t>
        </is>
      </c>
      <c r="I20" s="3" t="inlineStr">
        <is>
          <t>WEAK</t>
        </is>
      </c>
      <c r="J20" s="3" t="inlineStr">
        <is>
          <t>NACIONAL, por federacao regional</t>
        </is>
      </c>
      <c r="K20" s="3" t="inlineStr">
        <is>
          <t>HIGH — o albo e' mantido</t>
        </is>
      </c>
    </row>
    <row r="21">
      <c r="A21" s="3" t="inlineStr">
        <is>
          <t>Banca Dati Storica meteo-idro-nivologica</t>
        </is>
      </c>
      <c r="B21" s="3" t="inlineStr">
        <is>
          <t>Arpa Piemonte</t>
        </is>
      </c>
      <c r="C21" s="3" t="inlineStr">
        <is>
          <t>https://www.arpa.piemonte.it/dato/banca-dati-storica-dati-giornalieri-mensili</t>
        </is>
      </c>
      <c r="D21" s="3" t="inlineStr">
        <is>
          <t>A</t>
        </is>
      </c>
      <c r="E21" s="3" t="inlineStr">
        <is>
          <t>FUTURE</t>
        </is>
      </c>
      <c r="F21" s="3" t="inlineStr">
        <is>
          <t>Archivio segnali</t>
        </is>
      </c>
      <c r="G21" s="3" t="inlineStr">
        <is>
          <t>DESLOCACAO CLIMATICA que muda a pressao de praga</t>
        </is>
      </c>
      <c r="H21" s="3" t="inlineStr">
        <is>
          <t>HIGH</t>
        </is>
      </c>
      <c r="I21" s="3" t="inlineStr">
        <is>
          <t>STRONG</t>
        </is>
      </c>
      <c r="J21" s="3" t="inlineStr">
        <is>
          <t>Piemonte</t>
        </is>
      </c>
      <c r="K21" s="3" t="inlineStr">
        <is>
          <t>HIGH — diaria</t>
        </is>
      </c>
    </row>
    <row r="22">
      <c r="A22" s="3" t="inlineStr">
        <is>
          <t>Convegno «Prodotti fitosanitari: le novità»</t>
        </is>
      </c>
      <c r="B22" s="3" t="inlineStr">
        <is>
          <t>Regione Emilia-Romagna — Settore Fitosanitario, com as empresas de agrofarmacos</t>
        </is>
      </c>
      <c r="C22" s="3" t="inlineStr">
        <is>
          <t>https://agricoltura.regione.emilia-romagna.it/fitosanitario/incontri-e-convegni/prodotti-fitosanitari-novita-2026</t>
        </is>
      </c>
      <c r="D22" s="3" t="inlineStr">
        <is>
          <t>A</t>
        </is>
      </c>
      <c r="E22" s="3" t="inlineStr">
        <is>
          <t>FUTURE</t>
        </is>
      </c>
      <c r="F22" s="3" t="inlineStr">
        <is>
          <t>Archivio segnali</t>
        </is>
      </c>
      <c r="G22" s="3" t="inlineStr">
        <is>
          <t>MUDANCA DE POLITICA em consulta</t>
        </is>
      </c>
      <c r="H22" s="3" t="inlineStr">
        <is>
          <t>HIGH</t>
        </is>
      </c>
      <c r="I22" s="3" t="inlineStr">
        <is>
          <t>WEAK</t>
        </is>
      </c>
      <c r="J22" s="3" t="inlineStr">
        <is>
          <t>Emilia-Romagna como sede; o conteudo e' NACIONAL</t>
        </is>
      </c>
      <c r="K22" s="3" t="inlineStr">
        <is>
          <t>MEDIUM — anual, mas com data fixa e programa publicado</t>
        </is>
      </c>
    </row>
    <row r="23">
      <c r="A23" s="3" t="inlineStr">
        <is>
          <t>ERG5 e o indicador «Anomalia della sommatoria gradi giorno»</t>
        </is>
      </c>
      <c r="B23" s="3" t="inlineStr">
        <is>
          <t>Arpae Emilia-Romagna</t>
        </is>
      </c>
      <c r="C23" s="3" t="inlineStr">
        <is>
          <t>https://webbook.arpae.it/clima/</t>
        </is>
      </c>
      <c r="D23" s="3" t="inlineStr">
        <is>
          <t>A</t>
        </is>
      </c>
      <c r="E23" s="3" t="inlineStr">
        <is>
          <t>FUTURE</t>
        </is>
      </c>
      <c r="F23" s="3" t="inlineStr">
        <is>
          <t>Archivio segnali</t>
        </is>
      </c>
      <c r="G23" s="3" t="inlineStr">
        <is>
          <t>DESLOCACAO CLIMATICA que muda a pressao de praga</t>
        </is>
      </c>
      <c r="H23" s="3" t="inlineStr">
        <is>
          <t>HIGH</t>
        </is>
      </c>
      <c r="I23" s="3" t="inlineStr">
        <is>
          <t>STRONG</t>
        </is>
      </c>
      <c r="J23" s="3" t="inlineStr">
        <is>
          <t>Emilia-Romagna, em grelha de 5 km</t>
        </is>
      </c>
      <c r="K23" s="3" t="inlineStr">
        <is>
          <t>HIGH — semanal (mapas) sobre serie de 1961</t>
        </is>
      </c>
    </row>
    <row r="24">
      <c r="A24" s="3" t="inlineStr">
        <is>
          <t>EU Pesticides Database + registo de conclusoes de peer review</t>
        </is>
      </c>
      <c r="B24" s="3" t="inlineStr">
        <is>
          <t>Comissao Europeia (DG SANTE) e EFSA</t>
        </is>
      </c>
      <c r="C24" s="3" t="inlineStr">
        <is>
          <t>https://food.ec.europa.eu/plants/pesticides/eu-pesticides-database_en</t>
        </is>
      </c>
      <c r="D24" s="3" t="inlineStr">
        <is>
          <t>A</t>
        </is>
      </c>
      <c r="E24" s="3" t="inlineStr">
        <is>
          <t>FUTURE</t>
        </is>
      </c>
      <c r="F24" s="3" t="inlineStr">
        <is>
          <t>Archivio segnali</t>
        </is>
      </c>
      <c r="G24" s="3" t="inlineStr">
        <is>
          <t>PIPELINE REGULATORIO (substancia em avaliacao/renovacao)</t>
        </is>
      </c>
      <c r="H24" s="3" t="inlineStr">
        <is>
          <t>HIGH</t>
        </is>
      </c>
      <c r="I24" s="3" t="inlineStr">
        <is>
          <t>STRONG</t>
        </is>
      </c>
      <c r="J24" s="3" t="inlineStr">
        <is>
          <t>EUROPEU — vale para Italia por via da UE</t>
        </is>
      </c>
      <c r="K24" s="3" t="inlineStr">
        <is>
          <t>HIGH — continua</t>
        </is>
      </c>
    </row>
    <row r="25">
      <c r="A25" s="3" t="inlineStr">
        <is>
          <t>EU Pesticides Database + registo de conclusoes de peer review</t>
        </is>
      </c>
      <c r="B25" s="3" t="inlineStr">
        <is>
          <t>Comissao Europeia (DG SANTE) e EFSA</t>
        </is>
      </c>
      <c r="C25" s="3" t="inlineStr">
        <is>
          <t>https://food.ec.europa.eu/plants/pesticides/eu-pesticides-database_en</t>
        </is>
      </c>
      <c r="D25" s="3" t="inlineStr">
        <is>
          <t>A</t>
        </is>
      </c>
      <c r="E25" s="3" t="inlineStr">
        <is>
          <t>FUTURE</t>
        </is>
      </c>
      <c r="F25" s="3" t="inlineStr">
        <is>
          <t>Archivio segnali</t>
        </is>
      </c>
      <c r="G25" s="3" t="inlineStr">
        <is>
          <t>MUDANCA DE POLITICA em consulta</t>
        </is>
      </c>
      <c r="H25" s="3" t="inlineStr">
        <is>
          <t>HIGH</t>
        </is>
      </c>
      <c r="I25" s="3" t="inlineStr">
        <is>
          <t>WEAK</t>
        </is>
      </c>
      <c r="J25" s="3" t="inlineStr">
        <is>
          <t>EUROPEU — vale para Italia por via da UE</t>
        </is>
      </c>
      <c r="K25" s="3" t="inlineStr">
        <is>
          <t>HIGH — continua</t>
        </is>
      </c>
    </row>
    <row r="26">
      <c r="A26" s="3" t="inlineStr">
        <is>
          <t>Protezione delle Piante — Emergenze, Sorveglianza, Barriere</t>
        </is>
      </c>
      <c r="B26" s="3" t="inlineStr">
        <is>
          <t>Servizio Fitosanitario Nazionale (MASAF)</t>
        </is>
      </c>
      <c r="C26" s="3" t="inlineStr">
        <is>
          <t>https://www.protezionedellepiante.it/</t>
        </is>
      </c>
      <c r="D26" s="3" t="inlineStr">
        <is>
          <t>A</t>
        </is>
      </c>
      <c r="E26" s="3" t="inlineStr">
        <is>
          <t>FUTURE</t>
        </is>
      </c>
      <c r="F26" s="3" t="inlineStr">
        <is>
          <t>Archivio segnali</t>
        </is>
      </c>
      <c r="G26" s="3" t="inlineStr">
        <is>
          <t>PRAGA OU DOENCA EMERGENTE (primeira deteccao)</t>
        </is>
      </c>
      <c r="H26" s="3" t="inlineStr">
        <is>
          <t>CRITICAL</t>
        </is>
      </c>
      <c r="I26" s="3" t="inlineStr">
        <is>
          <t>STRONG</t>
        </is>
      </c>
      <c r="J26" s="3" t="inlineStr">
        <is>
          <t>NACIONAL, com regiao na declaracao</t>
        </is>
      </c>
      <c r="K26" s="3" t="inlineStr">
        <is>
          <t>HIGH — por evento, e evento ha sempre</t>
        </is>
      </c>
    </row>
    <row r="27">
      <c r="A27" s="3" t="inlineStr">
        <is>
          <t>Protezione delle Piante — Emergenze, Sorveglianza, Barriere</t>
        </is>
      </c>
      <c r="B27" s="3" t="inlineStr">
        <is>
          <t>Servizio Fitosanitario Nazionale (MASAF)</t>
        </is>
      </c>
      <c r="C27" s="3" t="inlineStr">
        <is>
          <t>https://www.protezionedellepiante.it/</t>
        </is>
      </c>
      <c r="D27" s="3" t="inlineStr">
        <is>
          <t>A</t>
        </is>
      </c>
      <c r="E27" s="3" t="inlineStr">
        <is>
          <t>FUTURE</t>
        </is>
      </c>
      <c r="F27" s="3" t="inlineStr">
        <is>
          <t>Archivio segnali</t>
        </is>
      </c>
      <c r="G27" s="3" t="inlineStr">
        <is>
          <t>Sinal novo com o que se observou e quem o disse</t>
        </is>
      </c>
      <c r="H27" s="3" t="inlineStr">
        <is>
          <t>MEDIUM</t>
        </is>
      </c>
      <c r="I27" s="3" t="inlineStr">
        <is>
          <t>STRONG</t>
        </is>
      </c>
      <c r="J27" s="3" t="inlineStr">
        <is>
          <t>NACIONAL, com regiao na declaracao</t>
        </is>
      </c>
      <c r="K27" s="3" t="inlineStr">
        <is>
          <t>HIGH — por evento, e evento ha sempre</t>
        </is>
      </c>
    </row>
    <row r="28">
      <c r="A28" s="3" t="inlineStr">
        <is>
          <t>Rete agrometeorologica regionale (archivio dati)</t>
        </is>
      </c>
      <c r="B28" s="3" t="inlineStr">
        <is>
          <t>Regione Campania — Assessorato Agricoltura</t>
        </is>
      </c>
      <c r="C28" s="3" t="inlineStr">
        <is>
          <t>https://agricoltura.regione.campania.it/meteo/archivio_meteo.html</t>
        </is>
      </c>
      <c r="D28" s="3" t="inlineStr">
        <is>
          <t>A</t>
        </is>
      </c>
      <c r="E28" s="3" t="inlineStr">
        <is>
          <t>FUTURE</t>
        </is>
      </c>
      <c r="F28" s="3" t="inlineStr">
        <is>
          <t>Archivio segnali</t>
        </is>
      </c>
      <c r="G28" s="3" t="inlineStr">
        <is>
          <t>DESLOCACAO CLIMATICA que muda a pressao de praga</t>
        </is>
      </c>
      <c r="H28" s="3" t="inlineStr">
        <is>
          <t>HIGH</t>
        </is>
      </c>
      <c r="I28" s="3" t="inlineStr">
        <is>
          <t>STRONG</t>
        </is>
      </c>
      <c r="J28" s="3" t="inlineStr">
        <is>
          <t>Campania</t>
        </is>
      </c>
      <c r="K28" s="3" t="inlineStr">
        <is>
          <t>HIGH — diaria</t>
        </is>
      </c>
    </row>
    <row r="29">
      <c r="A29" s="3" t="inlineStr">
        <is>
          <t>Rete di rilevazione Ismea–Unione Seminativi</t>
        </is>
      </c>
      <c r="B29" s="3" t="inlineStr">
        <is>
          <t>ISMEA com a Unione Seminativi</t>
        </is>
      </c>
      <c r="C29" s="3" t="inlineStr">
        <is>
          <t>https://www.ismea.it/flex/cm/pages/ServeBLOB.php/L/IT/IDPagina/482</t>
        </is>
      </c>
      <c r="D29" s="3" t="inlineStr">
        <is>
          <t>A</t>
        </is>
      </c>
      <c r="E29" s="3" t="inlineStr">
        <is>
          <t>FUTURE</t>
        </is>
      </c>
      <c r="F29" s="3" t="inlineStr">
        <is>
          <t>Archivio segnali</t>
        </is>
      </c>
      <c r="G29" s="3" t="inlineStr">
        <is>
          <t>Sinal novo com o que se observou e quem o disse</t>
        </is>
      </c>
      <c r="H29" s="3" t="inlineStr">
        <is>
          <t>MEDIUM</t>
        </is>
      </c>
      <c r="I29" s="3" t="inlineStr">
        <is>
          <t>STRONG</t>
        </is>
      </c>
      <c r="J29" s="3" t="inlineStr">
        <is>
          <t>centro e norte de Italia, 23 pontos</t>
        </is>
      </c>
      <c r="K29" s="3" t="inlineStr">
        <is>
          <t>HIGH — periodica na campanha</t>
        </is>
      </c>
    </row>
    <row r="30">
      <c r="A30" s="3" t="inlineStr">
        <is>
          <t>SCIA — Sistema nazionale per l'elaborazione e diffusione di dati climatici</t>
        </is>
      </c>
      <c r="B30" s="3" t="inlineStr">
        <is>
          <t>ISPRA</t>
        </is>
      </c>
      <c r="C30" s="3" t="inlineStr">
        <is>
          <t>https://scia.isprambiente.it/dati-e-indicatori/</t>
        </is>
      </c>
      <c r="D30" s="3" t="inlineStr">
        <is>
          <t>A</t>
        </is>
      </c>
      <c r="E30" s="3" t="inlineStr">
        <is>
          <t>FUTURE</t>
        </is>
      </c>
      <c r="F30" s="3" t="inlineStr">
        <is>
          <t>Archivio segnali</t>
        </is>
      </c>
      <c r="G30" s="3" t="inlineStr">
        <is>
          <t>DESLOCACAO CLIMATICA que muda a pressao de praga</t>
        </is>
      </c>
      <c r="H30" s="3" t="inlineStr">
        <is>
          <t>HIGH</t>
        </is>
      </c>
      <c r="I30" s="3" t="inlineStr">
        <is>
          <t>STRONG</t>
        </is>
      </c>
      <c r="J30" s="3" t="inlineStr">
        <is>
          <t>NACIONAL — agrega as redes regionais</t>
        </is>
      </c>
      <c r="K30" s="3" t="inlineStr">
        <is>
          <t>HIGH — serie continua</t>
        </is>
      </c>
    </row>
    <row r="31">
      <c r="A31" s="3" t="inlineStr">
        <is>
          <t>Salute delle piante in Lombardia · app Fitodetective</t>
        </is>
      </c>
      <c r="B31" s="3" t="inlineStr">
        <is>
          <t>Regione Lombardia — Servizio Fitosanitario regionale</t>
        </is>
      </c>
      <c r="C31" s="3" t="inlineStr">
        <is>
          <t>https://www.salutepianteinlombardia.it/</t>
        </is>
      </c>
      <c r="D31" s="3" t="inlineStr">
        <is>
          <t>B</t>
        </is>
      </c>
      <c r="E31" s="3" t="inlineStr">
        <is>
          <t>FUTURE</t>
        </is>
      </c>
      <c r="F31" s="3" t="inlineStr">
        <is>
          <t>Archivio segnali</t>
        </is>
      </c>
      <c r="G31" s="3" t="inlineStr">
        <is>
          <t>PRAGA OU DOENCA EMERGENTE (primeira deteccao)</t>
        </is>
      </c>
      <c r="H31" s="3" t="inlineStr">
        <is>
          <t>CRITICAL</t>
        </is>
      </c>
      <c r="I31" s="3" t="inlineStr">
        <is>
          <t>STRONG</t>
        </is>
      </c>
      <c r="J31" s="3" t="inlineStr">
        <is>
          <t>Lombardia</t>
        </is>
      </c>
      <c r="K31" s="3" t="inlineStr">
        <is>
          <t>MEDIUM — por evento</t>
        </is>
      </c>
    </row>
    <row r="32">
      <c r="A32" s="3" t="inlineStr">
        <is>
          <t>Banca Dati Storica meteo-idro-nivologica</t>
        </is>
      </c>
      <c r="B32" s="3" t="inlineStr">
        <is>
          <t>Arpa Piemonte</t>
        </is>
      </c>
      <c r="C32" s="3" t="inlineStr">
        <is>
          <t>https://www.arpa.piemonte.it/dato/banca-dati-storica-dati-giornalieri-mensili</t>
        </is>
      </c>
      <c r="D32" s="3" t="inlineStr">
        <is>
          <t>A</t>
        </is>
      </c>
      <c r="E32" s="3" t="inlineStr">
        <is>
          <t>MARKET</t>
        </is>
      </c>
      <c r="F32" s="3" t="inlineStr">
        <is>
          <t>Polso di Mercato</t>
        </is>
      </c>
      <c r="G32" s="3" t="inlineStr">
        <is>
          <t>Condicao de cultura / meteo agregado para mercado</t>
        </is>
      </c>
      <c r="H32" s="3" t="inlineStr">
        <is>
          <t>HIGH</t>
        </is>
      </c>
      <c r="I32" s="3" t="inlineStr">
        <is>
          <t>STRONG</t>
        </is>
      </c>
      <c r="J32" s="3" t="inlineStr">
        <is>
          <t>Piemonte</t>
        </is>
      </c>
      <c r="K32" s="3" t="inlineStr">
        <is>
          <t>HIGH — diaria</t>
        </is>
      </c>
    </row>
    <row r="33">
      <c r="A33" s="3" t="inlineStr">
        <is>
          <t>Cantina Italia — giacenze di vino</t>
        </is>
      </c>
      <c r="B33" s="3" t="inlineStr">
        <is>
          <t>MASAF / CREA, via registro telematico SIAN</t>
        </is>
      </c>
      <c r="C33" s="3" t="inlineStr">
        <is>
          <t>https://www.politicheagricole.it/</t>
        </is>
      </c>
      <c r="D33" s="3" t="inlineStr">
        <is>
          <t>B</t>
        </is>
      </c>
      <c r="E33" s="3" t="inlineStr">
        <is>
          <t>MARKET</t>
        </is>
      </c>
      <c r="F33" s="3" t="inlineStr">
        <is>
          <t>Polso di Mercato</t>
        </is>
      </c>
      <c r="G33" s="3" t="inlineStr">
        <is>
          <t>STOCKS / existencias</t>
        </is>
      </c>
      <c r="H33" s="3" t="inlineStr">
        <is>
          <t>HIGH</t>
        </is>
      </c>
      <c r="I33" s="3" t="inlineStr">
        <is>
          <t>WEAK</t>
        </is>
      </c>
      <c r="J33" s="3" t="inlineStr">
        <is>
          <t>NACIONAL com regiao</t>
        </is>
      </c>
      <c r="K33" s="3" t="inlineStr">
        <is>
          <t>HIGH — mensal</t>
        </is>
      </c>
    </row>
    <row r="34">
      <c r="A34" s="3" t="inlineStr">
        <is>
          <t>Censimento delle strutture di stoccaggio dei cereali</t>
        </is>
      </c>
      <c r="B34" s="3" t="inlineStr">
        <is>
          <t>ISMEA, para o Piano cerealicolo nazionale (MASAF)</t>
        </is>
      </c>
      <c r="C34" s="3" t="inlineStr">
        <is>
          <t>https://www.ismea.it/flex/cm/pages/ServeBLOB.php/L/IT/IDPagina/8829</t>
        </is>
      </c>
      <c r="D34" s="3" t="inlineStr">
        <is>
          <t>B</t>
        </is>
      </c>
      <c r="E34" s="3" t="inlineStr">
        <is>
          <t>MARKET</t>
        </is>
      </c>
      <c r="F34" s="3" t="inlineStr">
        <is>
          <t>Polso di Mercato</t>
        </is>
      </c>
      <c r="G34" s="3" t="inlineStr">
        <is>
          <t>STOCKS / existencias</t>
        </is>
      </c>
      <c r="H34" s="3" t="inlineStr">
        <is>
          <t>HIGH</t>
        </is>
      </c>
      <c r="I34" s="3" t="inlineStr">
        <is>
          <t>WEAK</t>
        </is>
      </c>
      <c r="J34" s="3" t="inlineStr">
        <is>
          <t>NACIONAL, georreferenciado</t>
        </is>
      </c>
      <c r="K34" s="3" t="inlineStr">
        <is>
          <t>LOW — censo, evento unico</t>
        </is>
      </c>
    </row>
    <row r="35">
      <c r="A35" s="3" t="inlineStr">
        <is>
          <t>Coeweb — statistiche del commercio estero (nuova sede)</t>
        </is>
      </c>
      <c r="B35" s="3" t="inlineStr">
        <is>
          <t>ISTAT</t>
        </is>
      </c>
      <c r="C35" s="3" t="inlineStr">
        <is>
          <t>https://esploradati.istat.it/coeweb</t>
        </is>
      </c>
      <c r="D35" s="3" t="inlineStr">
        <is>
          <t>A</t>
        </is>
      </c>
      <c r="E35" s="3" t="inlineStr">
        <is>
          <t>MARKET</t>
        </is>
      </c>
      <c r="F35" s="3" t="inlineStr">
        <is>
          <t>Polso di Mercato</t>
        </is>
      </c>
      <c r="G35" s="3" t="inlineStr">
        <is>
          <t>IMPORTACAO e EXPORTACAO</t>
        </is>
      </c>
      <c r="H35" s="3" t="inlineStr">
        <is>
          <t>HIGH</t>
        </is>
      </c>
      <c r="I35" s="3" t="inlineStr">
        <is>
          <t>STRONG</t>
        </is>
      </c>
      <c r="J35" s="3" t="inlineStr">
        <is>
          <t>NACIONAL, com provincia</t>
        </is>
      </c>
      <c r="K35" s="3" t="inlineStr">
        <is>
          <t>HIGH — mensal</t>
        </is>
      </c>
    </row>
    <row r="36">
      <c r="A36" s="3" t="inlineStr">
        <is>
          <t>Commercio estero agroalimentare (banca dati)</t>
        </is>
      </c>
      <c r="B36" s="3" t="inlineStr">
        <is>
          <t>ISMEA</t>
        </is>
      </c>
      <c r="C36" s="3" t="inlineStr">
        <is>
          <t>https://www.ismeamercati.it/dati-agroalimentare/commercio-estero</t>
        </is>
      </c>
      <c r="D36" s="3" t="inlineStr">
        <is>
          <t>A</t>
        </is>
      </c>
      <c r="E36" s="3" t="inlineStr">
        <is>
          <t>MARKET</t>
        </is>
      </c>
      <c r="F36" s="3" t="inlineStr">
        <is>
          <t>Polso di Mercato</t>
        </is>
      </c>
      <c r="G36" s="3" t="inlineStr">
        <is>
          <t>IMPORTACAO e EXPORTACAO</t>
        </is>
      </c>
      <c r="H36" s="3" t="inlineStr">
        <is>
          <t>HIGH</t>
        </is>
      </c>
      <c r="I36" s="3" t="inlineStr">
        <is>
          <t>STRONG</t>
        </is>
      </c>
      <c r="J36" s="3" t="inlineStr">
        <is>
          <t>NACIONAL</t>
        </is>
      </c>
      <c r="K36" s="3" t="inlineStr">
        <is>
          <t>HIGH — acompanha a serie ISTAT</t>
        </is>
      </c>
    </row>
    <row r="37">
      <c r="A37" s="3" t="inlineStr">
        <is>
          <t>Dataflow DCSP_COLTIVAZIONI (coltivazioni: superficie, produzione, resa)</t>
        </is>
      </c>
      <c r="B37" s="3" t="inlineStr">
        <is>
          <t>ISTAT</t>
        </is>
      </c>
      <c r="C37" s="3" t="inlineStr">
        <is>
          <t>https://esploradati.istat.it/SDMXWS/rest/</t>
        </is>
      </c>
      <c r="D37" s="3" t="inlineStr">
        <is>
          <t>A</t>
        </is>
      </c>
      <c r="E37" s="3" t="inlineStr">
        <is>
          <t>MARKET</t>
        </is>
      </c>
      <c r="F37" s="3" t="inlineStr">
        <is>
          <t>Polso di Mercato</t>
        </is>
      </c>
      <c r="G37" s="3" t="inlineStr">
        <is>
          <t>PRODUCAO, AREA e RENDIMENTO por cultura</t>
        </is>
      </c>
      <c r="H37" s="3" t="inlineStr">
        <is>
          <t>CRITICAL</t>
        </is>
      </c>
      <c r="I37" s="3" t="inlineStr">
        <is>
          <t>STRONG</t>
        </is>
      </c>
      <c r="J37" s="3" t="inlineStr">
        <is>
          <t>NACIONAL com regiao, provincia e altimetria</t>
        </is>
      </c>
      <c r="K37" s="3" t="inlineStr">
        <is>
          <t>HIGH — estimativas mensais, serie anual consolidada</t>
        </is>
      </c>
    </row>
    <row r="38">
      <c r="A38" s="3" t="inlineStr">
        <is>
          <t>Indice dei prezzi dei mezzi correnti di produzione</t>
        </is>
      </c>
      <c r="B38" s="3" t="inlineStr">
        <is>
          <t>ISMEA</t>
        </is>
      </c>
      <c r="C38" s="3" t="inlineStr">
        <is>
          <t>https://www.ismeamercati.it/</t>
        </is>
      </c>
      <c r="D38" s="3" t="inlineStr">
        <is>
          <t>A</t>
        </is>
      </c>
      <c r="E38" s="3" t="inlineStr">
        <is>
          <t>MARKET</t>
        </is>
      </c>
      <c r="F38" s="3" t="inlineStr">
        <is>
          <t>Polso di Mercato</t>
        </is>
      </c>
      <c r="G38" s="3" t="inlineStr">
        <is>
          <t>CUSTO DE INSUMO (pressao de custo)</t>
        </is>
      </c>
      <c r="H38" s="3" t="inlineStr">
        <is>
          <t>HIGH</t>
        </is>
      </c>
      <c r="I38" s="3" t="inlineStr">
        <is>
          <t>STRONG</t>
        </is>
      </c>
      <c r="J38" s="3" t="inlineStr">
        <is>
          <t>NACIONAL</t>
        </is>
      </c>
      <c r="K38" s="3" t="inlineStr">
        <is>
          <t>HIGH — mensal, com recolha semanal por tras</t>
        </is>
      </c>
    </row>
    <row r="39">
      <c r="A39" s="3" t="inlineStr">
        <is>
          <t>Indice dei prezzi dei mezzi correnti di produzione</t>
        </is>
      </c>
      <c r="B39" s="3" t="inlineStr">
        <is>
          <t>ISMEA</t>
        </is>
      </c>
      <c r="C39" s="3" t="inlineStr">
        <is>
          <t>https://www.ismeamercati.it/</t>
        </is>
      </c>
      <c r="D39" s="3" t="inlineStr">
        <is>
          <t>A</t>
        </is>
      </c>
      <c r="E39" s="3" t="inlineStr">
        <is>
          <t>MARKET</t>
        </is>
      </c>
      <c r="F39" s="3" t="inlineStr">
        <is>
          <t>Polso di Mercato</t>
        </is>
      </c>
      <c r="G39" s="3" t="inlineStr">
        <is>
          <t>Serie de preco com 3+ pontos (para tendencia)</t>
        </is>
      </c>
      <c r="H39" s="3" t="inlineStr">
        <is>
          <t>MEDIUM</t>
        </is>
      </c>
      <c r="I39" s="3" t="inlineStr">
        <is>
          <t>WEAK</t>
        </is>
      </c>
      <c r="J39" s="3" t="inlineStr">
        <is>
          <t>NACIONAL</t>
        </is>
      </c>
      <c r="K39" s="3" t="inlineStr">
        <is>
          <t>HIGH — mensal, com recolha semanal por tras</t>
        </is>
      </c>
    </row>
    <row r="40">
      <c r="A40" s="3" t="inlineStr">
        <is>
          <t>Monitoraggio dei costi medi di produzione</t>
        </is>
      </c>
      <c r="B40" s="3" t="inlineStr">
        <is>
          <t>ISMEA</t>
        </is>
      </c>
      <c r="C40" s="3" t="inlineStr">
        <is>
          <t>https://www.ismea.it/</t>
        </is>
      </c>
      <c r="D40" s="3" t="inlineStr">
        <is>
          <t>B</t>
        </is>
      </c>
      <c r="E40" s="3" t="inlineStr">
        <is>
          <t>MARKET</t>
        </is>
      </c>
      <c r="F40" s="3" t="inlineStr">
        <is>
          <t>Polso di Mercato</t>
        </is>
      </c>
      <c r="G40" s="3" t="inlineStr">
        <is>
          <t>CUSTO DE INSUMO (pressao de custo)</t>
        </is>
      </c>
      <c r="H40" s="3" t="inlineStr">
        <is>
          <t>HIGH</t>
        </is>
      </c>
      <c r="I40" s="3" t="inlineStr">
        <is>
          <t>STRONG</t>
        </is>
      </c>
      <c r="J40" s="3" t="inlineStr">
        <is>
          <t>NACIONAL, por cluster</t>
        </is>
      </c>
      <c r="K40" s="3" t="inlineStr">
        <is>
          <t>MEDIUM — campanha</t>
        </is>
      </c>
    </row>
    <row r="41">
      <c r="A41" s="3" t="inlineStr">
        <is>
          <t>Registro telematico dell'olio</t>
        </is>
      </c>
      <c r="B41" s="3" t="inlineStr">
        <is>
          <t>AGEA / SIAN</t>
        </is>
      </c>
      <c r="C41" s="3" t="inlineStr">
        <is>
          <t>https://www.sian.it/</t>
        </is>
      </c>
      <c r="D41" s="3" t="inlineStr">
        <is>
          <t>B</t>
        </is>
      </c>
      <c r="E41" s="3" t="inlineStr">
        <is>
          <t>MARKET</t>
        </is>
      </c>
      <c r="F41" s="3" t="inlineStr">
        <is>
          <t>Polso di Mercato</t>
        </is>
      </c>
      <c r="G41" s="3" t="inlineStr">
        <is>
          <t>STOCKS / existencias</t>
        </is>
      </c>
      <c r="H41" s="3" t="inlineStr">
        <is>
          <t>HIGH</t>
        </is>
      </c>
      <c r="I41" s="3" t="inlineStr">
        <is>
          <t>WEAK</t>
        </is>
      </c>
      <c r="J41" s="3" t="inlineStr">
        <is>
          <t>NACIONAL</t>
        </is>
      </c>
      <c r="K41" s="3" t="inlineStr">
        <is>
          <t>HIGH — declaracao periodica obrigatoria</t>
        </is>
      </c>
    </row>
    <row r="42">
      <c r="A42" s="3" t="inlineStr">
        <is>
          <t>Rete di rilevazione Ismea–Unione Seminativi</t>
        </is>
      </c>
      <c r="B42" s="3" t="inlineStr">
        <is>
          <t>ISMEA com a Unione Seminativi</t>
        </is>
      </c>
      <c r="C42" s="3" t="inlineStr">
        <is>
          <t>https://www.ismea.it/flex/cm/pages/ServeBLOB.php/L/IT/IDPagina/482</t>
        </is>
      </c>
      <c r="D42" s="3" t="inlineStr">
        <is>
          <t>A</t>
        </is>
      </c>
      <c r="E42" s="3" t="inlineStr">
        <is>
          <t>MARKET</t>
        </is>
      </c>
      <c r="F42" s="3" t="inlineStr">
        <is>
          <t>Polso di Mercato</t>
        </is>
      </c>
      <c r="G42" s="3" t="inlineStr">
        <is>
          <t>PRODUCAO, AREA e RENDIMENTO por cultura</t>
        </is>
      </c>
      <c r="H42" s="3" t="inlineStr">
        <is>
          <t>CRITICAL</t>
        </is>
      </c>
      <c r="I42" s="3" t="inlineStr">
        <is>
          <t>STRONG</t>
        </is>
      </c>
      <c r="J42" s="3" t="inlineStr">
        <is>
          <t>centro e norte de Italia, 23 pontos</t>
        </is>
      </c>
      <c r="K42" s="3" t="inlineStr">
        <is>
          <t>HIGH — periodica na campanha</t>
        </is>
      </c>
    </row>
    <row r="43">
      <c r="A43" s="3" t="inlineStr">
        <is>
          <t>SCIA — Sistema nazionale per l'elaborazione e diffusione di dati climatici</t>
        </is>
      </c>
      <c r="B43" s="3" t="inlineStr">
        <is>
          <t>ISPRA</t>
        </is>
      </c>
      <c r="C43" s="3" t="inlineStr">
        <is>
          <t>https://scia.isprambiente.it/dati-e-indicatori/</t>
        </is>
      </c>
      <c r="D43" s="3" t="inlineStr">
        <is>
          <t>A</t>
        </is>
      </c>
      <c r="E43" s="3" t="inlineStr">
        <is>
          <t>MARKET</t>
        </is>
      </c>
      <c r="F43" s="3" t="inlineStr">
        <is>
          <t>Polso di Mercato</t>
        </is>
      </c>
      <c r="G43" s="3" t="inlineStr">
        <is>
          <t>Condicao de cultura / meteo agregado para mercado</t>
        </is>
      </c>
      <c r="H43" s="3" t="inlineStr">
        <is>
          <t>HIGH</t>
        </is>
      </c>
      <c r="I43" s="3" t="inlineStr">
        <is>
          <t>STRONG</t>
        </is>
      </c>
      <c r="J43" s="3" t="inlineStr">
        <is>
          <t>NACIONAL — agrega as redes regionais</t>
        </is>
      </c>
      <c r="K43" s="3" t="inlineStr">
        <is>
          <t>HIGH — serie continua</t>
        </is>
      </c>
    </row>
    <row r="44">
      <c r="A44" s="3" t="inlineStr">
        <is>
          <t>Statistica agricoltura regionale (superfici e produzioni)</t>
        </is>
      </c>
      <c r="B44" s="3" t="inlineStr">
        <is>
          <t>Regione Emilia-Romagna — Servizio Statistica</t>
        </is>
      </c>
      <c r="C44" s="3" t="inlineStr">
        <is>
          <t>https://statistica.regione.emilia-romagna.it/</t>
        </is>
      </c>
      <c r="D44" s="3" t="inlineStr">
        <is>
          <t>B</t>
        </is>
      </c>
      <c r="E44" s="3" t="inlineStr">
        <is>
          <t>MARKET</t>
        </is>
      </c>
      <c r="F44" s="3" t="inlineStr">
        <is>
          <t>Polso di Mercato</t>
        </is>
      </c>
      <c r="G44" s="3" t="inlineStr">
        <is>
          <t>PRODUCAO, AREA e RENDIMENTO por cultura</t>
        </is>
      </c>
      <c r="H44" s="3" t="inlineStr">
        <is>
          <t>CRITICAL</t>
        </is>
      </c>
      <c r="I44" s="3" t="inlineStr">
        <is>
          <t>STRONG</t>
        </is>
      </c>
      <c r="J44" s="3" t="inlineStr">
        <is>
          <t>Emilia-Romagna</t>
        </is>
      </c>
      <c r="K44" s="3" t="inlineStr">
        <is>
          <t>MEDIUM — anual</t>
        </is>
      </c>
    </row>
    <row r="45">
      <c r="A45" s="3" t="inlineStr">
        <is>
          <t>Banca dati Fitogest</t>
        </is>
      </c>
      <c r="B45" s="3" t="inlineStr">
        <is>
          <t>Image Line Network</t>
        </is>
      </c>
      <c r="C45" s="3" t="inlineStr">
        <is>
          <t>https://fitogest.imagelinenetwork.com/it/banca-dati-e-portale/</t>
        </is>
      </c>
      <c r="D45" s="3" t="inlineStr">
        <is>
          <t>A</t>
        </is>
      </c>
      <c r="E45" s="3" t="inlineStr">
        <is>
          <t>PORTFOLIO</t>
        </is>
      </c>
      <c r="F45" s="3" t="inlineStr">
        <is>
          <t>Portafoglio</t>
        </is>
      </c>
      <c r="G45" s="3" t="inlineStr">
        <is>
          <t>INTERVALO DE SEGURANCA (PHI) e n.o maximo de aplicacoes</t>
        </is>
      </c>
      <c r="H45" s="3" t="inlineStr">
        <is>
          <t>CRITICAL</t>
        </is>
      </c>
      <c r="I45" s="3" t="inlineStr">
        <is>
          <t>STRONG</t>
        </is>
      </c>
      <c r="J45" s="3" t="inlineStr">
        <is>
          <t>NACIONAL</t>
        </is>
      </c>
      <c r="K45" s="3" t="inlineStr">
        <is>
          <t>HIGH — segue o registo oficial</t>
        </is>
      </c>
    </row>
    <row r="46">
      <c r="A46" s="3" t="inlineStr">
        <is>
          <t>Banca dati Fitogest</t>
        </is>
      </c>
      <c r="B46" s="3" t="inlineStr">
        <is>
          <t>Image Line Network</t>
        </is>
      </c>
      <c r="C46" s="3" t="inlineStr">
        <is>
          <t>https://fitogest.imagelinenetwork.com/it/banca-dati-e-portale/</t>
        </is>
      </c>
      <c r="D46" s="3" t="inlineStr">
        <is>
          <t>A</t>
        </is>
      </c>
      <c r="E46" s="3" t="inlineStr">
        <is>
          <t>PORTFOLIO</t>
        </is>
      </c>
      <c r="F46" s="3" t="inlineStr">
        <is>
          <t>Portafoglio</t>
        </is>
      </c>
      <c r="G46" s="3" t="inlineStr">
        <is>
          <t>DOSE autorizada</t>
        </is>
      </c>
      <c r="H46" s="3" t="inlineStr">
        <is>
          <t>HIGH</t>
        </is>
      </c>
      <c r="I46" s="3" t="inlineStr">
        <is>
          <t>WEAK</t>
        </is>
      </c>
      <c r="J46" s="3" t="inlineStr">
        <is>
          <t>NACIONAL</t>
        </is>
      </c>
      <c r="K46" s="3" t="inlineStr">
        <is>
          <t>HIGH — segue o registo oficial</t>
        </is>
      </c>
    </row>
    <row r="47">
      <c r="A47" s="3" t="inlineStr">
        <is>
          <t>Banca dati Fitogest</t>
        </is>
      </c>
      <c r="B47" s="3" t="inlineStr">
        <is>
          <t>Image Line Network</t>
        </is>
      </c>
      <c r="C47" s="3" t="inlineStr">
        <is>
          <t>https://fitogest.imagelinenetwork.com/it/banca-dati-e-portale/</t>
        </is>
      </c>
      <c r="D47" s="3" t="inlineStr">
        <is>
          <t>A</t>
        </is>
      </c>
      <c r="E47" s="3" t="inlineStr">
        <is>
          <t>PORTFOLIO</t>
        </is>
      </c>
      <c r="F47" s="3" t="inlineStr">
        <is>
          <t>Portafoglio</t>
        </is>
      </c>
      <c r="G47" s="3" t="inlineStr">
        <is>
          <t>MECANISMO DE ACAO (FRAC/HRAC/IRAC)</t>
        </is>
      </c>
      <c r="H47" s="3" t="inlineStr">
        <is>
          <t>HIGH</t>
        </is>
      </c>
      <c r="I47" s="3" t="inlineStr">
        <is>
          <t>WEAK</t>
        </is>
      </c>
      <c r="J47" s="3" t="inlineStr">
        <is>
          <t>NACIONAL</t>
        </is>
      </c>
      <c r="K47" s="3" t="inlineStr">
        <is>
          <t>HIGH — segue o registo oficial</t>
        </is>
      </c>
    </row>
    <row r="48">
      <c r="A48" s="3" t="inlineStr">
        <is>
          <t>Banca dati dei prodotti fitosanitari</t>
        </is>
      </c>
      <c r="B48" s="3" t="inlineStr">
        <is>
          <t>Ministero della Salute</t>
        </is>
      </c>
      <c r="C48" s="3" t="inlineStr">
        <is>
          <t>https://www.fitosanitari.salute.gov.it/</t>
        </is>
      </c>
      <c r="D48" s="3" t="inlineStr">
        <is>
          <t>A</t>
        </is>
      </c>
      <c r="E48" s="3" t="inlineStr">
        <is>
          <t>PORTFOLIO</t>
        </is>
      </c>
      <c r="F48" s="3" t="inlineStr">
        <is>
          <t>Portafoglio</t>
        </is>
      </c>
      <c r="G48" s="3" t="inlineStr">
        <is>
          <t>Produto, registo e titular</t>
        </is>
      </c>
      <c r="H48" s="3" t="inlineStr">
        <is>
          <t>MEDIUM</t>
        </is>
      </c>
      <c r="I48" s="3" t="inlineStr">
        <is>
          <t>STRONG</t>
        </is>
      </c>
      <c r="J48" s="3" t="inlineStr">
        <is>
          <t>NACIONAL</t>
        </is>
      </c>
      <c r="K48" s="3" t="inlineStr">
        <is>
          <t>HIGH — diaria</t>
        </is>
      </c>
    </row>
    <row r="49">
      <c r="A49" s="3" t="inlineStr">
        <is>
          <t>Banca dati dei prodotti fitosanitari</t>
        </is>
      </c>
      <c r="B49" s="3" t="inlineStr">
        <is>
          <t>Ministero della Salute</t>
        </is>
      </c>
      <c r="C49" s="3" t="inlineStr">
        <is>
          <t>https://www.fitosanitari.salute.gov.it/</t>
        </is>
      </c>
      <c r="D49" s="3" t="inlineStr">
        <is>
          <t>A</t>
        </is>
      </c>
      <c r="E49" s="3" t="inlineStr">
        <is>
          <t>PORTFOLIO</t>
        </is>
      </c>
      <c r="F49" s="3" t="inlineStr">
        <is>
          <t>Portafoglio</t>
        </is>
      </c>
      <c r="G49" s="3" t="inlineStr">
        <is>
          <t>Cultura e ALVO autorizados por produto</t>
        </is>
      </c>
      <c r="H49" s="3" t="inlineStr">
        <is>
          <t>LOW</t>
        </is>
      </c>
      <c r="I49" s="3" t="inlineStr">
        <is>
          <t>STRONG</t>
        </is>
      </c>
      <c r="J49" s="3" t="inlineStr">
        <is>
          <t>NACIONAL</t>
        </is>
      </c>
      <c r="K49" s="3" t="inlineStr">
        <is>
          <t>HIGH — diaria</t>
        </is>
      </c>
    </row>
    <row r="50">
      <c r="A50" s="3" t="inlineStr">
        <is>
          <t>Banca dati dei prodotti fitosanitari</t>
        </is>
      </c>
      <c r="B50" s="3" t="inlineStr">
        <is>
          <t>Ministero della Salute</t>
        </is>
      </c>
      <c r="C50" s="3" t="inlineStr">
        <is>
          <t>https://www.fitosanitari.salute.gov.it/</t>
        </is>
      </c>
      <c r="D50" s="3" t="inlineStr">
        <is>
          <t>A</t>
        </is>
      </c>
      <c r="E50" s="3" t="inlineStr">
        <is>
          <t>PORTFOLIO</t>
        </is>
      </c>
      <c r="F50" s="3" t="inlineStr">
        <is>
          <t>Portafoglio</t>
        </is>
      </c>
      <c r="G50" s="3" t="inlineStr">
        <is>
          <t>Documento oficial do rotulo (PDF) e a sua data/versao</t>
        </is>
      </c>
      <c r="H50" s="3" t="inlineStr">
        <is>
          <t>HIGH</t>
        </is>
      </c>
      <c r="I50" s="3" t="inlineStr">
        <is>
          <t>STRONG</t>
        </is>
      </c>
      <c r="J50" s="3" t="inlineStr">
        <is>
          <t>NACIONAL</t>
        </is>
      </c>
      <c r="K50" s="3" t="inlineStr">
        <is>
          <t>HIGH — diaria</t>
        </is>
      </c>
    </row>
    <row r="51">
      <c r="A51" s="3" t="inlineStr">
        <is>
          <t>Banca dati dei prodotti fitosanitari</t>
        </is>
      </c>
      <c r="B51" s="3" t="inlineStr">
        <is>
          <t>Ministero della Salute</t>
        </is>
      </c>
      <c r="C51" s="3" t="inlineStr">
        <is>
          <t>https://www.fitosanitari.salute.gov.it/</t>
        </is>
      </c>
      <c r="D51" s="3" t="inlineStr">
        <is>
          <t>A</t>
        </is>
      </c>
      <c r="E51" s="3" t="inlineStr">
        <is>
          <t>PORTFOLIO</t>
        </is>
      </c>
      <c r="F51" s="3" t="inlineStr">
        <is>
          <t>Portafoglio</t>
        </is>
      </c>
      <c r="G51" s="3" t="inlineStr">
        <is>
          <t>INTERVALO DE SEGURANCA (PHI) e n.o maximo de aplicacoes</t>
        </is>
      </c>
      <c r="H51" s="3" t="inlineStr">
        <is>
          <t>CRITICAL</t>
        </is>
      </c>
      <c r="I51" s="3" t="inlineStr">
        <is>
          <t>STRONG</t>
        </is>
      </c>
      <c r="J51" s="3" t="inlineStr">
        <is>
          <t>NACIONAL</t>
        </is>
      </c>
      <c r="K51" s="3" t="inlineStr">
        <is>
          <t>HIGH — diaria</t>
        </is>
      </c>
    </row>
    <row r="52">
      <c r="A52" s="3" t="inlineStr">
        <is>
          <t>Banca dati dei prodotti fitosanitari</t>
        </is>
      </c>
      <c r="B52" s="3" t="inlineStr">
        <is>
          <t>Ministero della Salute</t>
        </is>
      </c>
      <c r="C52" s="3" t="inlineStr">
        <is>
          <t>https://www.fitosanitari.salute.gov.it/</t>
        </is>
      </c>
      <c r="D52" s="3" t="inlineStr">
        <is>
          <t>A</t>
        </is>
      </c>
      <c r="E52" s="3" t="inlineStr">
        <is>
          <t>PORTFOLIO</t>
        </is>
      </c>
      <c r="F52" s="3" t="inlineStr">
        <is>
          <t>Portafoglio</t>
        </is>
      </c>
      <c r="G52" s="3" t="inlineStr">
        <is>
          <t>ALTERACAO de autorizacao (o que mudou e quando)</t>
        </is>
      </c>
      <c r="H52" s="3" t="inlineStr">
        <is>
          <t>CRITICAL</t>
        </is>
      </c>
      <c r="I52" s="3" t="inlineStr">
        <is>
          <t>STRONG</t>
        </is>
      </c>
      <c r="J52" s="3" t="inlineStr">
        <is>
          <t>NACIONAL</t>
        </is>
      </c>
      <c r="K52" s="3" t="inlineStr">
        <is>
          <t>HIGH — diaria</t>
        </is>
      </c>
    </row>
    <row r="53">
      <c r="A53" s="3" t="inlineStr">
        <is>
          <t>Convegno «Prodotti fitosanitari: le novità»</t>
        </is>
      </c>
      <c r="B53" s="3" t="inlineStr">
        <is>
          <t>Regione Emilia-Romagna — Settore Fitosanitario, com as empresas de agrofarmacos</t>
        </is>
      </c>
      <c r="C53" s="3" t="inlineStr">
        <is>
          <t>https://agricoltura.regione.emilia-romagna.it/fitosanitario/incontri-e-convegni/prodotti-fitosanitari-novita-2026</t>
        </is>
      </c>
      <c r="D53" s="3" t="inlineStr">
        <is>
          <t>A</t>
        </is>
      </c>
      <c r="E53" s="3" t="inlineStr">
        <is>
          <t>PORTFOLIO</t>
        </is>
      </c>
      <c r="F53" s="3" t="inlineStr">
        <is>
          <t>Portafoglio</t>
        </is>
      </c>
      <c r="G53" s="3" t="inlineStr">
        <is>
          <t>ALTERACAO de autorizacao (o que mudou e quando)</t>
        </is>
      </c>
      <c r="H53" s="3" t="inlineStr">
        <is>
          <t>CRITICAL</t>
        </is>
      </c>
      <c r="I53" s="3" t="inlineStr">
        <is>
          <t>STRONG</t>
        </is>
      </c>
      <c r="J53" s="3" t="inlineStr">
        <is>
          <t>Emilia-Romagna como sede; o conteudo e' NACIONAL</t>
        </is>
      </c>
      <c r="K53" s="3" t="inlineStr">
        <is>
          <t>MEDIUM — anual, mas com data fixa e programa publicado</t>
        </is>
      </c>
    </row>
    <row r="54">
      <c r="A54" s="3" t="inlineStr">
        <is>
          <t>Convegno «Prodotti fitosanitari: le novità»</t>
        </is>
      </c>
      <c r="B54" s="3" t="inlineStr">
        <is>
          <t>Regione Emilia-Romagna — Settore Fitosanitario, com as empresas de agrofarmacos</t>
        </is>
      </c>
      <c r="C54" s="3" t="inlineStr">
        <is>
          <t>https://agricoltura.regione.emilia-romagna.it/fitosanitario/incontri-e-convegni/prodotti-fitosanitari-novita-2026</t>
        </is>
      </c>
      <c r="D54" s="3" t="inlineStr">
        <is>
          <t>A</t>
        </is>
      </c>
      <c r="E54" s="3" t="inlineStr">
        <is>
          <t>PORTFOLIO</t>
        </is>
      </c>
      <c r="F54" s="3" t="inlineStr">
        <is>
          <t>Portafoglio</t>
        </is>
      </c>
      <c r="G54" s="3" t="inlineStr">
        <is>
          <t>AUTORIZACAO EXCECIONAL (art. 53)</t>
        </is>
      </c>
      <c r="H54" s="3" t="inlineStr">
        <is>
          <t>HIGH</t>
        </is>
      </c>
      <c r="I54" s="3" t="inlineStr">
        <is>
          <t>STRONG</t>
        </is>
      </c>
      <c r="J54" s="3" t="inlineStr">
        <is>
          <t>Emilia-Romagna como sede; o conteudo e' NACIONAL</t>
        </is>
      </c>
      <c r="K54" s="3" t="inlineStr">
        <is>
          <t>MEDIUM — anual, mas com data fixa e programa publicado</t>
        </is>
      </c>
    </row>
    <row r="55">
      <c r="A55" s="3" t="inlineStr">
        <is>
          <t>Convegno «Prodotti fitosanitari: le novità»</t>
        </is>
      </c>
      <c r="B55" s="3" t="inlineStr">
        <is>
          <t>Regione Emilia-Romagna — Settore Fitosanitario, com as empresas de agrofarmacos</t>
        </is>
      </c>
      <c r="C55" s="3" t="inlineStr">
        <is>
          <t>https://agricoltura.regione.emilia-romagna.it/fitosanitario/incontri-e-convegni/prodotti-fitosanitari-novita-2026</t>
        </is>
      </c>
      <c r="D55" s="3" t="inlineStr">
        <is>
          <t>A</t>
        </is>
      </c>
      <c r="E55" s="3" t="inlineStr">
        <is>
          <t>PORTFOLIO</t>
        </is>
      </c>
      <c r="F55" s="3" t="inlineStr">
        <is>
          <t>Portafoglio</t>
        </is>
      </c>
      <c r="G55" s="3" t="inlineStr">
        <is>
          <t>Substancia ativa do produto</t>
        </is>
      </c>
      <c r="H55" s="3" t="inlineStr">
        <is>
          <t>LOW</t>
        </is>
      </c>
      <c r="I55" s="3" t="inlineStr">
        <is>
          <t>STRONG</t>
        </is>
      </c>
      <c r="J55" s="3" t="inlineStr">
        <is>
          <t>Emilia-Romagna como sede; o conteudo e' NACIONAL</t>
        </is>
      </c>
      <c r="K55" s="3" t="inlineStr">
        <is>
          <t>MEDIUM — anual, mas com data fixa e programa publicado</t>
        </is>
      </c>
    </row>
    <row r="56">
      <c r="A56" s="3" t="inlineStr">
        <is>
          <t>EU Pesticides Database + registo de conclusoes de peer review</t>
        </is>
      </c>
      <c r="B56" s="3" t="inlineStr">
        <is>
          <t>Comissao Europeia (DG SANTE) e EFSA</t>
        </is>
      </c>
      <c r="C56" s="3" t="inlineStr">
        <is>
          <t>https://food.ec.europa.eu/plants/pesticides/eu-pesticides-database_en</t>
        </is>
      </c>
      <c r="D56" s="3" t="inlineStr">
        <is>
          <t>A</t>
        </is>
      </c>
      <c r="E56" s="3" t="inlineStr">
        <is>
          <t>PORTFOLIO</t>
        </is>
      </c>
      <c r="F56" s="3" t="inlineStr">
        <is>
          <t>Portafoglio</t>
        </is>
      </c>
      <c r="G56" s="3" t="inlineStr">
        <is>
          <t>Substancia ativa do produto</t>
        </is>
      </c>
      <c r="H56" s="3" t="inlineStr">
        <is>
          <t>LOW</t>
        </is>
      </c>
      <c r="I56" s="3" t="inlineStr">
        <is>
          <t>STRONG</t>
        </is>
      </c>
      <c r="J56" s="3" t="inlineStr">
        <is>
          <t>EUROPEU — vale para Italia por via da UE</t>
        </is>
      </c>
      <c r="K56" s="3" t="inlineStr">
        <is>
          <t>HIGH — continua</t>
        </is>
      </c>
    </row>
    <row r="57">
      <c r="A57" s="3" t="inlineStr">
        <is>
          <t>Banca dati dei prodotti fitosanitari</t>
        </is>
      </c>
      <c r="B57" s="3" t="inlineStr">
        <is>
          <t>Ministero della Salute</t>
        </is>
      </c>
      <c r="C57" s="3" t="inlineStr">
        <is>
          <t>https://www.fitosanitari.salute.gov.it/</t>
        </is>
      </c>
      <c r="D57" s="3" t="inlineStr">
        <is>
          <t>A</t>
        </is>
      </c>
      <c r="E57" s="3" t="inlineStr">
        <is>
          <t>RADAR</t>
        </is>
      </c>
      <c r="F57" s="3" t="inlineStr">
        <is>
          <t>Radar delle Opportunita</t>
        </is>
      </c>
      <c r="G57" s="3" t="inlineStr">
        <is>
          <t>ENTRADA: ligacao produto x problema</t>
        </is>
      </c>
      <c r="H57" s="3" t="inlineStr">
        <is>
          <t>CRITICAL</t>
        </is>
      </c>
      <c r="I57" s="3" t="inlineStr">
        <is>
          <t>HERDADO</t>
        </is>
      </c>
      <c r="J57" s="3" t="inlineStr">
        <is>
          <t>NACIONAL</t>
        </is>
      </c>
      <c r="K57" s="3" t="inlineStr">
        <is>
          <t>HIGH — diaria</t>
        </is>
      </c>
    </row>
    <row r="58">
      <c r="A58" s="3" t="inlineStr">
        <is>
          <t>Boletim tecnico assinado como portador de regiao+papel+data</t>
        </is>
      </c>
      <c r="B58" s="3" t="inlineStr">
        <is>
          <t>padrao observado em: ARSAC (Calabria), CAAR (Liguria), LaMMA (Toscana), Condifesa TVB (Veneto), Consorzi Fitosanitari (Emilia)</t>
        </is>
      </c>
      <c r="C58" s="3" t="inlineStr">
        <is>
          <t>https://www.agriligurianet.it/it/impresa/assistenza-tecnica-e-centri-serivizio/agrometeo-caar/bollettino-di-viticoltura.html</t>
        </is>
      </c>
      <c r="D58" s="3" t="inlineStr">
        <is>
          <t>A</t>
        </is>
      </c>
      <c r="E58" s="3" t="inlineStr">
        <is>
          <t>RADAR</t>
        </is>
      </c>
      <c r="F58" s="3" t="inlineStr">
        <is>
          <t>Radar delle Opportunita</t>
        </is>
      </c>
      <c r="G58" s="3" t="inlineStr">
        <is>
          <t>ENTRADA: voz de campo na mesma cultura/problema</t>
        </is>
      </c>
      <c r="H58" s="3" t="inlineStr">
        <is>
          <t>CRITICAL</t>
        </is>
      </c>
      <c r="I58" s="3" t="inlineStr">
        <is>
          <t>HERDADO</t>
        </is>
      </c>
      <c r="J58" s="3" t="inlineStr">
        <is>
          <t>regional, replicavel nas 20 regioes</t>
        </is>
      </c>
      <c r="K58" s="3" t="inlineStr">
        <is>
          <t>HIGH — semanal na campanha</t>
        </is>
      </c>
    </row>
    <row r="59">
      <c r="A59" s="3" t="inlineStr">
        <is>
          <t>Bollettini viticoli del Servizio Fitosanitario del Veneto</t>
        </is>
      </c>
      <c r="B59" s="3" t="inlineStr">
        <is>
          <t>Regione del Veneto — U.O. Fitosanitario</t>
        </is>
      </c>
      <c r="C59" s="3" t="inlineStr">
        <is>
          <t>https://www.regione.veneto.it/web/fitosanitario/bollettini-viticoli</t>
        </is>
      </c>
      <c r="D59" s="3" t="inlineStr">
        <is>
          <t>A</t>
        </is>
      </c>
      <c r="E59" s="3" t="inlineStr">
        <is>
          <t>RADAR</t>
        </is>
      </c>
      <c r="F59" s="3" t="inlineStr">
        <is>
          <t>Radar delle Opportunita</t>
        </is>
      </c>
      <c r="G59" s="3" t="inlineStr">
        <is>
          <t>ENTRADA: janela de cultura com data e regiao</t>
        </is>
      </c>
      <c r="H59" s="3" t="inlineStr">
        <is>
          <t>CRITICAL</t>
        </is>
      </c>
      <c r="I59" s="3" t="inlineStr">
        <is>
          <t>HERDADO</t>
        </is>
      </c>
      <c r="J59" s="3" t="inlineStr">
        <is>
          <t>Veneto</t>
        </is>
      </c>
      <c r="K59" s="3" t="inlineStr">
        <is>
          <t>HIGH — semanal na campanha</t>
        </is>
      </c>
    </row>
    <row r="60">
      <c r="A60" s="3" t="inlineStr">
        <is>
          <t>Bollettino Nazionale di Fenologia</t>
        </is>
      </c>
      <c r="B60" s="3" t="inlineStr">
        <is>
          <t>Rete Rurale Nazionale (RRN) / MASAF</t>
        </is>
      </c>
      <c r="C60" s="3" t="inlineStr">
        <is>
          <t>https://www.reterurale.it/bollettinofeno</t>
        </is>
      </c>
      <c r="D60" s="3" t="inlineStr">
        <is>
          <t>A</t>
        </is>
      </c>
      <c r="E60" s="3" t="inlineStr">
        <is>
          <t>RADAR</t>
        </is>
      </c>
      <c r="F60" s="3" t="inlineStr">
        <is>
          <t>Radar delle Opportunita</t>
        </is>
      </c>
      <c r="G60" s="3" t="inlineStr">
        <is>
          <t>ENTRADA: janela de cultura com data e regiao</t>
        </is>
      </c>
      <c r="H60" s="3" t="inlineStr">
        <is>
          <t>CRITICAL</t>
        </is>
      </c>
      <c r="I60" s="3" t="inlineStr">
        <is>
          <t>HERDADO</t>
        </is>
      </c>
      <c r="J60" s="3" t="inlineStr">
        <is>
          <t>NACIONAL, com detalhe regional</t>
        </is>
      </c>
      <c r="K60" s="3" t="inlineStr">
        <is>
          <t>HIGH — periodicidade declarada</t>
        </is>
      </c>
    </row>
    <row r="61">
      <c r="A61" s="3" t="inlineStr">
        <is>
          <t>Dataflow DCSP_COLTIVAZIONI (coltivazioni: superficie, produzione, resa)</t>
        </is>
      </c>
      <c r="B61" s="3" t="inlineStr">
        <is>
          <t>ISTAT</t>
        </is>
      </c>
      <c r="C61" s="3" t="inlineStr">
        <is>
          <t>https://esploradati.istat.it/SDMXWS/rest/</t>
        </is>
      </c>
      <c r="D61" s="3" t="inlineStr">
        <is>
          <t>A</t>
        </is>
      </c>
      <c r="E61" s="3" t="inlineStr">
        <is>
          <t>RADAR</t>
        </is>
      </c>
      <c r="F61" s="3" t="inlineStr">
        <is>
          <t>Radar delle Opportunita</t>
        </is>
      </c>
      <c r="G61" s="3" t="inlineStr">
        <is>
          <t>ENTRADA: mercado da mesma cultura</t>
        </is>
      </c>
      <c r="H61" s="3" t="inlineStr">
        <is>
          <t>CRITICAL</t>
        </is>
      </c>
      <c r="I61" s="3" t="inlineStr">
        <is>
          <t>HERDADO</t>
        </is>
      </c>
      <c r="J61" s="3" t="inlineStr">
        <is>
          <t>NACIONAL com regiao, provincia e altimetria</t>
        </is>
      </c>
      <c r="K61" s="3" t="inlineStr">
        <is>
          <t>HIGH — estimativas mensais, serie anual consolidada</t>
        </is>
      </c>
    </row>
    <row r="62">
      <c r="A62" s="3" t="inlineStr">
        <is>
          <t>Centri di saggio con certificazione GEP</t>
        </is>
      </c>
      <c r="B62" s="3" t="inlineStr">
        <is>
          <t>privados: Agrea (agrea.it), Sagea (sagea.com), AgriSearch (agrisearch-innovations.com), Agro Services (agroservicesperimentazione.com), Agritec (agritecsrl.it), Repros (repros.vi.it)</t>
        </is>
      </c>
      <c r="C62" s="3" t="inlineStr">
        <is>
          <t>https://www.agrea.it/</t>
        </is>
      </c>
      <c r="D62" s="3" t="inlineStr">
        <is>
          <t>REJECT_COMO_FONTE_DE_DADO</t>
        </is>
      </c>
      <c r="E62" s="3" t="inlineStr">
        <is>
          <t>SCIENCE</t>
        </is>
      </c>
      <c r="F62" s="3" t="inlineStr">
        <is>
          <t>Intelligence Scientifica</t>
        </is>
      </c>
      <c r="G62" s="3" t="inlineStr">
        <is>
          <t>ENSAIO DE CAMPO / trial com resultado</t>
        </is>
      </c>
      <c r="H62" s="3" t="inlineStr">
        <is>
          <t>HIGH</t>
        </is>
      </c>
      <c r="I62" s="3" t="inlineStr">
        <is>
          <t>NO</t>
        </is>
      </c>
      <c r="J62" s="3" t="inlineStr">
        <is>
          <t>NACIONAL</t>
        </is>
      </c>
      <c r="K62" s="3" t="inlineStr">
        <is>
          <t>LOW — para efeito de publicacao</t>
        </is>
      </c>
    </row>
    <row r="63">
      <c r="A63" s="3" t="inlineStr">
        <is>
          <t>Giornate Fitopatologiche — atti e programma</t>
        </is>
      </c>
      <c r="B63" s="3" t="inlineStr">
        <is>
          <t>Comitato delle Giornate Fitopatologiche (universidades italianas)</t>
        </is>
      </c>
      <c r="C63" s="3" t="inlineStr">
        <is>
          <t>https://giornatefitopatologiche.it/</t>
        </is>
      </c>
      <c r="D63" s="3" t="inlineStr">
        <is>
          <t>A</t>
        </is>
      </c>
      <c r="E63" s="3" t="inlineStr">
        <is>
          <t>SCIENCE</t>
        </is>
      </c>
      <c r="F63" s="3" t="inlineStr">
        <is>
          <t>Intelligence Scientifica</t>
        </is>
      </c>
      <c r="G63" s="3" t="inlineStr">
        <is>
          <t>LOCAL DO ESTUDO (onde o ensaio foi feito)</t>
        </is>
      </c>
      <c r="H63" s="3" t="inlineStr">
        <is>
          <t>HIGH</t>
        </is>
      </c>
      <c r="I63" s="3" t="inlineStr">
        <is>
          <t>WEAK</t>
        </is>
      </c>
      <c r="J63" s="3" t="inlineStr">
        <is>
          <t>NACIONAL</t>
        </is>
      </c>
      <c r="K63" s="3" t="inlineStr">
        <is>
          <t>MEDIUM — bienal/anual, com atas publicadas</t>
        </is>
      </c>
    </row>
    <row r="64">
      <c r="A64" s="3" t="inlineStr">
        <is>
          <t>Giornate Fitopatologiche — atti e programma</t>
        </is>
      </c>
      <c r="B64" s="3" t="inlineStr">
        <is>
          <t>Comitato delle Giornate Fitopatologiche (universidades italianas)</t>
        </is>
      </c>
      <c r="C64" s="3" t="inlineStr">
        <is>
          <t>https://giornatefitopatologiche.it/</t>
        </is>
      </c>
      <c r="D64" s="3" t="inlineStr">
        <is>
          <t>A</t>
        </is>
      </c>
      <c r="E64" s="3" t="inlineStr">
        <is>
          <t>SCIENCE</t>
        </is>
      </c>
      <c r="F64" s="3" t="inlineStr">
        <is>
          <t>Intelligence Scientifica</t>
        </is>
      </c>
      <c r="G64" s="3" t="inlineStr">
        <is>
          <t>METODO e RESULTADO medido (eficacia)</t>
        </is>
      </c>
      <c r="H64" s="3" t="inlineStr">
        <is>
          <t>HIGH</t>
        </is>
      </c>
      <c r="I64" s="3" t="inlineStr">
        <is>
          <t>WEAK</t>
        </is>
      </c>
      <c r="J64" s="3" t="inlineStr">
        <is>
          <t>NACIONAL</t>
        </is>
      </c>
      <c r="K64" s="3" t="inlineStr">
        <is>
          <t>MEDIUM — bienal/anual, com atas publicadas</t>
        </is>
      </c>
    </row>
    <row r="65">
      <c r="A65" s="3" t="inlineStr">
        <is>
          <t>Giornate Fitopatologiche — atti e programma</t>
        </is>
      </c>
      <c r="B65" s="3" t="inlineStr">
        <is>
          <t>Comitato delle Giornate Fitopatologiche (universidades italianas)</t>
        </is>
      </c>
      <c r="C65" s="3" t="inlineStr">
        <is>
          <t>https://giornatefitopatologiche.it/</t>
        </is>
      </c>
      <c r="D65" s="3" t="inlineStr">
        <is>
          <t>A</t>
        </is>
      </c>
      <c r="E65" s="3" t="inlineStr">
        <is>
          <t>SCIENCE</t>
        </is>
      </c>
      <c r="F65" s="3" t="inlineStr">
        <is>
          <t>Intelligence Scientifica</t>
        </is>
      </c>
      <c r="G65" s="3" t="inlineStr">
        <is>
          <t>ENSAIO DE CAMPO / trial com resultado</t>
        </is>
      </c>
      <c r="H65" s="3" t="inlineStr">
        <is>
          <t>HIGH</t>
        </is>
      </c>
      <c r="I65" s="3" t="inlineStr">
        <is>
          <t>NO</t>
        </is>
      </c>
      <c r="J65" s="3" t="inlineStr">
        <is>
          <t>NACIONAL</t>
        </is>
      </c>
      <c r="K65" s="3" t="inlineStr">
        <is>
          <t>MEDIUM — bienal/anual, com atas publicadas</t>
        </is>
      </c>
    </row>
    <row r="66">
      <c r="A66" s="3" t="inlineStr">
        <is>
          <t>Giornate Fitopatologiche — atti e programma</t>
        </is>
      </c>
      <c r="B66" s="3" t="inlineStr">
        <is>
          <t>Comitato delle Giornate Fitopatologiche (universidades italianas)</t>
        </is>
      </c>
      <c r="C66" s="3" t="inlineStr">
        <is>
          <t>https://giornatefitopatologiche.it/</t>
        </is>
      </c>
      <c r="D66" s="3" t="inlineStr">
        <is>
          <t>A</t>
        </is>
      </c>
      <c r="E66" s="3" t="inlineStr">
        <is>
          <t>SCIENCE</t>
        </is>
      </c>
      <c r="F66" s="3" t="inlineStr">
        <is>
          <t>Intelligence Scientifica</t>
        </is>
      </c>
      <c r="G66" s="3" t="inlineStr">
        <is>
          <t>Cultura e problema do trabalho</t>
        </is>
      </c>
      <c r="H66" s="3" t="inlineStr">
        <is>
          <t>LOW</t>
        </is>
      </c>
      <c r="I66" s="3" t="inlineStr">
        <is>
          <t>STRONG</t>
        </is>
      </c>
      <c r="J66" s="3" t="inlineStr">
        <is>
          <t>NACIONAL</t>
        </is>
      </c>
      <c r="K66" s="3" t="inlineStr">
        <is>
          <t>MEDIUM — bienal/anual, com atas publicadas</t>
        </is>
      </c>
    </row>
    <row r="67">
      <c r="A67" s="3" t="inlineStr">
        <is>
          <t>Boletim tecnico assinado como portador de regiao+papel+data</t>
        </is>
      </c>
      <c r="B67" s="3" t="inlineStr">
        <is>
          <t>padrao observado em: ARSAC (Calabria), CAAR (Liguria), LaMMA (Toscana), Condifesa TVB (Veneto), Consorzi Fitosanitari (Emilia)</t>
        </is>
      </c>
      <c r="C67" s="3" t="inlineStr">
        <is>
          <t>https://www.agriligurianet.it/it/impresa/assistenza-tecnica-e-centri-serivizio/agrometeo-caar/bollettino-di-viticoltura.html</t>
        </is>
      </c>
      <c r="D67" s="3" t="inlineStr">
        <is>
          <t>A</t>
        </is>
      </c>
      <c r="E67" s="3" t="inlineStr">
        <is>
          <t>VOICES</t>
        </is>
      </c>
      <c r="F67" s="3" t="inlineStr">
        <is>
          <t>Voci dal Campo</t>
        </is>
      </c>
      <c r="G67" s="3" t="inlineStr">
        <is>
          <t>REGIAO da voz de campo</t>
        </is>
      </c>
      <c r="H67" s="3" t="inlineStr">
        <is>
          <t>CRITICAL</t>
        </is>
      </c>
      <c r="I67" s="3" t="inlineStr">
        <is>
          <t>STRONG_MAS_TROCA_A_VOZ</t>
        </is>
      </c>
      <c r="J67" s="3" t="inlineStr">
        <is>
          <t>regional, replicavel nas 20 regioes</t>
        </is>
      </c>
      <c r="K67" s="3" t="inlineStr">
        <is>
          <t>HIGH — semanal na campanha</t>
        </is>
      </c>
    </row>
    <row r="68">
      <c r="A68" s="3" t="inlineStr">
        <is>
          <t>Boletim tecnico assinado como portador de regiao+papel+data</t>
        </is>
      </c>
      <c r="B68" s="3" t="inlineStr">
        <is>
          <t>padrao observado em: ARSAC (Calabria), CAAR (Liguria), LaMMA (Toscana), Condifesa TVB (Veneto), Consorzi Fitosanitari (Emilia)</t>
        </is>
      </c>
      <c r="C68" s="3" t="inlineStr">
        <is>
          <t>https://www.agriligurianet.it/it/impresa/assistenza-tecnica-e-centri-serivizio/agrometeo-caar/bollettino-di-viticoltura.html</t>
        </is>
      </c>
      <c r="D68" s="3" t="inlineStr">
        <is>
          <t>A</t>
        </is>
      </c>
      <c r="E68" s="3" t="inlineStr">
        <is>
          <t>VOICES</t>
        </is>
      </c>
      <c r="F68" s="3" t="inlineStr">
        <is>
          <t>Voci dal Campo</t>
        </is>
      </c>
      <c r="G68" s="3" t="inlineStr">
        <is>
          <t>PAPEL de quem fala (produtor? tecnico? amador?)</t>
        </is>
      </c>
      <c r="H68" s="3" t="inlineStr">
        <is>
          <t>CRITICAL</t>
        </is>
      </c>
      <c r="I68" s="3" t="inlineStr">
        <is>
          <t>STRONG</t>
        </is>
      </c>
      <c r="J68" s="3" t="inlineStr">
        <is>
          <t>regional, replicavel nas 20 regioes</t>
        </is>
      </c>
      <c r="K68" s="3" t="inlineStr">
        <is>
          <t>HIGH — semanal na campanha</t>
        </is>
      </c>
    </row>
    <row r="69">
      <c r="A69" s="3" t="inlineStr">
        <is>
          <t>Boletim tecnico assinado como portador de regiao+papel+data</t>
        </is>
      </c>
      <c r="B69" s="3" t="inlineStr">
        <is>
          <t>padrao observado em: ARSAC (Calabria), CAAR (Liguria), LaMMA (Toscana), Condifesa TVB (Veneto), Consorzi Fitosanitari (Emilia)</t>
        </is>
      </c>
      <c r="C69" s="3" t="inlineStr">
        <is>
          <t>https://www.agriligurianet.it/it/impresa/assistenza-tecnica-e-centri-serivizio/agrometeo-caar/bollettino-di-viticoltura.html</t>
        </is>
      </c>
      <c r="D69" s="3" t="inlineStr">
        <is>
          <t>A</t>
        </is>
      </c>
      <c r="E69" s="3" t="inlineStr">
        <is>
          <t>VOICES</t>
        </is>
      </c>
      <c r="F69" s="3" t="inlineStr">
        <is>
          <t>Voci dal Campo</t>
        </is>
      </c>
      <c r="G69" s="3" t="inlineStr">
        <is>
          <t>DATA da observacao de campo</t>
        </is>
      </c>
      <c r="H69" s="3" t="inlineStr">
        <is>
          <t>CRITICAL</t>
        </is>
      </c>
      <c r="I69" s="3" t="inlineStr">
        <is>
          <t>STRONG_MAS_TROCA_A_VOZ</t>
        </is>
      </c>
      <c r="J69" s="3" t="inlineStr">
        <is>
          <t>regional, replicavel nas 20 regioes</t>
        </is>
      </c>
      <c r="K69" s="3" t="inlineStr">
        <is>
          <t>HIGH — semanal na campanha</t>
        </is>
      </c>
    </row>
    <row r="70">
      <c r="A70" s="3" t="inlineStr">
        <is>
          <t>Boletim tecnico assinado como portador de regiao+papel+data</t>
        </is>
      </c>
      <c r="B70" s="3" t="inlineStr">
        <is>
          <t>padrao observado em: ARSAC (Calabria), CAAR (Liguria), LaMMA (Toscana), Condifesa TVB (Veneto), Consorzi Fitosanitari (Emilia)</t>
        </is>
      </c>
      <c r="C70" s="3" t="inlineStr">
        <is>
          <t>https://www.agriligurianet.it/it/impresa/assistenza-tecnica-e-centri-serivizio/agrometeo-caar/bollettino-di-viticoltura.html</t>
        </is>
      </c>
      <c r="D70" s="3" t="inlineStr">
        <is>
          <t>A</t>
        </is>
      </c>
      <c r="E70" s="3" t="inlineStr">
        <is>
          <t>VOICES</t>
        </is>
      </c>
      <c r="F70" s="3" t="inlineStr">
        <is>
          <t>Voci dal Campo</t>
        </is>
      </c>
      <c r="G70" s="3" t="inlineStr">
        <is>
          <t>CANAL com exemplo real e data de publicacao</t>
        </is>
      </c>
      <c r="H70" s="3" t="inlineStr">
        <is>
          <t>MEDIUM</t>
        </is>
      </c>
      <c r="I70" s="3" t="inlineStr">
        <is>
          <t>WEAK</t>
        </is>
      </c>
      <c r="J70" s="3" t="inlineStr">
        <is>
          <t>regional, replicavel nas 20 regioes</t>
        </is>
      </c>
      <c r="K70" s="3" t="inlineStr">
        <is>
          <t>HIGH — semanal na campanha</t>
        </is>
      </c>
    </row>
    <row r="71">
      <c r="A71" s="3" t="inlineStr">
        <is>
          <t>Bollettini agronomici per vite dell'Ufficio Agronomico</t>
        </is>
      </c>
      <c r="B71" s="3" t="inlineStr">
        <is>
          <t>Terre dell'Etruria — cooperativa agricola (Toscana)</t>
        </is>
      </c>
      <c r="C71" s="3" t="inlineStr">
        <is>
          <t>https://www.terretruria.it/agronomi/vite/16-bollettini-agronomici-per-vite/</t>
        </is>
      </c>
      <c r="D71" s="3" t="inlineStr">
        <is>
          <t>B</t>
        </is>
      </c>
      <c r="E71" s="3" t="inlineStr">
        <is>
          <t>VOICES</t>
        </is>
      </c>
      <c r="F71" s="3" t="inlineStr">
        <is>
          <t>Voci dal Campo</t>
        </is>
      </c>
      <c r="G71" s="3" t="inlineStr">
        <is>
          <t>PAPEL de quem fala (produtor? tecnico? amador?)</t>
        </is>
      </c>
      <c r="H71" s="3" t="inlineStr">
        <is>
          <t>CRITICAL</t>
        </is>
      </c>
      <c r="I71" s="3" t="inlineStr">
        <is>
          <t>STRONG</t>
        </is>
      </c>
      <c r="J71" s="3" t="inlineStr">
        <is>
          <t>Toscana costeira (Livorno/Grosseto)</t>
        </is>
      </c>
      <c r="K71" s="3" t="inlineStr">
        <is>
          <t>MEDIUM — declarado como serie, sem periodicidade escrita</t>
        </is>
      </c>
    </row>
    <row r="72">
      <c r="A72" s="3" t="inlineStr">
        <is>
          <t>Bollettini agronomici per vite dell'Ufficio Agronomico</t>
        </is>
      </c>
      <c r="B72" s="3" t="inlineStr">
        <is>
          <t>Terre dell'Etruria — cooperativa agricola (Toscana)</t>
        </is>
      </c>
      <c r="C72" s="3" t="inlineStr">
        <is>
          <t>https://www.terretruria.it/agronomi/vite/16-bollettini-agronomici-per-vite/</t>
        </is>
      </c>
      <c r="D72" s="3" t="inlineStr">
        <is>
          <t>B</t>
        </is>
      </c>
      <c r="E72" s="3" t="inlineStr">
        <is>
          <t>VOICES</t>
        </is>
      </c>
      <c r="F72" s="3" t="inlineStr">
        <is>
          <t>Voci dal Campo</t>
        </is>
      </c>
      <c r="G72" s="3" t="inlineStr">
        <is>
          <t>Voz de campo com autor identificado</t>
        </is>
      </c>
      <c r="H72" s="3" t="inlineStr">
        <is>
          <t>LOW</t>
        </is>
      </c>
      <c r="I72" s="3" t="inlineStr">
        <is>
          <t>STRONG</t>
        </is>
      </c>
      <c r="J72" s="3" t="inlineStr">
        <is>
          <t>Toscana costeira (Livorno/Grosseto)</t>
        </is>
      </c>
      <c r="K72" s="3" t="inlineStr">
        <is>
          <t>MEDIUM — declarado como serie, sem periodicidade escrita</t>
        </is>
      </c>
    </row>
    <row r="73">
      <c r="A73" s="3" t="inlineStr">
        <is>
          <t>Bollettini di viticoltura e di olivicoltura del CAAR</t>
        </is>
      </c>
      <c r="B73" s="3" t="inlineStr">
        <is>
          <t>Regione Liguria — CAAR / Servizi Imprese Agricole</t>
        </is>
      </c>
      <c r="C73" s="3" t="inlineStr">
        <is>
          <t>https://www.agriligurianet.it/it/impresa/assistenza-tecnica-e-centri-serivizio/agrometeo-caar/bollettino-di-olivicoltura.html</t>
        </is>
      </c>
      <c r="D73" s="3" t="inlineStr">
        <is>
          <t>A</t>
        </is>
      </c>
      <c r="E73" s="3" t="inlineStr">
        <is>
          <t>VOICES</t>
        </is>
      </c>
      <c r="F73" s="3" t="inlineStr">
        <is>
          <t>Voci dal Campo</t>
        </is>
      </c>
      <c r="G73" s="3" t="inlineStr">
        <is>
          <t>REGIAO da voz de campo</t>
        </is>
      </c>
      <c r="H73" s="3" t="inlineStr">
        <is>
          <t>CRITICAL</t>
        </is>
      </c>
      <c r="I73" s="3" t="inlineStr">
        <is>
          <t>STRONG_MAS_TROCA_A_VOZ</t>
        </is>
      </c>
      <c r="J73" s="3" t="inlineStr">
        <is>
          <t>Liguria, por provincia (GE/IM/SP/SV)</t>
        </is>
      </c>
      <c r="K73" s="3" t="inlineStr">
        <is>
          <t>HIGH — semanal de abril a setembro, mensal de outubro a marco</t>
        </is>
      </c>
    </row>
    <row r="74">
      <c r="A74" s="3" t="inlineStr">
        <is>
          <t>Bollettini di viticoltura e di olivicoltura del CAAR</t>
        </is>
      </c>
      <c r="B74" s="3" t="inlineStr">
        <is>
          <t>Regione Liguria — CAAR / Servizi Imprese Agricole</t>
        </is>
      </c>
      <c r="C74" s="3" t="inlineStr">
        <is>
          <t>https://www.agriligurianet.it/it/impresa/assistenza-tecnica-e-centri-serivizio/agrometeo-caar/bollettino-di-olivicoltura.html</t>
        </is>
      </c>
      <c r="D74" s="3" t="inlineStr">
        <is>
          <t>A</t>
        </is>
      </c>
      <c r="E74" s="3" t="inlineStr">
        <is>
          <t>VOICES</t>
        </is>
      </c>
      <c r="F74" s="3" t="inlineStr">
        <is>
          <t>Voci dal Campo</t>
        </is>
      </c>
      <c r="G74" s="3" t="inlineStr">
        <is>
          <t>DATA da observacao de campo</t>
        </is>
      </c>
      <c r="H74" s="3" t="inlineStr">
        <is>
          <t>CRITICAL</t>
        </is>
      </c>
      <c r="I74" s="3" t="inlineStr">
        <is>
          <t>STRONG_MAS_TROCA_A_VOZ</t>
        </is>
      </c>
      <c r="J74" s="3" t="inlineStr">
        <is>
          <t>Liguria, por provincia (GE/IM/SP/SV)</t>
        </is>
      </c>
      <c r="K74" s="3" t="inlineStr">
        <is>
          <t>HIGH — semanal de abril a setembro, mensal de outubro a marco</t>
        </is>
      </c>
    </row>
    <row r="75">
      <c r="A75" s="3" t="inlineStr">
        <is>
          <t>Bollettini fenologici di uno studio agronomico privato (Agralia)</t>
        </is>
      </c>
      <c r="B75" s="3" t="inlineStr">
        <is>
          <t>Agralia Studio Agronomico — Brescia</t>
        </is>
      </c>
      <c r="C75" s="3" t="inlineStr">
        <is>
          <t>https://www.agralia.it/</t>
        </is>
      </c>
      <c r="D75" s="3" t="inlineStr">
        <is>
          <t>B</t>
        </is>
      </c>
      <c r="E75" s="3" t="inlineStr">
        <is>
          <t>VOICES</t>
        </is>
      </c>
      <c r="F75" s="3" t="inlineStr">
        <is>
          <t>Voci dal Campo</t>
        </is>
      </c>
      <c r="G75" s="3" t="inlineStr">
        <is>
          <t>PAPEL de quem fala (produtor? tecnico? amador?)</t>
        </is>
      </c>
      <c r="H75" s="3" t="inlineStr">
        <is>
          <t>CRITICAL</t>
        </is>
      </c>
      <c r="I75" s="3" t="inlineStr">
        <is>
          <t>STRONG</t>
        </is>
      </c>
      <c r="J75" s="3" t="inlineStr">
        <is>
          <t>Brescia / Lombardia</t>
        </is>
      </c>
      <c r="K75" s="3" t="inlineStr">
        <is>
          <t>MEDIUM — periodico, mas periodicidade nao declarada</t>
        </is>
      </c>
    </row>
    <row r="76">
      <c r="A76" s="3" t="inlineStr">
        <is>
          <t>Bollettini fenologici di uno studio agronomico privato (Agralia)</t>
        </is>
      </c>
      <c r="B76" s="3" t="inlineStr">
        <is>
          <t>Agralia Studio Agronomico — Brescia</t>
        </is>
      </c>
      <c r="C76" s="3" t="inlineStr">
        <is>
          <t>https://www.agralia.it/</t>
        </is>
      </c>
      <c r="D76" s="3" t="inlineStr">
        <is>
          <t>B</t>
        </is>
      </c>
      <c r="E76" s="3" t="inlineStr">
        <is>
          <t>VOICES</t>
        </is>
      </c>
      <c r="F76" s="3" t="inlineStr">
        <is>
          <t>Voci dal Campo</t>
        </is>
      </c>
      <c r="G76" s="3" t="inlineStr">
        <is>
          <t>Voz de campo com autor identificado</t>
        </is>
      </c>
      <c r="H76" s="3" t="inlineStr">
        <is>
          <t>LOW</t>
        </is>
      </c>
      <c r="I76" s="3" t="inlineStr">
        <is>
          <t>STRONG</t>
        </is>
      </c>
      <c r="J76" s="3" t="inlineStr">
        <is>
          <t>Brescia / Lombardia</t>
        </is>
      </c>
      <c r="K76" s="3" t="inlineStr">
        <is>
          <t>MEDIUM — periodico, mas periodicidade nao declarada</t>
        </is>
      </c>
    </row>
    <row r="77">
      <c r="A77" s="3" t="inlineStr">
        <is>
          <t>Bollettino agrometeorologico e fitosanitario ARSAC</t>
        </is>
      </c>
      <c r="B77" s="3" t="inlineStr">
        <is>
          <t>ARSAC — Azienda Regionale per lo Sviluppo dell'Agricoltura Calabrese</t>
        </is>
      </c>
      <c r="C77" s="3" t="inlineStr">
        <is>
          <t>https://www.arsacweb.it/bollettino-agrometeorologico-e-fitosanitario-agrumi-olivo-e-vite/</t>
        </is>
      </c>
      <c r="D77" s="3" t="inlineStr">
        <is>
          <t>A</t>
        </is>
      </c>
      <c r="E77" s="3" t="inlineStr">
        <is>
          <t>VOICES</t>
        </is>
      </c>
      <c r="F77" s="3" t="inlineStr">
        <is>
          <t>Voci dal Campo</t>
        </is>
      </c>
      <c r="G77" s="3" t="inlineStr">
        <is>
          <t>REGIAO da voz de campo</t>
        </is>
      </c>
      <c r="H77" s="3" t="inlineStr">
        <is>
          <t>CRITICAL</t>
        </is>
      </c>
      <c r="I77" s="3" t="inlineStr">
        <is>
          <t>STRONG_MAS_TROCA_A_VOZ</t>
        </is>
      </c>
      <c r="J77" s="3" t="inlineStr">
        <is>
          <t>Calabria, subdividida em 8 zonas</t>
        </is>
      </c>
      <c r="K77" s="3" t="inlineStr">
        <is>
          <t>HIGH — semanal, com intervalo de validade explicito</t>
        </is>
      </c>
    </row>
    <row r="78">
      <c r="A78" s="3" t="inlineStr">
        <is>
          <t>Bollettino agrometeorologico e fitosanitario ARSAC</t>
        </is>
      </c>
      <c r="B78" s="3" t="inlineStr">
        <is>
          <t>ARSAC — Azienda Regionale per lo Sviluppo dell'Agricoltura Calabrese</t>
        </is>
      </c>
      <c r="C78" s="3" t="inlineStr">
        <is>
          <t>https://www.arsacweb.it/bollettino-agrometeorologico-e-fitosanitario-agrumi-olivo-e-vite/</t>
        </is>
      </c>
      <c r="D78" s="3" t="inlineStr">
        <is>
          <t>A</t>
        </is>
      </c>
      <c r="E78" s="3" t="inlineStr">
        <is>
          <t>VOICES</t>
        </is>
      </c>
      <c r="F78" s="3" t="inlineStr">
        <is>
          <t>Voci dal Campo</t>
        </is>
      </c>
      <c r="G78" s="3" t="inlineStr">
        <is>
          <t>DATA da observacao de campo</t>
        </is>
      </c>
      <c r="H78" s="3" t="inlineStr">
        <is>
          <t>CRITICAL</t>
        </is>
      </c>
      <c r="I78" s="3" t="inlineStr">
        <is>
          <t>STRONG_MAS_TROCA_A_VOZ</t>
        </is>
      </c>
      <c r="J78" s="3" t="inlineStr">
        <is>
          <t>Calabria, subdividida em 8 zonas</t>
        </is>
      </c>
      <c r="K78" s="3" t="inlineStr">
        <is>
          <t>HIGH — semanal, com intervalo de validade explicito</t>
        </is>
      </c>
    </row>
    <row r="79">
      <c r="A79" s="3" t="inlineStr">
        <is>
          <t>Calendario fenologico e Forum Fitoiatrico del Condifesa TVB</t>
        </is>
      </c>
      <c r="B79" s="3" t="inlineStr">
        <is>
          <t>Condifesa Treviso e Belluno</t>
        </is>
      </c>
      <c r="C79" s="3" t="inlineStr">
        <is>
          <t>https://www.condifesatvb.it/forum-fitoiatrico/</t>
        </is>
      </c>
      <c r="D79" s="3" t="inlineStr">
        <is>
          <t>A</t>
        </is>
      </c>
      <c r="E79" s="3" t="inlineStr">
        <is>
          <t>VOICES</t>
        </is>
      </c>
      <c r="F79" s="3" t="inlineStr">
        <is>
          <t>Voci dal Campo</t>
        </is>
      </c>
      <c r="G79" s="3" t="inlineStr">
        <is>
          <t>PAPEL de quem fala (produtor? tecnico? amador?)</t>
        </is>
      </c>
      <c r="H79" s="3" t="inlineStr">
        <is>
          <t>CRITICAL</t>
        </is>
      </c>
      <c r="I79" s="3" t="inlineStr">
        <is>
          <t>STRONG</t>
        </is>
      </c>
      <c r="J79" s="3" t="inlineStr">
        <is>
          <t>Treviso e Belluno (Veneto)</t>
        </is>
      </c>
      <c r="K79" s="3" t="inlineStr">
        <is>
          <t>MEDIUM — anual (forum) mais serie de campanha (calendario)</t>
        </is>
      </c>
    </row>
    <row r="80">
      <c r="A80" s="3" t="inlineStr">
        <is>
          <t>Calendario fenologico e Forum Fitoiatrico del Condifesa TVB</t>
        </is>
      </c>
      <c r="B80" s="3" t="inlineStr">
        <is>
          <t>Condifesa Treviso e Belluno</t>
        </is>
      </c>
      <c r="C80" s="3" t="inlineStr">
        <is>
          <t>https://www.condifesatvb.it/forum-fitoiatrico/</t>
        </is>
      </c>
      <c r="D80" s="3" t="inlineStr">
        <is>
          <t>A</t>
        </is>
      </c>
      <c r="E80" s="3" t="inlineStr">
        <is>
          <t>VOICES</t>
        </is>
      </c>
      <c r="F80" s="3" t="inlineStr">
        <is>
          <t>Voci dal Campo</t>
        </is>
      </c>
      <c r="G80" s="3" t="inlineStr">
        <is>
          <t>REGIAO da voz de campo</t>
        </is>
      </c>
      <c r="H80" s="3" t="inlineStr">
        <is>
          <t>CRITICAL</t>
        </is>
      </c>
      <c r="I80" s="3" t="inlineStr">
        <is>
          <t>STRONG_MAS_TROCA_A_VOZ</t>
        </is>
      </c>
      <c r="J80" s="3" t="inlineStr">
        <is>
          <t>Treviso e Belluno (Veneto)</t>
        </is>
      </c>
      <c r="K80" s="3" t="inlineStr">
        <is>
          <t>MEDIUM — anual (forum) mais serie de campanha (calendario)</t>
        </is>
      </c>
    </row>
    <row r="81">
      <c r="A81" s="3" t="inlineStr">
        <is>
          <t>Calendario fenologico e Forum Fitoiatrico del Condifesa TVB</t>
        </is>
      </c>
      <c r="B81" s="3" t="inlineStr">
        <is>
          <t>Condifesa Treviso e Belluno</t>
        </is>
      </c>
      <c r="C81" s="3" t="inlineStr">
        <is>
          <t>https://www.condifesatvb.it/forum-fitoiatrico/</t>
        </is>
      </c>
      <c r="D81" s="3" t="inlineStr">
        <is>
          <t>A</t>
        </is>
      </c>
      <c r="E81" s="3" t="inlineStr">
        <is>
          <t>VOICES</t>
        </is>
      </c>
      <c r="F81" s="3" t="inlineStr">
        <is>
          <t>Voci dal Campo</t>
        </is>
      </c>
      <c r="G81" s="3" t="inlineStr">
        <is>
          <t>DATA da observacao de campo</t>
        </is>
      </c>
      <c r="H81" s="3" t="inlineStr">
        <is>
          <t>CRITICAL</t>
        </is>
      </c>
      <c r="I81" s="3" t="inlineStr">
        <is>
          <t>STRONG_MAS_TROCA_A_VOZ</t>
        </is>
      </c>
      <c r="J81" s="3" t="inlineStr">
        <is>
          <t>Treviso e Belluno (Veneto)</t>
        </is>
      </c>
      <c r="K81" s="3" t="inlineStr">
        <is>
          <t>MEDIUM — anual (forum) mais serie de campanha (calendario)</t>
        </is>
      </c>
    </row>
    <row r="82">
      <c r="A82" s="3" t="inlineStr">
        <is>
          <t>Federazioni e Ordini dei Dottori Agronomi e Forestali</t>
        </is>
      </c>
      <c r="B82" s="3" t="inlineStr">
        <is>
          <t>CONAF e as federacoes regionais</t>
        </is>
      </c>
      <c r="C82" s="3" t="inlineStr">
        <is>
          <t>https://www.conaf.it/</t>
        </is>
      </c>
      <c r="D82" s="3" t="inlineStr">
        <is>
          <t>A</t>
        </is>
      </c>
      <c r="E82" s="3" t="inlineStr">
        <is>
          <t>VOICES</t>
        </is>
      </c>
      <c r="F82" s="3" t="inlineStr">
        <is>
          <t>Voci dal Campo</t>
        </is>
      </c>
      <c r="G82" s="3" t="inlineStr">
        <is>
          <t>PAPEL de quem fala (produtor? tecnico? amador?)</t>
        </is>
      </c>
      <c r="H82" s="3" t="inlineStr">
        <is>
          <t>CRITICAL</t>
        </is>
      </c>
      <c r="I82" s="3" t="inlineStr">
        <is>
          <t>STRONG</t>
        </is>
      </c>
      <c r="J82" s="3" t="inlineStr">
        <is>
          <t>NACIONAL, por federacao regional</t>
        </is>
      </c>
      <c r="K82" s="3" t="inlineStr">
        <is>
          <t>HIGH — o albo e' mantido</t>
        </is>
      </c>
    </row>
    <row r="83">
      <c r="A83" s="3" t="inlineStr">
        <is>
          <t>Federazioni e Ordini dei Dottori Agronomi e Forestali</t>
        </is>
      </c>
      <c r="B83" s="3" t="inlineStr">
        <is>
          <t>CONAF e as federacoes regionais</t>
        </is>
      </c>
      <c r="C83" s="3" t="inlineStr">
        <is>
          <t>https://www.conaf.it/</t>
        </is>
      </c>
      <c r="D83" s="3" t="inlineStr">
        <is>
          <t>A</t>
        </is>
      </c>
      <c r="E83" s="3" t="inlineStr">
        <is>
          <t>VOICES</t>
        </is>
      </c>
      <c r="F83" s="3" t="inlineStr">
        <is>
          <t>Voci dal Campo</t>
        </is>
      </c>
      <c r="G83" s="3" t="inlineStr">
        <is>
          <t>REGIAO da voz de campo</t>
        </is>
      </c>
      <c r="H83" s="3" t="inlineStr">
        <is>
          <t>CRITICAL</t>
        </is>
      </c>
      <c r="I83" s="3" t="inlineStr">
        <is>
          <t>STRONG_MAS_TROCA_A_VOZ</t>
        </is>
      </c>
      <c r="J83" s="3" t="inlineStr">
        <is>
          <t>NACIONAL, por federacao regional</t>
        </is>
      </c>
      <c r="K83" s="3" t="inlineStr">
        <is>
          <t>HIGH — o albo e' mantido</t>
        </is>
      </c>
    </row>
    <row r="84">
      <c r="A84" s="3" t="inlineStr">
        <is>
          <t>Salute delle piante in Lombardia · app Fitodetective</t>
        </is>
      </c>
      <c r="B84" s="3" t="inlineStr">
        <is>
          <t>Regione Lombardia — Servizio Fitosanitario regionale</t>
        </is>
      </c>
      <c r="C84" s="3" t="inlineStr">
        <is>
          <t>https://www.salutepianteinlombardia.it/</t>
        </is>
      </c>
      <c r="D84" s="3" t="inlineStr">
        <is>
          <t>B</t>
        </is>
      </c>
      <c r="E84" s="3" t="inlineStr">
        <is>
          <t>VOICES</t>
        </is>
      </c>
      <c r="F84" s="3" t="inlineStr">
        <is>
          <t>Voci dal Campo</t>
        </is>
      </c>
      <c r="G84" s="3" t="inlineStr">
        <is>
          <t>REGIAO da voz de campo</t>
        </is>
      </c>
      <c r="H84" s="3" t="inlineStr">
        <is>
          <t>CRITICAL</t>
        </is>
      </c>
      <c r="I84" s="3" t="inlineStr">
        <is>
          <t>STRONG_MAS_TROCA_A_VOZ</t>
        </is>
      </c>
      <c r="J84" s="3" t="inlineStr">
        <is>
          <t>Lombardia</t>
        </is>
      </c>
      <c r="K84" s="3" t="inlineStr">
        <is>
          <t>MEDIUM — por evento</t>
        </is>
      </c>
    </row>
    <row r="85">
      <c r="A85" s="3" t="inlineStr">
        <is>
          <t>Bollettini agronomici per vite dell'Ufficio Agronomico</t>
        </is>
      </c>
      <c r="B85" s="3" t="inlineStr">
        <is>
          <t>Terre dell'Etruria — cooperativa agricola (Toscana)</t>
        </is>
      </c>
      <c r="C85" s="3" t="inlineStr">
        <is>
          <t>https://www.terretruria.it/agronomi/vite/16-bollettini-agronomici-per-vite/</t>
        </is>
      </c>
      <c r="D85" s="3" t="inlineStr">
        <is>
          <t>B</t>
        </is>
      </c>
      <c r="E85" s="3" t="inlineStr">
        <is>
          <t>WINDOWS</t>
        </is>
      </c>
      <c r="F85" s="3" t="inlineStr">
        <is>
          <t>Finestre Colturali</t>
        </is>
      </c>
      <c r="G85" s="3" t="inlineStr">
        <is>
          <t>FASE DO PROBLEMA (em que estadio esta a praga/doenca)</t>
        </is>
      </c>
      <c r="H85" s="3" t="inlineStr">
        <is>
          <t>HIGH</t>
        </is>
      </c>
      <c r="I85" s="3" t="inlineStr">
        <is>
          <t>STRONG</t>
        </is>
      </c>
      <c r="J85" s="3" t="inlineStr">
        <is>
          <t>Toscana costeira (Livorno/Grosseto)</t>
        </is>
      </c>
      <c r="K85" s="3" t="inlineStr">
        <is>
          <t>MEDIUM — declarado como serie, sem periodicidade escrita</t>
        </is>
      </c>
    </row>
    <row r="86">
      <c r="A86" s="3" t="inlineStr">
        <is>
          <t>Bollettini di viticoltura e di olivicoltura del CAAR</t>
        </is>
      </c>
      <c r="B86" s="3" t="inlineStr">
        <is>
          <t>Regione Liguria — CAAR / Servizi Imprese Agricole</t>
        </is>
      </c>
      <c r="C86" s="3" t="inlineStr">
        <is>
          <t>https://www.agriligurianet.it/it/impresa/assistenza-tecnica-e-centri-serivizio/agrometeo-caar/bollettino-di-olivicoltura.html</t>
        </is>
      </c>
      <c r="D86" s="3" t="inlineStr">
        <is>
          <t>A</t>
        </is>
      </c>
      <c r="E86" s="3" t="inlineStr">
        <is>
          <t>WINDOWS</t>
        </is>
      </c>
      <c r="F86" s="3" t="inlineStr">
        <is>
          <t>Finestre Colturali</t>
        </is>
      </c>
      <c r="G86" s="3" t="inlineStr">
        <is>
          <t>FASE FENOLOGICA DA CULTURA (o que a planta esta a fazer)</t>
        </is>
      </c>
      <c r="H86" s="3" t="inlineStr">
        <is>
          <t>CRITICAL</t>
        </is>
      </c>
      <c r="I86" s="3" t="inlineStr">
        <is>
          <t>STRONG</t>
        </is>
      </c>
      <c r="J86" s="3" t="inlineStr">
        <is>
          <t>Liguria, por provincia (GE/IM/SP/SV)</t>
        </is>
      </c>
      <c r="K86" s="3" t="inlineStr">
        <is>
          <t>HIGH — semanal de abril a setembro, mensal de outubro a marco</t>
        </is>
      </c>
    </row>
    <row r="87">
      <c r="A87" s="3" t="inlineStr">
        <is>
          <t>Bollettini di viticoltura e di olivicoltura del CAAR</t>
        </is>
      </c>
      <c r="B87" s="3" t="inlineStr">
        <is>
          <t>Regione Liguria — CAAR / Servizi Imprese Agricole</t>
        </is>
      </c>
      <c r="C87" s="3" t="inlineStr">
        <is>
          <t>https://www.agriligurianet.it/it/impresa/assistenza-tecnica-e-centri-serivizio/agrometeo-caar/bollettino-di-olivicoltura.html</t>
        </is>
      </c>
      <c r="D87" s="3" t="inlineStr">
        <is>
          <t>A</t>
        </is>
      </c>
      <c r="E87" s="3" t="inlineStr">
        <is>
          <t>WINDOWS</t>
        </is>
      </c>
      <c r="F87" s="3" t="inlineStr">
        <is>
          <t>Finestre Colturali</t>
        </is>
      </c>
      <c r="G87" s="3" t="inlineStr">
        <is>
          <t>Datas de inicio e fim da janela</t>
        </is>
      </c>
      <c r="H87" s="3" t="inlineStr">
        <is>
          <t>MEDIUM</t>
        </is>
      </c>
      <c r="I87" s="3" t="inlineStr">
        <is>
          <t>STRONG</t>
        </is>
      </c>
      <c r="J87" s="3" t="inlineStr">
        <is>
          <t>Liguria, por provincia (GE/IM/SP/SV)</t>
        </is>
      </c>
      <c r="K87" s="3" t="inlineStr">
        <is>
          <t>HIGH — semanal de abril a setembro, mensal de outubro a marco</t>
        </is>
      </c>
    </row>
    <row r="88">
      <c r="A88" s="3" t="inlineStr">
        <is>
          <t>Bollettini di viticoltura e di olivicoltura del CAAR</t>
        </is>
      </c>
      <c r="B88" s="3" t="inlineStr">
        <is>
          <t>Regione Liguria — CAAR / Servizi Imprese Agricole</t>
        </is>
      </c>
      <c r="C88" s="3" t="inlineStr">
        <is>
          <t>https://www.agriligurianet.it/it/impresa/assistenza-tecnica-e-centri-serivizio/agrometeo-caar/bollettino-di-olivicoltura.html</t>
        </is>
      </c>
      <c r="D88" s="3" t="inlineStr">
        <is>
          <t>A</t>
        </is>
      </c>
      <c r="E88" s="3" t="inlineStr">
        <is>
          <t>WINDOWS</t>
        </is>
      </c>
      <c r="F88" s="3" t="inlineStr">
        <is>
          <t>Finestre Colturali</t>
        </is>
      </c>
      <c r="G88" s="3" t="inlineStr">
        <is>
          <t>OBSERVACAO DE CAMPO (fase observada, nao esperada)</t>
        </is>
      </c>
      <c r="H88" s="3" t="inlineStr">
        <is>
          <t>HIGH</t>
        </is>
      </c>
      <c r="I88" s="3" t="inlineStr">
        <is>
          <t>STRONG</t>
        </is>
      </c>
      <c r="J88" s="3" t="inlineStr">
        <is>
          <t>Liguria, por provincia (GE/IM/SP/SV)</t>
        </is>
      </c>
      <c r="K88" s="3" t="inlineStr">
        <is>
          <t>HIGH — semanal de abril a setembro, mensal de outubro a marco</t>
        </is>
      </c>
    </row>
    <row r="89">
      <c r="A89" s="3" t="inlineStr">
        <is>
          <t>Bollettini fenologici di uno studio agronomico privato (Agralia)</t>
        </is>
      </c>
      <c r="B89" s="3" t="inlineStr">
        <is>
          <t>Agralia Studio Agronomico — Brescia</t>
        </is>
      </c>
      <c r="C89" s="3" t="inlineStr">
        <is>
          <t>https://www.agralia.it/</t>
        </is>
      </c>
      <c r="D89" s="3" t="inlineStr">
        <is>
          <t>B</t>
        </is>
      </c>
      <c r="E89" s="3" t="inlineStr">
        <is>
          <t>WINDOWS</t>
        </is>
      </c>
      <c r="F89" s="3" t="inlineStr">
        <is>
          <t>Finestre Colturali</t>
        </is>
      </c>
      <c r="G89" s="3" t="inlineStr">
        <is>
          <t>FASE FENOLOGICA DA CULTURA (o que a planta esta a fazer)</t>
        </is>
      </c>
      <c r="H89" s="3" t="inlineStr">
        <is>
          <t>CRITICAL</t>
        </is>
      </c>
      <c r="I89" s="3" t="inlineStr">
        <is>
          <t>STRONG</t>
        </is>
      </c>
      <c r="J89" s="3" t="inlineStr">
        <is>
          <t>Brescia / Lombardia</t>
        </is>
      </c>
      <c r="K89" s="3" t="inlineStr">
        <is>
          <t>MEDIUM — periodico, mas periodicidade nao declarada</t>
        </is>
      </c>
    </row>
    <row r="90">
      <c r="A90" s="3" t="inlineStr">
        <is>
          <t>Bollettini fenologici di uno studio agronomico privato (Agralia)</t>
        </is>
      </c>
      <c r="B90" s="3" t="inlineStr">
        <is>
          <t>Agralia Studio Agronomico — Brescia</t>
        </is>
      </c>
      <c r="C90" s="3" t="inlineStr">
        <is>
          <t>https://www.agralia.it/</t>
        </is>
      </c>
      <c r="D90" s="3" t="inlineStr">
        <is>
          <t>B</t>
        </is>
      </c>
      <c r="E90" s="3" t="inlineStr">
        <is>
          <t>WINDOWS</t>
        </is>
      </c>
      <c r="F90" s="3" t="inlineStr">
        <is>
          <t>Finestre Colturali</t>
        </is>
      </c>
      <c r="G90" s="3" t="inlineStr">
        <is>
          <t>OBSERVACAO DE CAMPO (fase observada, nao esperada)</t>
        </is>
      </c>
      <c r="H90" s="3" t="inlineStr">
        <is>
          <t>HIGH</t>
        </is>
      </c>
      <c r="I90" s="3" t="inlineStr">
        <is>
          <t>STRONG</t>
        </is>
      </c>
      <c r="J90" s="3" t="inlineStr">
        <is>
          <t>Brescia / Lombardia</t>
        </is>
      </c>
      <c r="K90" s="3" t="inlineStr">
        <is>
          <t>MEDIUM — periodico, mas periodicidade nao declarada</t>
        </is>
      </c>
    </row>
    <row r="91">
      <c r="A91" s="3" t="inlineStr">
        <is>
          <t>Bollettini viticoli del Servizio Fitosanitario del Veneto</t>
        </is>
      </c>
      <c r="B91" s="3" t="inlineStr">
        <is>
          <t>Regione del Veneto — U.O. Fitosanitario</t>
        </is>
      </c>
      <c r="C91" s="3" t="inlineStr">
        <is>
          <t>https://www.regione.veneto.it/web/fitosanitario/bollettini-viticoli</t>
        </is>
      </c>
      <c r="D91" s="3" t="inlineStr">
        <is>
          <t>A</t>
        </is>
      </c>
      <c r="E91" s="3" t="inlineStr">
        <is>
          <t>WINDOWS</t>
        </is>
      </c>
      <c r="F91" s="3" t="inlineStr">
        <is>
          <t>Finestre Colturali</t>
        </is>
      </c>
      <c r="G91" s="3" t="inlineStr">
        <is>
          <t>FASE FENOLOGICA DA CULTURA (o que a planta esta a fazer)</t>
        </is>
      </c>
      <c r="H91" s="3" t="inlineStr">
        <is>
          <t>CRITICAL</t>
        </is>
      </c>
      <c r="I91" s="3" t="inlineStr">
        <is>
          <t>STRONG</t>
        </is>
      </c>
      <c r="J91" s="3" t="inlineStr">
        <is>
          <t>Veneto</t>
        </is>
      </c>
      <c r="K91" s="3" t="inlineStr">
        <is>
          <t>HIGH — semanal na campanha</t>
        </is>
      </c>
    </row>
    <row r="92">
      <c r="A92" s="3" t="inlineStr">
        <is>
          <t>Bollettini viticoli del Servizio Fitosanitario del Veneto</t>
        </is>
      </c>
      <c r="B92" s="3" t="inlineStr">
        <is>
          <t>Regione del Veneto — U.O. Fitosanitario</t>
        </is>
      </c>
      <c r="C92" s="3" t="inlineStr">
        <is>
          <t>https://www.regione.veneto.it/web/fitosanitario/bollettini-viticoli</t>
        </is>
      </c>
      <c r="D92" s="3" t="inlineStr">
        <is>
          <t>A</t>
        </is>
      </c>
      <c r="E92" s="3" t="inlineStr">
        <is>
          <t>WINDOWS</t>
        </is>
      </c>
      <c r="F92" s="3" t="inlineStr">
        <is>
          <t>Finestre Colturali</t>
        </is>
      </c>
      <c r="G92" s="3" t="inlineStr">
        <is>
          <t>FASE DO PROBLEMA (em que estadio esta a praga/doenca)</t>
        </is>
      </c>
      <c r="H92" s="3" t="inlineStr">
        <is>
          <t>HIGH</t>
        </is>
      </c>
      <c r="I92" s="3" t="inlineStr">
        <is>
          <t>STRONG</t>
        </is>
      </c>
      <c r="J92" s="3" t="inlineStr">
        <is>
          <t>Veneto</t>
        </is>
      </c>
      <c r="K92" s="3" t="inlineStr">
        <is>
          <t>HIGH — semanal na campanha</t>
        </is>
      </c>
    </row>
    <row r="93">
      <c r="A93" s="3" t="inlineStr">
        <is>
          <t>Bollettini viticoli del Servizio Fitosanitario del Veneto</t>
        </is>
      </c>
      <c r="B93" s="3" t="inlineStr">
        <is>
          <t>Regione del Veneto — U.O. Fitosanitario</t>
        </is>
      </c>
      <c r="C93" s="3" t="inlineStr">
        <is>
          <t>https://www.regione.veneto.it/web/fitosanitario/bollettini-viticoli</t>
        </is>
      </c>
      <c r="D93" s="3" t="inlineStr">
        <is>
          <t>A</t>
        </is>
      </c>
      <c r="E93" s="3" t="inlineStr">
        <is>
          <t>WINDOWS</t>
        </is>
      </c>
      <c r="F93" s="3" t="inlineStr">
        <is>
          <t>Finestre Colturali</t>
        </is>
      </c>
      <c r="G93" s="3" t="inlineStr">
        <is>
          <t>ATO REGULATORIO regional que abre/fecha a janela</t>
        </is>
      </c>
      <c r="H93" s="3" t="inlineStr">
        <is>
          <t>HIGH</t>
        </is>
      </c>
      <c r="I93" s="3" t="inlineStr">
        <is>
          <t>STRONG</t>
        </is>
      </c>
      <c r="J93" s="3" t="inlineStr">
        <is>
          <t>Veneto</t>
        </is>
      </c>
      <c r="K93" s="3" t="inlineStr">
        <is>
          <t>HIGH — semanal na campanha</t>
        </is>
      </c>
    </row>
    <row r="94">
      <c r="A94" s="3" t="inlineStr">
        <is>
          <t>Bollettino Nazionale di Fenologia</t>
        </is>
      </c>
      <c r="B94" s="3" t="inlineStr">
        <is>
          <t>Rete Rurale Nazionale (RRN) / MASAF</t>
        </is>
      </c>
      <c r="C94" s="3" t="inlineStr">
        <is>
          <t>https://www.reterurale.it/bollettinofeno</t>
        </is>
      </c>
      <c r="D94" s="3" t="inlineStr">
        <is>
          <t>A</t>
        </is>
      </c>
      <c r="E94" s="3" t="inlineStr">
        <is>
          <t>WINDOWS</t>
        </is>
      </c>
      <c r="F94" s="3" t="inlineStr">
        <is>
          <t>Finestre Colturali</t>
        </is>
      </c>
      <c r="G94" s="3" t="inlineStr">
        <is>
          <t>FASE FENOLOGICA DA CULTURA (o que a planta esta a fazer)</t>
        </is>
      </c>
      <c r="H94" s="3" t="inlineStr">
        <is>
          <t>CRITICAL</t>
        </is>
      </c>
      <c r="I94" s="3" t="inlineStr">
        <is>
          <t>STRONG</t>
        </is>
      </c>
      <c r="J94" s="3" t="inlineStr">
        <is>
          <t>NACIONAL, com detalhe regional</t>
        </is>
      </c>
      <c r="K94" s="3" t="inlineStr">
        <is>
          <t>HIGH — periodicidade declarada</t>
        </is>
      </c>
    </row>
    <row r="95">
      <c r="A95" s="3" t="inlineStr">
        <is>
          <t>Bollettino Nazionale di Fenologia</t>
        </is>
      </c>
      <c r="B95" s="3" t="inlineStr">
        <is>
          <t>Rete Rurale Nazionale (RRN) / MASAF</t>
        </is>
      </c>
      <c r="C95" s="3" t="inlineStr">
        <is>
          <t>https://www.reterurale.it/bollettinofeno</t>
        </is>
      </c>
      <c r="D95" s="3" t="inlineStr">
        <is>
          <t>A</t>
        </is>
      </c>
      <c r="E95" s="3" t="inlineStr">
        <is>
          <t>WINDOWS</t>
        </is>
      </c>
      <c r="F95" s="3" t="inlineStr">
        <is>
          <t>Finestre Colturali</t>
        </is>
      </c>
      <c r="G95" s="3" t="inlineStr">
        <is>
          <t>Desvio fenologico por regiao (a mesma cultura adianta/atrasa)</t>
        </is>
      </c>
      <c r="H95" s="3" t="inlineStr">
        <is>
          <t>HIGH</t>
        </is>
      </c>
      <c r="I95" s="3" t="inlineStr">
        <is>
          <t>STRONG</t>
        </is>
      </c>
      <c r="J95" s="3" t="inlineStr">
        <is>
          <t>NACIONAL, com detalhe regional</t>
        </is>
      </c>
      <c r="K95" s="3" t="inlineStr">
        <is>
          <t>HIGH — periodicidade declarada</t>
        </is>
      </c>
    </row>
    <row r="96">
      <c r="A96" s="3" t="inlineStr">
        <is>
          <t>Bollettino Vite Integrato provinciale</t>
        </is>
      </c>
      <c r="B96" s="3" t="inlineStr">
        <is>
          <t>Consorzio LaMMA (Toscana)</t>
        </is>
      </c>
      <c r="C96" s="3" t="inlineStr">
        <is>
          <t>https://www.lamma.toscana.it/previ/ita/agrometeo/</t>
        </is>
      </c>
      <c r="D96" s="3" t="inlineStr">
        <is>
          <t>A</t>
        </is>
      </c>
      <c r="E96" s="3" t="inlineStr">
        <is>
          <t>WINDOWS</t>
        </is>
      </c>
      <c r="F96" s="3" t="inlineStr">
        <is>
          <t>Finestre Colturali</t>
        </is>
      </c>
      <c r="G96" s="3" t="inlineStr">
        <is>
          <t>FASE FENOLOGICA DA CULTURA (o que a planta esta a fazer)</t>
        </is>
      </c>
      <c r="H96" s="3" t="inlineStr">
        <is>
          <t>CRITICAL</t>
        </is>
      </c>
      <c r="I96" s="3" t="inlineStr">
        <is>
          <t>STRONG</t>
        </is>
      </c>
      <c r="J96" s="3" t="inlineStr">
        <is>
          <t>Toscana, por provincia</t>
        </is>
      </c>
      <c r="K96" s="3" t="inlineStr">
        <is>
          <t>HIGH — serie provincial datada na campanha</t>
        </is>
      </c>
    </row>
    <row r="97">
      <c r="A97" s="3" t="inlineStr">
        <is>
          <t>Bollettino Vite Integrato provinciale</t>
        </is>
      </c>
      <c r="B97" s="3" t="inlineStr">
        <is>
          <t>Consorzio LaMMA (Toscana)</t>
        </is>
      </c>
      <c r="C97" s="3" t="inlineStr">
        <is>
          <t>https://www.lamma.toscana.it/previ/ita/agrometeo/</t>
        </is>
      </c>
      <c r="D97" s="3" t="inlineStr">
        <is>
          <t>A</t>
        </is>
      </c>
      <c r="E97" s="3" t="inlineStr">
        <is>
          <t>WINDOWS</t>
        </is>
      </c>
      <c r="F97" s="3" t="inlineStr">
        <is>
          <t>Finestre Colturali</t>
        </is>
      </c>
      <c r="G97" s="3" t="inlineStr">
        <is>
          <t>Desvio fenologico por regiao (a mesma cultura adianta/atrasa)</t>
        </is>
      </c>
      <c r="H97" s="3" t="inlineStr">
        <is>
          <t>HIGH</t>
        </is>
      </c>
      <c r="I97" s="3" t="inlineStr">
        <is>
          <t>STRONG</t>
        </is>
      </c>
      <c r="J97" s="3" t="inlineStr">
        <is>
          <t>Toscana, por provincia</t>
        </is>
      </c>
      <c r="K97" s="3" t="inlineStr">
        <is>
          <t>HIGH — serie provincial datada na campanha</t>
        </is>
      </c>
    </row>
    <row r="98">
      <c r="A98" s="3" t="inlineStr">
        <is>
          <t>Bollettino Vite Integrato provinciale</t>
        </is>
      </c>
      <c r="B98" s="3" t="inlineStr">
        <is>
          <t>Consorzio LaMMA (Toscana)</t>
        </is>
      </c>
      <c r="C98" s="3" t="inlineStr">
        <is>
          <t>https://www.lamma.toscana.it/previ/ita/agrometeo/</t>
        </is>
      </c>
      <c r="D98" s="3" t="inlineStr">
        <is>
          <t>A</t>
        </is>
      </c>
      <c r="E98" s="3" t="inlineStr">
        <is>
          <t>WINDOWS</t>
        </is>
      </c>
      <c r="F98" s="3" t="inlineStr">
        <is>
          <t>Finestre Colturali</t>
        </is>
      </c>
      <c r="G98" s="3" t="inlineStr">
        <is>
          <t>Cultura e regiao da janela</t>
        </is>
      </c>
      <c r="H98" s="3" t="inlineStr">
        <is>
          <t>LOW</t>
        </is>
      </c>
      <c r="I98" s="3" t="inlineStr">
        <is>
          <t>STRONG</t>
        </is>
      </c>
      <c r="J98" s="3" t="inlineStr">
        <is>
          <t>Toscana, por provincia</t>
        </is>
      </c>
      <c r="K98" s="3" t="inlineStr">
        <is>
          <t>HIGH — serie provincial datada na campanha</t>
        </is>
      </c>
    </row>
    <row r="99">
      <c r="A99" s="3" t="inlineStr">
        <is>
          <t>Bollettino agrometeorologico e fitosanitario ARSAC</t>
        </is>
      </c>
      <c r="B99" s="3" t="inlineStr">
        <is>
          <t>ARSAC — Azienda Regionale per lo Sviluppo dell'Agricoltura Calabrese</t>
        </is>
      </c>
      <c r="C99" s="3" t="inlineStr">
        <is>
          <t>https://www.arsacweb.it/bollettino-agrometeorologico-e-fitosanitario-agrumi-olivo-e-vite/</t>
        </is>
      </c>
      <c r="D99" s="3" t="inlineStr">
        <is>
          <t>A</t>
        </is>
      </c>
      <c r="E99" s="3" t="inlineStr">
        <is>
          <t>WINDOWS</t>
        </is>
      </c>
      <c r="F99" s="3" t="inlineStr">
        <is>
          <t>Finestre Colturali</t>
        </is>
      </c>
      <c r="G99" s="3" t="inlineStr">
        <is>
          <t>FASE FENOLOGICA DA CULTURA (o que a planta esta a fazer)</t>
        </is>
      </c>
      <c r="H99" s="3" t="inlineStr">
        <is>
          <t>CRITICAL</t>
        </is>
      </c>
      <c r="I99" s="3" t="inlineStr">
        <is>
          <t>STRONG</t>
        </is>
      </c>
      <c r="J99" s="3" t="inlineStr">
        <is>
          <t>Calabria, subdividida em 8 zonas</t>
        </is>
      </c>
      <c r="K99" s="3" t="inlineStr">
        <is>
          <t>HIGH — semanal, com intervalo de validade explicito</t>
        </is>
      </c>
    </row>
    <row r="100">
      <c r="A100" s="3" t="inlineStr">
        <is>
          <t>Bollettino agrometeorologico e fitosanitario ARSAC</t>
        </is>
      </c>
      <c r="B100" s="3" t="inlineStr">
        <is>
          <t>ARSAC — Azienda Regionale per lo Sviluppo dell'Agricoltura Calabrese</t>
        </is>
      </c>
      <c r="C100" s="3" t="inlineStr">
        <is>
          <t>https://www.arsacweb.it/bollettino-agrometeorologico-e-fitosanitario-agrumi-olivo-e-vite/</t>
        </is>
      </c>
      <c r="D100" s="3" t="inlineStr">
        <is>
          <t>A</t>
        </is>
      </c>
      <c r="E100" s="3" t="inlineStr">
        <is>
          <t>WINDOWS</t>
        </is>
      </c>
      <c r="F100" s="3" t="inlineStr">
        <is>
          <t>Finestre Colturali</t>
        </is>
      </c>
      <c r="G100" s="3" t="inlineStr">
        <is>
          <t>Datas de inicio e fim da janela</t>
        </is>
      </c>
      <c r="H100" s="3" t="inlineStr">
        <is>
          <t>MEDIUM</t>
        </is>
      </c>
      <c r="I100" s="3" t="inlineStr">
        <is>
          <t>STRONG</t>
        </is>
      </c>
      <c r="J100" s="3" t="inlineStr">
        <is>
          <t>Calabria, subdividida em 8 zonas</t>
        </is>
      </c>
      <c r="K100" s="3" t="inlineStr">
        <is>
          <t>HIGH — semanal, com intervalo de validade explicito</t>
        </is>
      </c>
    </row>
    <row r="101">
      <c r="A101" s="3" t="inlineStr">
        <is>
          <t>Bollettino agrometeorologico e fitosanitario ARSAC</t>
        </is>
      </c>
      <c r="B101" s="3" t="inlineStr">
        <is>
          <t>ARSAC — Azienda Regionale per lo Sviluppo dell'Agricoltura Calabrese</t>
        </is>
      </c>
      <c r="C101" s="3" t="inlineStr">
        <is>
          <t>https://www.arsacweb.it/bollettino-agrometeorologico-e-fitosanitario-agrumi-olivo-e-vite/</t>
        </is>
      </c>
      <c r="D101" s="3" t="inlineStr">
        <is>
          <t>A</t>
        </is>
      </c>
      <c r="E101" s="3" t="inlineStr">
        <is>
          <t>WINDOWS</t>
        </is>
      </c>
      <c r="F101" s="3" t="inlineStr">
        <is>
          <t>Finestre Colturali</t>
        </is>
      </c>
      <c r="G101" s="3" t="inlineStr">
        <is>
          <t>Cultura e regiao da janela</t>
        </is>
      </c>
      <c r="H101" s="3" t="inlineStr">
        <is>
          <t>LOW</t>
        </is>
      </c>
      <c r="I101" s="3" t="inlineStr">
        <is>
          <t>STRONG</t>
        </is>
      </c>
      <c r="J101" s="3" t="inlineStr">
        <is>
          <t>Calabria, subdividida em 8 zonas</t>
        </is>
      </c>
      <c r="K101" s="3" t="inlineStr">
        <is>
          <t>HIGH — semanal, com intervalo de validade explicito</t>
        </is>
      </c>
    </row>
    <row r="102">
      <c r="A102" s="3" t="inlineStr">
        <is>
          <t>Calendario fenologico e Forum Fitoiatrico del Condifesa TVB</t>
        </is>
      </c>
      <c r="B102" s="3" t="inlineStr">
        <is>
          <t>Condifesa Treviso e Belluno</t>
        </is>
      </c>
      <c r="C102" s="3" t="inlineStr">
        <is>
          <t>https://www.condifesatvb.it/forum-fitoiatrico/</t>
        </is>
      </c>
      <c r="D102" s="3" t="inlineStr">
        <is>
          <t>A</t>
        </is>
      </c>
      <c r="E102" s="3" t="inlineStr">
        <is>
          <t>WINDOWS</t>
        </is>
      </c>
      <c r="F102" s="3" t="inlineStr">
        <is>
          <t>Finestre Colturali</t>
        </is>
      </c>
      <c r="G102" s="3" t="inlineStr">
        <is>
          <t>FASE FENOLOGICA DA CULTURA (o que a planta esta a fazer)</t>
        </is>
      </c>
      <c r="H102" s="3" t="inlineStr">
        <is>
          <t>CRITICAL</t>
        </is>
      </c>
      <c r="I102" s="3" t="inlineStr">
        <is>
          <t>STRONG</t>
        </is>
      </c>
      <c r="J102" s="3" t="inlineStr">
        <is>
          <t>Treviso e Belluno (Veneto)</t>
        </is>
      </c>
      <c r="K102" s="3" t="inlineStr">
        <is>
          <t>MEDIUM — anual (forum) mais serie de campanha (calendario)</t>
        </is>
      </c>
    </row>
    <row r="103">
      <c r="A103" s="3" t="inlineStr">
        <is>
          <t>ERG5 e o indicador «Anomalia della sommatoria gradi giorno»</t>
        </is>
      </c>
      <c r="B103" s="3" t="inlineStr">
        <is>
          <t>Arpae Emilia-Romagna</t>
        </is>
      </c>
      <c r="C103" s="3" t="inlineStr">
        <is>
          <t>https://webbook.arpae.it/clima/</t>
        </is>
      </c>
      <c r="D103" s="3" t="inlineStr">
        <is>
          <t>A</t>
        </is>
      </c>
      <c r="E103" s="3" t="inlineStr">
        <is>
          <t>WINDOWS</t>
        </is>
      </c>
      <c r="F103" s="3" t="inlineStr">
        <is>
          <t>Finestre Colturali</t>
        </is>
      </c>
      <c r="G103" s="3" t="inlineStr">
        <is>
          <t>Desvio fenologico por regiao (a mesma cultura adianta/atrasa)</t>
        </is>
      </c>
      <c r="H103" s="3" t="inlineStr">
        <is>
          <t>HIGH</t>
        </is>
      </c>
      <c r="I103" s="3" t="inlineStr">
        <is>
          <t>STRONG</t>
        </is>
      </c>
      <c r="J103" s="3" t="inlineStr">
        <is>
          <t>Emilia-Romagna, em grelha de 5 km</t>
        </is>
      </c>
      <c r="K103" s="3" t="inlineStr">
        <is>
          <t>HIGH — semanal (mapas) sobre serie de 1961</t>
        </is>
      </c>
    </row>
    <row r="104">
      <c r="A104" s="3" t="inlineStr">
        <is>
          <t>Notiziario agrofenologico e di difesa (olivo, vite)</t>
        </is>
      </c>
      <c r="B104" s="3" t="inlineStr">
        <is>
          <t>Consorzi Fitosanitari Provinciali di Modena e Reggio Emilia</t>
        </is>
      </c>
      <c r="C104" s="3" t="inlineStr">
        <is>
          <t>https://www.fitosanitario.mo.it/fito3/notiziario-agrofenologico-e-di-difesa-della-coltura-dell-oli</t>
        </is>
      </c>
      <c r="D104" s="3" t="inlineStr">
        <is>
          <t>A</t>
        </is>
      </c>
      <c r="E104" s="3" t="inlineStr">
        <is>
          <t>WINDOWS</t>
        </is>
      </c>
      <c r="F104" s="3" t="inlineStr">
        <is>
          <t>Finestre Colturali</t>
        </is>
      </c>
      <c r="G104" s="3" t="inlineStr">
        <is>
          <t>FASE FENOLOGICA DA CULTURA (o que a planta esta a fazer)</t>
        </is>
      </c>
      <c r="H104" s="3" t="inlineStr">
        <is>
          <t>CRITICAL</t>
        </is>
      </c>
      <c r="I104" s="3" t="inlineStr">
        <is>
          <t>STRONG</t>
        </is>
      </c>
      <c r="J104" s="3" t="inlineStr">
        <is>
          <t>provincias de Modena e Reggio Emilia</t>
        </is>
      </c>
      <c r="K104" s="3" t="inlineStr">
        <is>
          <t>HIGH — serie de campanha</t>
        </is>
      </c>
    </row>
    <row r="105">
      <c r="A105" s="3" t="inlineStr">
        <is>
          <t>Notiziario agrofenologico e di difesa (olivo, vite)</t>
        </is>
      </c>
      <c r="B105" s="3" t="inlineStr">
        <is>
          <t>Consorzi Fitosanitari Provinciali di Modena e Reggio Emilia</t>
        </is>
      </c>
      <c r="C105" s="3" t="inlineStr">
        <is>
          <t>https://www.fitosanitario.mo.it/fito3/notiziario-agrofenologico-e-di-difesa-della-coltura-dell-oli</t>
        </is>
      </c>
      <c r="D105" s="3" t="inlineStr">
        <is>
          <t>A</t>
        </is>
      </c>
      <c r="E105" s="3" t="inlineStr">
        <is>
          <t>WINDOWS</t>
        </is>
      </c>
      <c r="F105" s="3" t="inlineStr">
        <is>
          <t>Finestre Colturali</t>
        </is>
      </c>
      <c r="G105" s="3" t="inlineStr">
        <is>
          <t>FASE DO PROBLEMA (em que estadio esta a praga/doenca)</t>
        </is>
      </c>
      <c r="H105" s="3" t="inlineStr">
        <is>
          <t>HIGH</t>
        </is>
      </c>
      <c r="I105" s="3" t="inlineStr">
        <is>
          <t>STRONG</t>
        </is>
      </c>
      <c r="J105" s="3" t="inlineStr">
        <is>
          <t>provincias de Modena e Reggio Emilia</t>
        </is>
      </c>
      <c r="K105" s="3" t="inlineStr">
        <is>
          <t>HIGH — serie de campanha</t>
        </is>
      </c>
    </row>
    <row r="106">
      <c r="A106" s="3" t="inlineStr">
        <is>
          <t>Notiziario agrofenologico e di difesa (olivo, vite)</t>
        </is>
      </c>
      <c r="B106" s="3" t="inlineStr">
        <is>
          <t>Consorzi Fitosanitari Provinciali di Modena e Reggio Emilia</t>
        </is>
      </c>
      <c r="C106" s="3" t="inlineStr">
        <is>
          <t>https://www.fitosanitario.mo.it/fito3/notiziario-agrofenologico-e-di-difesa-della-coltura-dell-oli</t>
        </is>
      </c>
      <c r="D106" s="3" t="inlineStr">
        <is>
          <t>A</t>
        </is>
      </c>
      <c r="E106" s="3" t="inlineStr">
        <is>
          <t>WINDOWS</t>
        </is>
      </c>
      <c r="F106" s="3" t="inlineStr">
        <is>
          <t>Finestre Colturali</t>
        </is>
      </c>
      <c r="G106" s="3" t="inlineStr">
        <is>
          <t>Janela de monitorizacao (quando ir olhar)</t>
        </is>
      </c>
      <c r="H106" s="3" t="inlineStr">
        <is>
          <t>HIGH</t>
        </is>
      </c>
      <c r="I106" s="3" t="inlineStr">
        <is>
          <t>STRONG</t>
        </is>
      </c>
      <c r="J106" s="3" t="inlineStr">
        <is>
          <t>provincias de Modena e Reggio Emilia</t>
        </is>
      </c>
      <c r="K106" s="3" t="inlineStr">
        <is>
          <t>HIGH — serie de campanha</t>
        </is>
      </c>
    </row>
    <row r="107">
      <c r="A107" s="3" t="inlineStr">
        <is>
          <t>Notiziario agrometeorologico e fitosanitario delle Marche</t>
        </is>
      </c>
      <c r="B107" s="3" t="inlineStr">
        <is>
          <t>Regione Marche — ASSAM / Servizio Agrometeo</t>
        </is>
      </c>
      <c r="C107" s="3" t="inlineStr">
        <is>
          <t>https://meteo.regione.marche.it/</t>
        </is>
      </c>
      <c r="D107" s="3" t="inlineStr">
        <is>
          <t>A</t>
        </is>
      </c>
      <c r="E107" s="3" t="inlineStr">
        <is>
          <t>WINDOWS</t>
        </is>
      </c>
      <c r="F107" s="3" t="inlineStr">
        <is>
          <t>Finestre Colturali</t>
        </is>
      </c>
      <c r="G107" s="3" t="inlineStr">
        <is>
          <t>FASE FENOLOGICA DA CULTURA (o que a planta esta a fazer)</t>
        </is>
      </c>
      <c r="H107" s="3" t="inlineStr">
        <is>
          <t>CRITICAL</t>
        </is>
      </c>
      <c r="I107" s="3" t="inlineStr">
        <is>
          <t>STRONG</t>
        </is>
      </c>
      <c r="J107" s="3" t="inlineStr">
        <is>
          <t>Marche</t>
        </is>
      </c>
      <c r="K107" s="3" t="inlineStr">
        <is>
          <t>HIGH — notiziario periodico</t>
        </is>
      </c>
    </row>
    <row r="108">
      <c r="A108" s="3" t="inlineStr">
        <is>
          <t>Notiziario agrometeorologico e fitosanitario delle Marche</t>
        </is>
      </c>
      <c r="B108" s="3" t="inlineStr">
        <is>
          <t>Regione Marche — ASSAM / Servizio Agrometeo</t>
        </is>
      </c>
      <c r="C108" s="3" t="inlineStr">
        <is>
          <t>https://meteo.regione.marche.it/</t>
        </is>
      </c>
      <c r="D108" s="3" t="inlineStr">
        <is>
          <t>A</t>
        </is>
      </c>
      <c r="E108" s="3" t="inlineStr">
        <is>
          <t>WINDOWS</t>
        </is>
      </c>
      <c r="F108" s="3" t="inlineStr">
        <is>
          <t>Finestre Colturali</t>
        </is>
      </c>
      <c r="G108" s="3" t="inlineStr">
        <is>
          <t>OBSERVACAO DE CAMPO (fase observada, nao esperada)</t>
        </is>
      </c>
      <c r="H108" s="3" t="inlineStr">
        <is>
          <t>HIGH</t>
        </is>
      </c>
      <c r="I108" s="3" t="inlineStr">
        <is>
          <t>STRONG</t>
        </is>
      </c>
      <c r="J108" s="3" t="inlineStr">
        <is>
          <t>Marche</t>
        </is>
      </c>
      <c r="K108" s="3" t="inlineStr">
        <is>
          <t>HIGH — notiziario periodico</t>
        </is>
      </c>
    </row>
    <row r="109">
      <c r="A109" s="3" t="inlineStr">
        <is>
          <t>Protezione delle Piante — Emergenze, Sorveglianza, Barriere</t>
        </is>
      </c>
      <c r="B109" s="3" t="inlineStr">
        <is>
          <t>Servizio Fitosanitario Nazionale (MASAF)</t>
        </is>
      </c>
      <c r="C109" s="3" t="inlineStr">
        <is>
          <t>https://www.protezionedellepiante.it/</t>
        </is>
      </c>
      <c r="D109" s="3" t="inlineStr">
        <is>
          <t>A</t>
        </is>
      </c>
      <c r="E109" s="3" t="inlineStr">
        <is>
          <t>WINDOWS</t>
        </is>
      </c>
      <c r="F109" s="3" t="inlineStr">
        <is>
          <t>Finestre Colturali</t>
        </is>
      </c>
      <c r="G109" s="3" t="inlineStr">
        <is>
          <t>ATO REGULATORIO regional que abre/fecha a janela</t>
        </is>
      </c>
      <c r="H109" s="3" t="inlineStr">
        <is>
          <t>HIGH</t>
        </is>
      </c>
      <c r="I109" s="3" t="inlineStr">
        <is>
          <t>STRONG</t>
        </is>
      </c>
      <c r="J109" s="3" t="inlineStr">
        <is>
          <t>NACIONAL, com regiao na declaracao</t>
        </is>
      </c>
      <c r="K109" s="3" t="inlineStr">
        <is>
          <t>HIGH — por evento, e evento ha sempre</t>
        </is>
      </c>
    </row>
    <row r="110">
      <c r="A110" s="3" t="inlineStr">
        <is>
          <t>Rete agrometeorologica regionale (archivio dati)</t>
        </is>
      </c>
      <c r="B110" s="3" t="inlineStr">
        <is>
          <t>Regione Campania — Assessorato Agricoltura</t>
        </is>
      </c>
      <c r="C110" s="3" t="inlineStr">
        <is>
          <t>https://agricoltura.regione.campania.it/meteo/archivio_meteo.html</t>
        </is>
      </c>
      <c r="D110" s="3" t="inlineStr">
        <is>
          <t>A</t>
        </is>
      </c>
      <c r="E110" s="3" t="inlineStr">
        <is>
          <t>WINDOWS</t>
        </is>
      </c>
      <c r="F110" s="3" t="inlineStr">
        <is>
          <t>Finestre Colturali</t>
        </is>
      </c>
      <c r="G110" s="3" t="inlineStr">
        <is>
          <t>Janela de monitorizacao (quando ir olhar)</t>
        </is>
      </c>
      <c r="H110" s="3" t="inlineStr">
        <is>
          <t>HIGH</t>
        </is>
      </c>
      <c r="I110" s="3" t="inlineStr">
        <is>
          <t>STRONG</t>
        </is>
      </c>
      <c r="J110" s="3" t="inlineStr">
        <is>
          <t>Campania</t>
        </is>
      </c>
      <c r="K110" s="3" t="inlineStr">
        <is>
          <t>HIGH — diaria</t>
        </is>
      </c>
    </row>
    <row r="111">
      <c r="A111" s="3" t="inlineStr">
        <is>
          <t>SCIA — Sistema nazionale per l'elaborazione e diffusione di dati climatici</t>
        </is>
      </c>
      <c r="B111" s="3" t="inlineStr">
        <is>
          <t>ISPRA</t>
        </is>
      </c>
      <c r="C111" s="3" t="inlineStr">
        <is>
          <t>https://scia.isprambiente.it/dati-e-indicatori/</t>
        </is>
      </c>
      <c r="D111" s="3" t="inlineStr">
        <is>
          <t>A</t>
        </is>
      </c>
      <c r="E111" s="3" t="inlineStr">
        <is>
          <t>WINDOWS</t>
        </is>
      </c>
      <c r="F111" s="3" t="inlineStr">
        <is>
          <t>Finestre Colturali</t>
        </is>
      </c>
      <c r="G111" s="3" t="inlineStr">
        <is>
          <t>Desvio fenologico por regiao (a mesma cultura adianta/atrasa)</t>
        </is>
      </c>
      <c r="H111" s="3" t="inlineStr">
        <is>
          <t>HIGH</t>
        </is>
      </c>
      <c r="I111" s="3" t="inlineStr">
        <is>
          <t>STRONG</t>
        </is>
      </c>
      <c r="J111" s="3" t="inlineStr">
        <is>
          <t>NACIONAL — agrega as redes regionais</t>
        </is>
      </c>
      <c r="K111" s="3" t="inlineStr">
        <is>
          <t>HIGH — serie continua</t>
        </is>
      </c>
    </row>
  </sheetData>
  <mergeCells count="1">
    <mergeCell ref="A1:K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56" customWidth="1" min="1" max="1"/>
    <col width="25" customWidth="1" min="2" max="2"/>
    <col width="62" customWidth="1" min="3" max="3"/>
    <col width="62" customWidth="1" min="4" max="4"/>
    <col width="62" customWidth="1" min="5" max="5"/>
    <col width="48" customWidth="1" min="6" max="6"/>
    <col width="62" customWidth="1" min="7" max="7"/>
  </cols>
  <sheetData>
    <row r="1" ht="44" customHeight="1">
      <c r="A1" s="1" t="inlineStr">
        <is>
          <t>O OPPORTUNITY RADAR NAO TEM FAMILIA PROPRIA DE FONTES. E' um cruzamento das outras camadas, e por isso aqui nao ha lista de fontes — ha matriz de ENTRADAS, cada uma a apontar para a camada que a produz. Procurar «fontes para o Radar» contaria a mesma fonte duas vezes. Regra dura: o Radar nunca e' melhor do que a sua entrada mais fraca.</t>
        </is>
      </c>
    </row>
    <row r="2">
      <c r="A2" s="2" t="inlineStr">
        <is>
          <t>INPUT_LAYER</t>
        </is>
      </c>
      <c r="B2" s="2" t="inlineStr">
        <is>
          <t>CAMADA_DE_ORIGEM</t>
        </is>
      </c>
      <c r="C2" s="2" t="inlineStr">
        <is>
          <t>AVAILABLE</t>
        </is>
      </c>
      <c r="D2" s="2" t="inlineStr">
        <is>
          <t>SOURCE_COVERAGE</t>
        </is>
      </c>
      <c r="E2" s="2" t="inlineStr">
        <is>
          <t>GEOGRAPHIC_COVERAGE</t>
        </is>
      </c>
      <c r="F2" s="2" t="inlineStr">
        <is>
          <t>FRESHNESS</t>
        </is>
      </c>
      <c r="G2" s="2" t="inlineStr">
        <is>
          <t>GAP</t>
        </is>
      </c>
    </row>
    <row r="3">
      <c r="A3" s="3" t="inlineStr">
        <is>
          <t>JANELA DE CULTURA (cultura × problema × regiao × data)</t>
        </is>
      </c>
      <c r="B3" s="3" t="inlineStr">
        <is>
          <t>WINDOWS</t>
        </is>
      </c>
      <c r="C3" s="3" t="inlineStr">
        <is>
          <t>PARCIAL — 29 janelas existem, mas 0/29 com fase observada e 0/29 com fonte anotada</t>
        </is>
      </c>
      <c r="D3" s="3" t="inlineStr">
        <is>
          <t>STRONG — 4 produtores com BBCH declarado (RRN, Marche, CAAR, Veneto)</t>
        </is>
      </c>
      <c r="E3" s="3" t="inlineStr">
        <is>
          <t>9 de 20 regioes no casco; as fontes novas cobrem Veneto, Liguria, Toscana, Marche, Calabria, Emilia, Lombardia + nacional</t>
        </is>
      </c>
      <c r="F3" s="3" t="inlineStr">
        <is>
          <t>semanal na campanha</t>
        </is>
      </c>
      <c r="G3" s="3" t="inlineStr">
        <is>
          <t>o dado existe sem procedencia e sem observacao. Nao e' falta de fonte: e' falta de ligar a fonte ao registo.</t>
        </is>
      </c>
    </row>
    <row r="4">
      <c r="A4" s="3" t="inlineStr">
        <is>
          <t>LIGACAO PRODUTO × PROBLEMA</t>
        </is>
      </c>
      <c r="B4" s="3" t="inlineStr">
        <is>
          <t>PORTFOLIO</t>
        </is>
      </c>
      <c r="C4" s="3" t="inlineStr">
        <is>
          <t>NAO — PRODUCT_MATCHES 0/29</t>
        </is>
      </c>
      <c r="D4" s="3" t="inlineStr">
        <is>
          <t>NAO_E_GAP_DE_FONTE — os dois lados ja estao em casa (219 produtos, 29 janelas)</t>
        </is>
      </c>
      <c r="E4" s="3" t="inlineStr">
        <is>
          <t>nacional (registo do Ministero)</t>
        </is>
      </c>
      <c r="F4" s="3" t="inlineStr">
        <is>
          <t>diaria no registo</t>
        </is>
      </c>
      <c r="G4" s="3" t="inlineStr">
        <is>
          <t>e' um JOIN interno. Nenhuma fonte italiana publica esta ligacao, e nenhuma coleta a resolve.</t>
        </is>
      </c>
    </row>
    <row r="5">
      <c r="A5" s="3" t="inlineStr">
        <is>
          <t>SINAL DE CONCORRENTE na mesma cultura/problema</t>
        </is>
      </c>
      <c r="B5" s="3" t="inlineStr">
        <is>
          <t>COMPETITORS</t>
        </is>
      </c>
      <c r="C5" s="3" t="inlineStr">
        <is>
          <t>PARCIAL — atividades existem; regiao nao</t>
        </is>
      </c>
      <c r="D5" s="3" t="inlineStr">
        <is>
          <t>STRONG para produto, cultura, alvo, pessoa e conteudo tecnico; WEAK para regiao</t>
        </is>
      </c>
      <c r="E5" s="3" t="inlineStr">
        <is>
          <t>Emilia-Romagna e Veneto por evento; o resto exige vigiar o sitio de cada empresa</t>
        </is>
      </c>
      <c r="F5" s="3" t="inlineStr">
        <is>
          <t>por evento — 6 eventos datados em 2026</t>
        </is>
      </c>
      <c r="G5" s="3" t="inlineStr">
        <is>
          <t>⚠️ o cruzamento «concorrente ativo NESTA regiao» nao e' possivel: nao existe calendario nacional de jornadas por regiao. O local do evento nao e' a regiao da atividade.</t>
        </is>
      </c>
    </row>
    <row r="6">
      <c r="A6" s="3" t="inlineStr">
        <is>
          <t>VOZ DE CAMPO na mesma cultura/problema</t>
        </is>
      </c>
      <c r="B6" s="3" t="inlineStr">
        <is>
          <t>VOICES</t>
        </is>
      </c>
      <c r="C6" s="3" t="inlineStr">
        <is>
          <t>NAO — 0/17 com regiao, 0/17 com papel, 0/17 com data</t>
        </is>
      </c>
      <c r="D6" s="3" t="inlineStr">
        <is>
          <t>STRONG_MAS_TROCA_A_VOZ — o boletim tecnico assinado tem regiao, papel e data; nao e' o produtor a falar</t>
        </is>
      </c>
      <c r="E6" s="3" t="inlineStr">
        <is>
          <t>por zona homogenea (ARSAC: 8 zonas) e por provincia (CAAR, LaMMA)</t>
        </is>
      </c>
      <c r="F6" s="3" t="inlineStr">
        <is>
          <t>semanal na campanha</t>
        </is>
      </c>
      <c r="G6" s="3" t="inlineStr">
        <is>
          <t>⚠️ ESTE E' O PONTO MAIS FRACO DO RADAR. Sem regiao nem data nas vozes, o cruzamento «voz + janela na mesma regiao e no mesmo momento» e' impossivel por construcao. E encher com boletim tecnico responde a outra pergunta.</t>
        </is>
      </c>
    </row>
    <row r="7">
      <c r="A7" s="3" t="inlineStr">
        <is>
          <t>MERCADO da mesma cultura</t>
        </is>
      </c>
      <c r="B7" s="3" t="inlineStr">
        <is>
          <t>MARKET</t>
        </is>
      </c>
      <c r="C7" s="3" t="inlineStr">
        <is>
          <t>PARCIAL — preco sim; producao, area, rendimento e stocks nao</t>
        </is>
      </c>
      <c r="D7" s="3" t="inlineStr">
        <is>
          <t>STRONG para producao/area/rendimento (ISTAT), comercio externo e custo de insumo; WEAK para stocks</t>
        </is>
      </c>
      <c r="E7" s="3" t="inlineStr">
        <is>
          <t>nacional com regiao, provincia e zona altimetrica</t>
        </is>
      </c>
      <c r="F7" s="3" t="inlineStr">
        <is>
          <t>mensal (ISTAT, ISMEA); semanal nas borse merci</t>
        </is>
      </c>
      <c r="G7" s="3" t="inlineStr">
        <is>
          <t>⚠️ a zona altimetrica do ISTAT nao e' a zona agronomica do boletim. Cruzar mercado com janela exige reconciliar duas geografias que ninguem reconciliou.</t>
        </is>
      </c>
    </row>
    <row r="8">
      <c r="A8" s="3" t="inlineStr">
        <is>
          <t>CIENCIA da mesma cultura/problema</t>
        </is>
      </c>
      <c r="B8" s="3" t="inlineStr">
        <is>
          <t>SCIENCE</t>
        </is>
      </c>
      <c r="C8" s="3" t="inlineStr">
        <is>
          <t>PARCIAL — identidade, autor e tema sim; local, metodo e resultado nao</t>
        </is>
      </c>
      <c r="D8" s="3" t="inlineStr">
        <is>
          <t>STRONG para identidade/autor/tema; WEAK para local e metodo; NO para ensaio de registo</t>
        </is>
      </c>
      <c r="E8" s="3" t="inlineStr">
        <is>
          <t>nacional e internacional (OpenAlex)</t>
        </is>
      </c>
      <c r="F8" s="3" t="inlineStr">
        <is>
          <t>continua (OpenAlex); anual (atas)</t>
        </is>
      </c>
      <c r="G8" s="3" t="inlineStr">
        <is>
          <t>⚠️ o ensaio de campo com resultado NAO E' GAP DE FONTE, e' GAP DE ACESSO: os dados GEP sao propriedade de quem encomenda e nao sao publicados.</t>
        </is>
      </c>
    </row>
    <row r="9">
      <c r="A9" s="3" t="inlineStr">
        <is>
          <t>VOCABULARIO UNICO de cultura entre as camadas</t>
        </is>
      </c>
      <c r="B9" s="3" t="inlineStr">
        <is>
          <t>(transversal — nenhuma)</t>
        </is>
      </c>
      <c r="C9" s="3" t="inlineStr">
        <is>
          <t>NAO SEI</t>
        </is>
      </c>
      <c r="D9" s="3" t="inlineStr">
        <is>
          <t>NAO_E_GAP_DE_FONTE</t>
        </is>
      </c>
      <c r="E9" s="3" t="inlineStr">
        <is>
          <t>—</t>
        </is>
      </c>
      <c r="F9" s="3" t="inlineStr">
        <is>
          <t>—</t>
        </is>
      </c>
      <c r="G9" s="3" t="inlineStr">
        <is>
          <t>o nome da cultura chega em seis vocabularios que nao se falam (ja registado na memoria do projeto). Sem um vocabulario, o cruzamento falha em silencio: «vite» e «Grapevine» nao se encontram, e o Radar nao acusa erro — acusa ausencia.</t>
        </is>
      </c>
    </row>
    <row r="10">
      <c r="A10" s="3" t="inlineStr">
        <is>
          <t>IDENTIDADE UNICA de caso entre as camadas</t>
        </is>
      </c>
      <c r="B10" s="3" t="inlineStr">
        <is>
          <t>(transversal — nenhuma)</t>
        </is>
      </c>
      <c r="C10" s="3" t="inlineStr">
        <is>
          <t>NAO SEI</t>
        </is>
      </c>
      <c r="D10" s="3" t="inlineStr">
        <is>
          <t>NAO_E_GAP_DE_FONTE</t>
        </is>
      </c>
      <c r="E10" s="3" t="inlineStr">
        <is>
          <t>—</t>
        </is>
      </c>
      <c r="F10" s="3" t="inlineStr">
        <is>
          <t>—</t>
        </is>
      </c>
      <c r="G10" s="3" t="inlineStr">
        <is>
          <t>sem identificador comum, duas camadas a falar do mesmo caso nao sabem que falam do mesmo caso.</t>
        </is>
      </c>
    </row>
  </sheetData>
  <mergeCells count="1">
    <mergeCell ref="A1:G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22"/>
  <sheetViews>
    <sheetView workbookViewId="0">
      <pane ySplit="2" topLeftCell="A3" activePane="bottomLeft" state="frozen"/>
      <selection pane="bottomLeft" activeCell="A1" sqref="A1"/>
    </sheetView>
  </sheetViews>
  <sheetFormatPr baseColWidth="8" defaultRowHeight="15"/>
  <cols>
    <col width="23" customWidth="1" min="1" max="1"/>
    <col width="16" customWidth="1" min="2" max="2"/>
    <col width="17" customWidth="1" min="3" max="3"/>
    <col width="17" customWidth="1" min="4" max="4"/>
    <col width="36" customWidth="1" min="5" max="5"/>
    <col width="20" customWidth="1" min="6" max="6"/>
    <col width="62" customWidth="1" min="7" max="7"/>
    <col width="62" customWidth="1" min="8" max="8"/>
  </cols>
  <sheetData>
    <row r="1" ht="44" customHeight="1">
      <c r="A1" s="1" t="inlineStr">
        <is>
          <t>UMA LINHA = UMA DAS 20 REGIOES. A pergunta nao e' «quantas fontes tem esta regiao» — e' «ha fonte que enche o buraco CRITICO da fenologia aqui». ⚠️ FONTE NACIONAL NAO CONTA COMO COBERTURA REGIONAL, e esta em coluna separada: a primeira versao desta folha contava-a e dizia 20 de 20 cobertas, incluindo Molise e Valle d'Aosta. As 2 nacionais: Bollettino Nazionale di Fenologia · SCIA — Sistema nazionale per l'elaborazione .</t>
        </is>
      </c>
    </row>
    <row r="2">
      <c r="A2" s="2" t="inlineStr">
        <is>
          <t>REGIAO</t>
        </is>
      </c>
      <c r="B2" s="2" t="inlineStr">
        <is>
          <t>ANTES_REGIONAL</t>
        </is>
      </c>
      <c r="C2" s="2" t="inlineStr">
        <is>
          <t>NOVAS_REGIONAIS</t>
        </is>
      </c>
      <c r="D2" s="2" t="inlineStr">
        <is>
          <t>DEPOIS_REGIONAL</t>
        </is>
      </c>
      <c r="E2" s="2" t="inlineStr">
        <is>
          <t>FONTES_NACIONAIS_QUE_TAMBEM_SERVEM</t>
        </is>
      </c>
      <c r="F2" s="2" t="inlineStr">
        <is>
          <t>ESTADO</t>
        </is>
      </c>
      <c r="G2" s="2" t="inlineStr">
        <is>
          <t>FONTES_NOVAS</t>
        </is>
      </c>
      <c r="H2" s="2" t="inlineStr">
        <is>
          <t>NOTA</t>
        </is>
      </c>
    </row>
    <row r="3">
      <c r="A3" s="3" t="inlineStr">
        <is>
          <t>Abruzzo</t>
        </is>
      </c>
      <c r="B3" s="3" t="n">
        <v>1</v>
      </c>
      <c r="C3" s="3" t="n">
        <v>0</v>
      </c>
      <c r="D3" s="3" t="n">
        <v>1</v>
      </c>
      <c r="E3" s="3" t="n">
        <v>2</v>
      </c>
      <c r="F3" s="3" t="inlineStr">
        <is>
          <t>FRACA</t>
        </is>
      </c>
      <c r="G3" s="3" t="inlineStr">
        <is>
          <t>—</t>
        </is>
      </c>
      <c r="H3" s="3" t="inlineStr"/>
    </row>
    <row r="4">
      <c r="A4" s="3" t="inlineStr">
        <is>
          <t>Basilicata</t>
        </is>
      </c>
      <c r="B4" s="3" t="n">
        <v>0</v>
      </c>
      <c r="C4" s="3" t="n">
        <v>0</v>
      </c>
      <c r="D4" s="3" t="n">
        <v>0</v>
      </c>
      <c r="E4" s="3" t="n">
        <v>2</v>
      </c>
      <c r="F4" s="3" t="inlineStr">
        <is>
          <t>SEM FONTE REGIONAL</t>
        </is>
      </c>
      <c r="G4" s="3" t="inlineStr">
        <is>
          <t>—</t>
        </is>
      </c>
      <c r="H4" s="3" t="inlineStr">
        <is>
          <t>nenhuma fonte REGIONAL de fenologia, antes ou depois. As 2 fontes nacionais falam do pais, nao desta regiao — e a fenologia muda com altitude e distancia ao mar.</t>
        </is>
      </c>
    </row>
    <row r="5">
      <c r="A5" s="3" t="inlineStr">
        <is>
          <t>Calabria</t>
        </is>
      </c>
      <c r="B5" s="3" t="n">
        <v>3</v>
      </c>
      <c r="C5" s="3" t="n">
        <v>1</v>
      </c>
      <c r="D5" s="3" t="n">
        <v>4</v>
      </c>
      <c r="E5" s="3" t="n">
        <v>2</v>
      </c>
      <c r="F5" s="3" t="inlineStr">
        <is>
          <t>COBERTA</t>
        </is>
      </c>
      <c r="G5" s="3" t="inlineStr">
        <is>
          <t>Bollettino agrometeorologico e fitosanit</t>
        </is>
      </c>
      <c r="H5" s="3" t="inlineStr"/>
    </row>
    <row r="6">
      <c r="A6" s="3" t="inlineStr">
        <is>
          <t>Campania</t>
        </is>
      </c>
      <c r="B6" s="3" t="n">
        <v>1</v>
      </c>
      <c r="C6" s="3" t="n">
        <v>0</v>
      </c>
      <c r="D6" s="3" t="n">
        <v>1</v>
      </c>
      <c r="E6" s="3" t="n">
        <v>2</v>
      </c>
      <c r="F6" s="3" t="inlineStr">
        <is>
          <t>FRACA</t>
        </is>
      </c>
      <c r="G6" s="3" t="inlineStr">
        <is>
          <t>—</t>
        </is>
      </c>
      <c r="H6" s="3" t="inlineStr"/>
    </row>
    <row r="7">
      <c r="A7" s="3" t="inlineStr">
        <is>
          <t>Emilia-Romagna</t>
        </is>
      </c>
      <c r="B7" s="3" t="n">
        <v>7</v>
      </c>
      <c r="C7" s="3" t="n">
        <v>2</v>
      </c>
      <c r="D7" s="3" t="n">
        <v>9</v>
      </c>
      <c r="E7" s="3" t="n">
        <v>2</v>
      </c>
      <c r="F7" s="3" t="inlineStr">
        <is>
          <t>COBERTA</t>
        </is>
      </c>
      <c r="G7" s="3" t="inlineStr">
        <is>
          <t>ERG5 e o indicador «Anomalia della somma · Notiziario agrofenologico e di difesa (o</t>
        </is>
      </c>
      <c r="H7" s="3" t="inlineStr"/>
    </row>
    <row r="8">
      <c r="A8" s="3" t="inlineStr">
        <is>
          <t>Friuli-Venezia Giulia</t>
        </is>
      </c>
      <c r="B8" s="3" t="n">
        <v>1</v>
      </c>
      <c r="C8" s="3" t="n">
        <v>0</v>
      </c>
      <c r="D8" s="3" t="n">
        <v>1</v>
      </c>
      <c r="E8" s="3" t="n">
        <v>2</v>
      </c>
      <c r="F8" s="3" t="inlineStr">
        <is>
          <t>FRACA</t>
        </is>
      </c>
      <c r="G8" s="3" t="inlineStr">
        <is>
          <t>—</t>
        </is>
      </c>
      <c r="H8" s="3" t="inlineStr"/>
    </row>
    <row r="9">
      <c r="A9" s="3" t="inlineStr">
        <is>
          <t>Lazio</t>
        </is>
      </c>
      <c r="B9" s="3" t="n">
        <v>15</v>
      </c>
      <c r="C9" s="3" t="n">
        <v>0</v>
      </c>
      <c r="D9" s="3" t="n">
        <v>15</v>
      </c>
      <c r="E9" s="3" t="n">
        <v>2</v>
      </c>
      <c r="F9" s="3" t="inlineStr">
        <is>
          <t>COBERTA</t>
        </is>
      </c>
      <c r="G9" s="3" t="inlineStr">
        <is>
          <t>—</t>
        </is>
      </c>
      <c r="H9" s="3" t="inlineStr"/>
    </row>
    <row r="10">
      <c r="A10" s="3" t="inlineStr">
        <is>
          <t>Liguria</t>
        </is>
      </c>
      <c r="B10" s="3" t="n">
        <v>6</v>
      </c>
      <c r="C10" s="3" t="n">
        <v>1</v>
      </c>
      <c r="D10" s="3" t="n">
        <v>7</v>
      </c>
      <c r="E10" s="3" t="n">
        <v>2</v>
      </c>
      <c r="F10" s="3" t="inlineStr">
        <is>
          <t>COBERTA</t>
        </is>
      </c>
      <c r="G10" s="3" t="inlineStr">
        <is>
          <t>Bollettini di viticoltura e di olivicolt</t>
        </is>
      </c>
      <c r="H10" s="3" t="inlineStr"/>
    </row>
    <row r="11">
      <c r="A11" s="3" t="inlineStr">
        <is>
          <t>Lombardia</t>
        </is>
      </c>
      <c r="B11" s="3" t="n">
        <v>8</v>
      </c>
      <c r="C11" s="3" t="n">
        <v>1</v>
      </c>
      <c r="D11" s="3" t="n">
        <v>9</v>
      </c>
      <c r="E11" s="3" t="n">
        <v>2</v>
      </c>
      <c r="F11" s="3" t="inlineStr">
        <is>
          <t>COBERTA</t>
        </is>
      </c>
      <c r="G11" s="3" t="inlineStr">
        <is>
          <t>Bollettini fenologici di uno studio agro</t>
        </is>
      </c>
      <c r="H11" s="3" t="inlineStr"/>
    </row>
    <row r="12">
      <c r="A12" s="3" t="inlineStr">
        <is>
          <t>Marche</t>
        </is>
      </c>
      <c r="B12" s="3" t="n">
        <v>2</v>
      </c>
      <c r="C12" s="3" t="n">
        <v>1</v>
      </c>
      <c r="D12" s="3" t="n">
        <v>3</v>
      </c>
      <c r="E12" s="3" t="n">
        <v>2</v>
      </c>
      <c r="F12" s="3" t="inlineStr">
        <is>
          <t>COBERTA</t>
        </is>
      </c>
      <c r="G12" s="3" t="inlineStr">
        <is>
          <t>Notiziario agrometeorologico e fitosanit</t>
        </is>
      </c>
      <c r="H12" s="3" t="inlineStr"/>
    </row>
    <row r="13">
      <c r="A13" s="3" t="inlineStr">
        <is>
          <t>Molise</t>
        </is>
      </c>
      <c r="B13" s="3" t="n">
        <v>1</v>
      </c>
      <c r="C13" s="3" t="n">
        <v>0</v>
      </c>
      <c r="D13" s="3" t="n">
        <v>1</v>
      </c>
      <c r="E13" s="3" t="n">
        <v>2</v>
      </c>
      <c r="F13" s="3" t="inlineStr">
        <is>
          <t>FRACA</t>
        </is>
      </c>
      <c r="G13" s="3" t="inlineStr">
        <is>
          <t>—</t>
        </is>
      </c>
      <c r="H13" s="3" t="inlineStr"/>
    </row>
    <row r="14">
      <c r="A14" s="3" t="inlineStr">
        <is>
          <t>Piemonte</t>
        </is>
      </c>
      <c r="B14" s="3" t="n">
        <v>7</v>
      </c>
      <c r="C14" s="3" t="n">
        <v>0</v>
      </c>
      <c r="D14" s="3" t="n">
        <v>7</v>
      </c>
      <c r="E14" s="3" t="n">
        <v>2</v>
      </c>
      <c r="F14" s="3" t="inlineStr">
        <is>
          <t>COBERTA</t>
        </is>
      </c>
      <c r="G14" s="3" t="inlineStr">
        <is>
          <t>—</t>
        </is>
      </c>
      <c r="H14" s="3" t="inlineStr"/>
    </row>
    <row r="15">
      <c r="A15" s="3" t="inlineStr">
        <is>
          <t>Puglia</t>
        </is>
      </c>
      <c r="B15" s="3" t="n">
        <v>6</v>
      </c>
      <c r="C15" s="3" t="n">
        <v>0</v>
      </c>
      <c r="D15" s="3" t="n">
        <v>6</v>
      </c>
      <c r="E15" s="3" t="n">
        <v>2</v>
      </c>
      <c r="F15" s="3" t="inlineStr">
        <is>
          <t>COBERTA</t>
        </is>
      </c>
      <c r="G15" s="3" t="inlineStr">
        <is>
          <t>—</t>
        </is>
      </c>
      <c r="H15" s="3" t="inlineStr"/>
    </row>
    <row r="16">
      <c r="A16" s="3" t="inlineStr">
        <is>
          <t>Sardegna</t>
        </is>
      </c>
      <c r="B16" s="3" t="n">
        <v>3</v>
      </c>
      <c r="C16" s="3" t="n">
        <v>0</v>
      </c>
      <c r="D16" s="3" t="n">
        <v>3</v>
      </c>
      <c r="E16" s="3" t="n">
        <v>2</v>
      </c>
      <c r="F16" s="3" t="inlineStr">
        <is>
          <t>COBERTA</t>
        </is>
      </c>
      <c r="G16" s="3" t="inlineStr">
        <is>
          <t>—</t>
        </is>
      </c>
      <c r="H16" s="3" t="inlineStr"/>
    </row>
    <row r="17">
      <c r="A17" s="3" t="inlineStr">
        <is>
          <t>Sicilia</t>
        </is>
      </c>
      <c r="B17" s="3" t="n">
        <v>8</v>
      </c>
      <c r="C17" s="3" t="n">
        <v>0</v>
      </c>
      <c r="D17" s="3" t="n">
        <v>8</v>
      </c>
      <c r="E17" s="3" t="n">
        <v>2</v>
      </c>
      <c r="F17" s="3" t="inlineStr">
        <is>
          <t>COBERTA</t>
        </is>
      </c>
      <c r="G17" s="3" t="inlineStr">
        <is>
          <t>—</t>
        </is>
      </c>
      <c r="H17" s="3" t="inlineStr"/>
    </row>
    <row r="18">
      <c r="A18" s="3" t="inlineStr">
        <is>
          <t>Toscana</t>
        </is>
      </c>
      <c r="B18" s="3" t="n">
        <v>3</v>
      </c>
      <c r="C18" s="3" t="n">
        <v>1</v>
      </c>
      <c r="D18" s="3" t="n">
        <v>4</v>
      </c>
      <c r="E18" s="3" t="n">
        <v>2</v>
      </c>
      <c r="F18" s="3" t="inlineStr">
        <is>
          <t>COBERTA</t>
        </is>
      </c>
      <c r="G18" s="3" t="inlineStr">
        <is>
          <t>Bollettino Vite Integrato provinciale</t>
        </is>
      </c>
      <c r="H18" s="3" t="inlineStr"/>
    </row>
    <row r="19">
      <c r="A19" s="3" t="inlineStr">
        <is>
          <t>Trentino-Alto Adige</t>
        </is>
      </c>
      <c r="B19" s="3" t="n">
        <v>2</v>
      </c>
      <c r="C19" s="3" t="n">
        <v>0</v>
      </c>
      <c r="D19" s="3" t="n">
        <v>2</v>
      </c>
      <c r="E19" s="3" t="n">
        <v>2</v>
      </c>
      <c r="F19" s="3" t="inlineStr">
        <is>
          <t>COBERTA</t>
        </is>
      </c>
      <c r="G19" s="3" t="inlineStr">
        <is>
          <t>—</t>
        </is>
      </c>
      <c r="H19" s="3" t="inlineStr"/>
    </row>
    <row r="20">
      <c r="A20" s="3" t="inlineStr">
        <is>
          <t>Umbria</t>
        </is>
      </c>
      <c r="B20" s="3" t="n">
        <v>5</v>
      </c>
      <c r="C20" s="3" t="n">
        <v>0</v>
      </c>
      <c r="D20" s="3" t="n">
        <v>5</v>
      </c>
      <c r="E20" s="3" t="n">
        <v>2</v>
      </c>
      <c r="F20" s="3" t="inlineStr">
        <is>
          <t>COBERTA</t>
        </is>
      </c>
      <c r="G20" s="3" t="inlineStr">
        <is>
          <t>—</t>
        </is>
      </c>
      <c r="H20" s="3" t="inlineStr"/>
    </row>
    <row r="21">
      <c r="A21" s="3" t="inlineStr">
        <is>
          <t>Valle d'Aosta</t>
        </is>
      </c>
      <c r="B21" s="3" t="n">
        <v>0</v>
      </c>
      <c r="C21" s="3" t="n">
        <v>0</v>
      </c>
      <c r="D21" s="3" t="n">
        <v>0</v>
      </c>
      <c r="E21" s="3" t="n">
        <v>2</v>
      </c>
      <c r="F21" s="3" t="inlineStr">
        <is>
          <t>SEM FONTE REGIONAL</t>
        </is>
      </c>
      <c r="G21" s="3" t="inlineStr">
        <is>
          <t>—</t>
        </is>
      </c>
      <c r="H21" s="3" t="inlineStr">
        <is>
          <t>nenhuma fonte REGIONAL de fenologia, antes ou depois. As 2 fontes nacionais falam do pais, nao desta regiao — e a fenologia muda com altitude e distancia ao mar.</t>
        </is>
      </c>
    </row>
    <row r="22">
      <c r="A22" s="3" t="inlineStr">
        <is>
          <t>Veneto</t>
        </is>
      </c>
      <c r="B22" s="3" t="n">
        <v>8</v>
      </c>
      <c r="C22" s="3" t="n">
        <v>2</v>
      </c>
      <c r="D22" s="3" t="n">
        <v>10</v>
      </c>
      <c r="E22" s="3" t="n">
        <v>2</v>
      </c>
      <c r="F22" s="3" t="inlineStr">
        <is>
          <t>COBERTA</t>
        </is>
      </c>
      <c r="G22" s="3" t="inlineStr">
        <is>
          <t>Bollettini viticoli del Servizio Fitosan · Calendario fenologico e Forum Fitoiatric</t>
        </is>
      </c>
      <c r="H22" s="3" t="inlineStr"/>
    </row>
  </sheetData>
  <mergeCells count="1">
    <mergeCell ref="A1:H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12"/>
  <sheetViews>
    <sheetView workbookViewId="0">
      <pane ySplit="2" topLeftCell="A3" activePane="bottomLeft" state="frozen"/>
      <selection pane="bottomLeft" activeCell="A1" sqref="A1"/>
    </sheetView>
  </sheetViews>
  <sheetFormatPr baseColWidth="8" defaultRowHeight="15"/>
  <cols>
    <col width="13" customWidth="1" min="1" max="1"/>
    <col width="18" customWidth="1" min="2" max="2"/>
    <col width="28" customWidth="1" min="3" max="3"/>
    <col width="62" customWidth="1" min="4" max="4"/>
    <col width="36" customWidth="1" min="5" max="5"/>
    <col width="62" customWidth="1" min="6" max="6"/>
  </cols>
  <sheetData>
    <row r="1" ht="44" customHeight="1">
      <c r="A1" s="1" t="inlineStr">
        <is>
          <t>UMA LINHA = UMA DAS 10 CULTURAS das 29 janelas canonicas. A contagem procura o nome ITALIANO da cultura nos campos em italiano da fonte (nome, exemplo, dono) — nunca na descricao em portugues. ⚠️ «mais» (milho em italiano) foi retirado das palavras-chave: colide com «mais» em portugues e produzia 6 falsos. As cinco culturas com zero nao provam ausencia de fonte em Italia — provam que a busca foi a vite, ao olivo, aos agrumes e aos frutos de pomo.</t>
        </is>
      </c>
    </row>
    <row r="2">
      <c r="A2" s="2" t="inlineStr">
        <is>
          <t>CULTURA</t>
        </is>
      </c>
      <c r="B2" s="2" t="inlineStr">
        <is>
          <t>JANELAS_NO_CASCO</t>
        </is>
      </c>
      <c r="C2" s="2" t="inlineStr">
        <is>
          <t>FONTES_NOVAS_QUE_A_NOMEIAM</t>
        </is>
      </c>
      <c r="D2" s="2" t="inlineStr">
        <is>
          <t>QUEM</t>
        </is>
      </c>
      <c r="E2" s="2" t="inlineStr">
        <is>
          <t>ESTADO</t>
        </is>
      </c>
      <c r="F2" s="2" t="inlineStr">
        <is>
          <t>NOTA</t>
        </is>
      </c>
    </row>
    <row r="3">
      <c r="A3" s="3" t="inlineStr">
        <is>
          <t>Apple</t>
        </is>
      </c>
      <c r="B3" s="3" t="n">
        <v>3</v>
      </c>
      <c r="C3" s="3" t="n">
        <v>1</v>
      </c>
      <c r="D3" s="3" t="inlineStr">
        <is>
          <t>Notiziario agrometeorologico e fitosanitario</t>
        </is>
      </c>
      <c r="E3" s="3" t="inlineStr">
        <is>
          <t>NOMEADA</t>
        </is>
      </c>
      <c r="F3" s="3" t="inlineStr"/>
    </row>
    <row r="4">
      <c r="A4" s="3" t="inlineStr">
        <is>
          <t>Durum Wheat</t>
        </is>
      </c>
      <c r="B4" s="3" t="n">
        <v>3</v>
      </c>
      <c r="C4" s="3" t="n">
        <v>0</v>
      </c>
      <c r="D4" s="3" t="inlineStr">
        <is>
          <t>—</t>
        </is>
      </c>
      <c r="E4" s="3" t="inlineStr">
        <is>
          <t>NAO NOMEADA POR NENHUMA FONTE NOVA</t>
        </is>
      </c>
      <c r="F4" s="3" t="inlineStr">
        <is>
          <t>⚠️ a busca dirigida NAO cobriu esta cultura — foi a vite, ao olivo, aos agrumes e aos frutos de pomo. Isto nao e' ausencia de fonte em Italia: e' ausencia de busca, e a diferenca importa para quem herdar a lista.</t>
        </is>
      </c>
    </row>
    <row r="5">
      <c r="A5" s="3" t="inlineStr">
        <is>
          <t>Grapevine</t>
        </is>
      </c>
      <c r="B5" s="3" t="n">
        <v>5</v>
      </c>
      <c r="C5" s="3" t="n">
        <v>8</v>
      </c>
      <c r="D5" s="3" t="inlineStr">
        <is>
          <t>Bollettini viticoli del Servizio Fitosanitar · Bollettini di viticoltura e di olivicoltura  · Bollettino Vite Integrato provinciale · Notiziario agrometeorologico e fitosanitario</t>
        </is>
      </c>
      <c r="E5" s="3" t="inlineStr">
        <is>
          <t>NOMEADA</t>
        </is>
      </c>
      <c r="F5" s="3" t="inlineStr"/>
    </row>
    <row r="6">
      <c r="A6" s="3" t="inlineStr">
        <is>
          <t>Maize</t>
        </is>
      </c>
      <c r="B6" s="3" t="n">
        <v>3</v>
      </c>
      <c r="C6" s="3" t="n">
        <v>0</v>
      </c>
      <c r="D6" s="3" t="inlineStr">
        <is>
          <t>—</t>
        </is>
      </c>
      <c r="E6" s="3" t="inlineStr">
        <is>
          <t>NAO NOMEADA POR NENHUMA FONTE NOVA</t>
        </is>
      </c>
      <c r="F6" s="3" t="inlineStr">
        <is>
          <t>⚠️ a busca dirigida NAO cobriu esta cultura — foi a vite, ao olivo, aos agrumes e aos frutos de pomo. Isto nao e' ausencia de fonte em Italia: e' ausencia de busca, e a diferenca importa para quem herdar a lista.</t>
        </is>
      </c>
    </row>
    <row r="7">
      <c r="A7" s="3" t="inlineStr">
        <is>
          <t>Olive</t>
        </is>
      </c>
      <c r="B7" s="3" t="n">
        <v>3</v>
      </c>
      <c r="C7" s="3" t="n">
        <v>4</v>
      </c>
      <c r="D7" s="3" t="inlineStr">
        <is>
          <t>Bollettini di viticoltura e di olivicoltura  · Notiziario agrofenologico e di difesa (olivo · Federazioni e Ordini dei Dottori Agronomi e  · Boletim tecnico assinado como portador de re</t>
        </is>
      </c>
      <c r="E7" s="3" t="inlineStr">
        <is>
          <t>NOMEADA</t>
        </is>
      </c>
      <c r="F7" s="3" t="inlineStr"/>
    </row>
    <row r="8">
      <c r="A8" s="3" t="inlineStr">
        <is>
          <t>Rice</t>
        </is>
      </c>
      <c r="B8" s="3" t="n">
        <v>2</v>
      </c>
      <c r="C8" s="3" t="n">
        <v>1</v>
      </c>
      <c r="D8" s="3" t="inlineStr">
        <is>
          <t>Dataflow DCSP_COLTIVAZIONI (coltivazioni: su</t>
        </is>
      </c>
      <c r="E8" s="3" t="inlineStr">
        <is>
          <t>NOMEADA</t>
        </is>
      </c>
      <c r="F8" s="3" t="inlineStr"/>
    </row>
    <row r="9">
      <c r="A9" s="3" t="inlineStr">
        <is>
          <t>Soybean</t>
        </is>
      </c>
      <c r="B9" s="3" t="n">
        <v>2</v>
      </c>
      <c r="C9" s="3" t="n">
        <v>0</v>
      </c>
      <c r="D9" s="3" t="inlineStr">
        <is>
          <t>—</t>
        </is>
      </c>
      <c r="E9" s="3" t="inlineStr">
        <is>
          <t>NAO NOMEADA POR NENHUMA FONTE NOVA</t>
        </is>
      </c>
      <c r="F9" s="3" t="inlineStr">
        <is>
          <t>⚠️ a busca dirigida NAO cobriu esta cultura — foi a vite, ao olivo, aos agrumes e aos frutos de pomo. Isto nao e' ausencia de fonte em Italia: e' ausencia de busca, e a diferenca importa para quem herdar a lista.</t>
        </is>
      </c>
    </row>
    <row r="10">
      <c r="A10" s="3" t="inlineStr">
        <is>
          <t>Sugar Beet</t>
        </is>
      </c>
      <c r="B10" s="3" t="n">
        <v>2</v>
      </c>
      <c r="C10" s="3" t="n">
        <v>1</v>
      </c>
      <c r="D10" s="3" t="inlineStr">
        <is>
          <t>Dataflow DCSP_COLTIVAZIONI (coltivazioni: su</t>
        </is>
      </c>
      <c r="E10" s="3" t="inlineStr">
        <is>
          <t>NOMEADA</t>
        </is>
      </c>
      <c r="F10" s="3" t="inlineStr"/>
    </row>
    <row r="11">
      <c r="A11" s="3" t="inlineStr">
        <is>
          <t>Tomato</t>
        </is>
      </c>
      <c r="B11" s="3" t="n">
        <v>3</v>
      </c>
      <c r="C11" s="3" t="n">
        <v>0</v>
      </c>
      <c r="D11" s="3" t="inlineStr">
        <is>
          <t>—</t>
        </is>
      </c>
      <c r="E11" s="3" t="inlineStr">
        <is>
          <t>NAO NOMEADA POR NENHUMA FONTE NOVA</t>
        </is>
      </c>
      <c r="F11" s="3" t="inlineStr">
        <is>
          <t>⚠️ a busca dirigida NAO cobriu esta cultura — foi a vite, ao olivo, aos agrumes e aos frutos de pomo. Isto nao e' ausencia de fonte em Italia: e' ausencia de busca, e a diferenca importa para quem herdar a lista.</t>
        </is>
      </c>
    </row>
    <row r="12">
      <c r="A12" s="3" t="inlineStr">
        <is>
          <t>Wheat</t>
        </is>
      </c>
      <c r="B12" s="3" t="n">
        <v>3</v>
      </c>
      <c r="C12" s="3" t="n">
        <v>0</v>
      </c>
      <c r="D12" s="3" t="inlineStr">
        <is>
          <t>—</t>
        </is>
      </c>
      <c r="E12" s="3" t="inlineStr">
        <is>
          <t>NAO NOMEADA POR NENHUMA FONTE NOVA</t>
        </is>
      </c>
      <c r="F12" s="3" t="inlineStr">
        <is>
          <t>⚠️ a busca dirigida NAO cobriu esta cultura — foi a vite, ao olivo, aos agrumes e aos frutos de pomo. Isto nao e' ausencia de fonte em Italia: e' ausencia de busca, e a diferenca importa para quem herdar a lista.</t>
        </is>
      </c>
    </row>
  </sheetData>
  <mergeCells count="1">
    <mergeCell ref="A1:F1"/>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9"/>
  <sheetViews>
    <sheetView workbookViewId="0">
      <pane ySplit="2" topLeftCell="A3" activePane="bottomLeft" state="frozen"/>
      <selection pane="bottomLeft" activeCell="A1" sqref="A1"/>
    </sheetView>
  </sheetViews>
  <sheetFormatPr baseColWidth="8" defaultRowHeight="15"/>
  <cols>
    <col width="14" customWidth="1" min="1" max="1"/>
    <col width="10" customWidth="1" min="2" max="2"/>
    <col width="10" customWidth="1" min="3" max="3"/>
    <col width="10" customWidth="1" min="4" max="4"/>
    <col width="10" customWidth="1" min="5" max="5"/>
    <col width="42" customWidth="1" min="6" max="6"/>
  </cols>
  <sheetData>
    <row r="1" ht="44" customHeight="1">
      <c r="A1" s="1" t="inlineStr">
        <is>
          <t>UMA LINHA = UM CAMPO DA VOZ DE CAMPO, com o enchimento real. Nao e' lista de canais: e' a conta que explica por que o Radar nao consegue cruzar voz com janela. Tres campos a zero de 17, e sao exatamente os tres que o cruzamento precisa.</t>
        </is>
      </c>
    </row>
    <row r="2">
      <c r="A2" s="2" t="inlineStr">
        <is>
          <t>CAMPO_DA_VOZ</t>
        </is>
      </c>
      <c r="B2" s="2" t="inlineStr">
        <is>
          <t>REGISTOS</t>
        </is>
      </c>
      <c r="C2" s="2" t="inlineStr">
        <is>
          <t>CHEIO</t>
        </is>
      </c>
      <c r="D2" s="2" t="inlineStr">
        <is>
          <t>PCT</t>
        </is>
      </c>
      <c r="E2" s="2" t="inlineStr">
        <is>
          <t>NAO_SEI</t>
        </is>
      </c>
      <c r="F2" s="2" t="inlineStr">
        <is>
          <t>CONSEQUENCIA</t>
        </is>
      </c>
    </row>
    <row r="3">
      <c r="A3" s="3" t="inlineStr">
        <is>
          <t>REGION</t>
        </is>
      </c>
      <c r="B3" s="3" t="n">
        <v>17</v>
      </c>
      <c r="C3" s="3" t="n">
        <v>0</v>
      </c>
      <c r="D3" s="3" t="inlineStr">
        <is>
          <t>0%</t>
        </is>
      </c>
      <c r="E3" s="3" t="n">
        <v>17</v>
      </c>
      <c r="F3" s="3" t="inlineStr">
        <is>
          <t>sem isto, «voz do Veneto» nao existe</t>
        </is>
      </c>
    </row>
    <row r="4">
      <c r="A4" s="3" t="inlineStr">
        <is>
          <t>ROLE</t>
        </is>
      </c>
      <c r="B4" s="3" t="n">
        <v>17</v>
      </c>
      <c r="C4" s="3" t="n">
        <v>0</v>
      </c>
      <c r="D4" s="3" t="inlineStr">
        <is>
          <t>0%</t>
        </is>
      </c>
      <c r="E4" s="3" t="n">
        <v>17</v>
      </c>
      <c r="F4" s="3" t="inlineStr">
        <is>
          <t>sem isto, produtor e amador contam igual</t>
        </is>
      </c>
    </row>
    <row r="5">
      <c r="A5" s="3" t="inlineStr">
        <is>
          <t>DATE</t>
        </is>
      </c>
      <c r="B5" s="3" t="n">
        <v>17</v>
      </c>
      <c r="C5" s="3" t="n">
        <v>0</v>
      </c>
      <c r="D5" s="3" t="inlineStr">
        <is>
          <t>0%</t>
        </is>
      </c>
      <c r="E5" s="3" t="n">
        <v>17</v>
      </c>
      <c r="F5" s="3" t="inlineStr">
        <is>
          <t>sem isto, nao ha «esta semana»</t>
        </is>
      </c>
    </row>
    <row r="6">
      <c r="A6" s="3" t="inlineStr">
        <is>
          <t>PERSON</t>
        </is>
      </c>
      <c r="B6" s="3" t="n">
        <v>17</v>
      </c>
      <c r="C6" s="3" t="n">
        <v>17</v>
      </c>
      <c r="D6" s="3" t="inlineStr">
        <is>
          <t>100%</t>
        </is>
      </c>
      <c r="E6" s="3" t="n">
        <v>0</v>
      </c>
      <c r="F6" s="3" t="inlineStr"/>
    </row>
    <row r="7">
      <c r="A7" s="3" t="inlineStr">
        <is>
          <t>CROP</t>
        </is>
      </c>
      <c r="B7" s="3" t="n">
        <v>17</v>
      </c>
      <c r="C7" s="3" t="n">
        <v>17</v>
      </c>
      <c r="D7" s="3" t="inlineStr">
        <is>
          <t>100%</t>
        </is>
      </c>
      <c r="E7" s="3" t="n">
        <v>0</v>
      </c>
      <c r="F7" s="3" t="inlineStr"/>
    </row>
    <row r="8">
      <c r="A8" s="3" t="inlineStr">
        <is>
          <t>ISSUE</t>
        </is>
      </c>
      <c r="B8" s="3" t="n">
        <v>17</v>
      </c>
      <c r="C8" s="3" t="n">
        <v>17</v>
      </c>
      <c r="D8" s="3" t="inlineStr">
        <is>
          <t>100%</t>
        </is>
      </c>
      <c r="E8" s="3" t="n">
        <v>0</v>
      </c>
      <c r="F8" s="3" t="inlineStr"/>
    </row>
    <row r="9">
      <c r="A9" s="3" t="inlineStr">
        <is>
          <t>PLATFORM</t>
        </is>
      </c>
      <c r="B9" s="3" t="n">
        <v>17</v>
      </c>
      <c r="C9" s="3" t="n">
        <v>17</v>
      </c>
      <c r="D9" s="3" t="inlineStr">
        <is>
          <t>100%</t>
        </is>
      </c>
      <c r="E9" s="3" t="n">
        <v>0</v>
      </c>
      <c r="F9" s="3" t="inlineStr"/>
    </row>
  </sheetData>
  <mergeCells count="1">
    <mergeCell ref="A1:F1"/>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6"/>
  <sheetViews>
    <sheetView workbookViewId="0">
      <pane ySplit="2" topLeftCell="A3" activePane="bottomLeft" state="frozen"/>
      <selection pane="bottomLeft" activeCell="A1" sqref="A1"/>
    </sheetView>
  </sheetViews>
  <sheetFormatPr baseColWidth="8" defaultRowHeight="15"/>
  <cols>
    <col width="37" customWidth="1" min="1" max="1"/>
    <col width="10" customWidth="1" min="2" max="2"/>
    <col width="62" customWidth="1" min="3" max="3"/>
    <col width="62" customWidth="1" min="4" max="4"/>
    <col width="57" customWidth="1" min="5" max="5"/>
    <col width="62" customWidth="1" min="6" max="6"/>
  </cols>
  <sheetData>
    <row r="1" ht="44" customHeight="1">
      <c r="A1" s="1" t="inlineStr">
        <is>
          <t>UMA LINHA = UM PAPEL, com as pessoas nomeadas que a missao achou. Agrupado por PAPEL e nunca por alcance: seguidores nao sao autoridade, e isto nao e' ranking de especialistas. A linha mais importante e' a ultima, com QUANTAS=0.</t>
        </is>
      </c>
    </row>
    <row r="2">
      <c r="A2" s="2" t="inlineStr">
        <is>
          <t>PAPEL</t>
        </is>
      </c>
      <c r="B2" s="2" t="inlineStr">
        <is>
          <t>QUANTAS</t>
        </is>
      </c>
      <c r="C2" s="2" t="inlineStr">
        <is>
          <t>NOMES</t>
        </is>
      </c>
      <c r="D2" s="2" t="inlineStr">
        <is>
          <t>ONDE</t>
        </is>
      </c>
      <c r="E2" s="2" t="inlineStr">
        <is>
          <t>ALIMENTA</t>
        </is>
      </c>
      <c r="F2" s="2" t="inlineStr">
        <is>
          <t>NOTA</t>
        </is>
      </c>
    </row>
    <row r="3">
      <c r="A3" s="3" t="inlineStr">
        <is>
          <t>tecnico de empresa concorrente</t>
        </is>
      </c>
      <c r="B3" s="3" t="n">
        <v>7</v>
      </c>
      <c r="C3" s="3" t="inlineStr">
        <is>
          <t>Mattia Fumagalli (Syngenta) · Sara Ciofini (Corteva) · Mirko Valente (BASF) · Silvano Locardi (Bayer) · Marco Pravisano (Syngenta) · Marco Grandin (Bayer) · Giorgio Fioretti (BASF)</t>
        </is>
      </c>
      <c r="D3" s="3" t="inlineStr">
        <is>
          <t>convegno de Bolonha 19/02/2026 · Forum Fitoiatrico CondifesaTVB</t>
        </is>
      </c>
      <c r="E3" s="3" t="inlineStr">
        <is>
          <t>COMPETITORS · PESSOA do concorrente (quem fala por ele)</t>
        </is>
      </c>
      <c r="F3" s="3" t="inlineStr">
        <is>
          <t>passou de NO_SOURCE a STRONG. ⚠️ a ADAMA esta na lista de participantes do Forum — excluir a propria casa do calculo</t>
        </is>
      </c>
    </row>
    <row r="4">
      <c r="A4" s="3" t="inlineStr">
        <is>
          <t>responsavel de servico publico</t>
        </is>
      </c>
      <c r="B4" s="3" t="n">
        <v>3</v>
      </c>
      <c r="C4" s="3" t="inlineStr">
        <is>
          <t>Bruno Faraglia (chefe do Servizio Fitosanitario Centrale) · Maria Rita Rapagnani (Ministero della Salute) · Dario Bond (Assessore Agricoltura, Regione Veneto)</t>
        </is>
      </c>
      <c r="D4" s="3" t="inlineStr">
        <is>
          <t>protezionedellepiante.it · convegno de Bolonha · Forum Fitoiatrico</t>
        </is>
      </c>
      <c r="E4" s="3" t="inlineStr">
        <is>
          <t>FUTURE · PRAGA OU DOENCA EMERGENTE (primeira deteccao)</t>
        </is>
      </c>
      <c r="F4" s="3" t="inlineStr">
        <is>
          <t>identidade institucional, verificavel na propria casa</t>
        </is>
      </c>
    </row>
    <row r="5">
      <c r="A5" s="3" t="inlineStr">
        <is>
          <t>tecnico de associacao / sociedade</t>
        </is>
      </c>
      <c r="B5" s="3" t="n">
        <v>2</v>
      </c>
      <c r="C5" s="3" t="inlineStr">
        <is>
          <t>Alessandra Moccia (IBMA Global) · Matteo Colombo (European Precision Application Task Force, por Corteva)</t>
        </is>
      </c>
      <c r="D5" s="3" t="inlineStr">
        <is>
          <t>convegno de Bolonha · Giornate Fitopatologiche 2026</t>
        </is>
      </c>
      <c r="E5" s="3" t="inlineStr">
        <is>
          <t>COMPETITORS · CONTEUDO TECNICO do concorrente</t>
        </is>
      </c>
      <c r="F5" s="3" t="inlineStr">
        <is>
          <t>fala por associacao, nao por empresa — papel diferente</t>
        </is>
      </c>
    </row>
    <row r="6">
      <c r="A6" s="3" t="inlineStr">
        <is>
          <t>produtor agricola com regiao e data</t>
        </is>
      </c>
      <c r="B6" s="3" t="n">
        <v>0</v>
      </c>
      <c r="C6" s="3" t="inlineStr">
        <is>
          <t>—</t>
        </is>
      </c>
      <c r="D6" s="3" t="inlineStr">
        <is>
          <t>—</t>
        </is>
      </c>
      <c r="E6" s="3" t="inlineStr">
        <is>
          <t>VOICES · REGIAO/PAPEL/DATA da voz de campo</t>
        </is>
      </c>
      <c r="F6" s="3" t="inlineStr">
        <is>
          <t>⚠️ ZERO. A busca dirigida a «agronomo que publica boletim proprio» devolveu a conclusao de que NAO EXISTE lista central desses profissionais. E o que se achou foram tecnicos institucionais, nao produtores. O buraco de VOICES nao fechou.</t>
        </is>
      </c>
    </row>
  </sheetData>
  <mergeCells count="1">
    <mergeCell ref="A1:F1"/>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D4"/>
  <sheetViews>
    <sheetView workbookViewId="0">
      <pane ySplit="2" topLeftCell="A3" activePane="bottomLeft" state="frozen"/>
      <selection pane="bottomLeft" activeCell="A1" sqref="A1"/>
    </sheetView>
  </sheetViews>
  <sheetFormatPr baseColWidth="8" defaultRowHeight="15"/>
  <cols>
    <col width="48" customWidth="1" min="1" max="1"/>
    <col width="62" customWidth="1" min="2" max="2"/>
    <col width="43" customWidth="1" min="3" max="3"/>
    <col width="62" customWidth="1" min="4" max="4"/>
  </cols>
  <sheetData>
    <row r="1" ht="44" customHeight="1">
      <c r="A1" s="1" t="inlineStr">
        <is>
          <t>ACHADO QUE A MISSAO NAO PROCURAVA. UMA LINHA = UMA ROTA DO ACERVO QUE MORREU OU MUDOU DE REGRA. Rota encerrada raramente devolve erro limpo — devolve pagina. Coleta silenciosa de nada e' pior do que coleta falhada, porque ninguem investiga o que parece ter corrido bem.</t>
        </is>
      </c>
    </row>
    <row r="2">
      <c r="A2" s="2" t="inlineStr">
        <is>
          <t>ROTA_NO_ACERVO</t>
        </is>
      </c>
      <c r="B2" s="2" t="inlineStr">
        <is>
          <t>ESTADO</t>
        </is>
      </c>
      <c r="C2" s="2" t="inlineStr">
        <is>
          <t>SUBSTITUTA</t>
        </is>
      </c>
      <c r="D2" s="2" t="inlineStr">
        <is>
          <t>POR_QUE_IMPORTA</t>
        </is>
      </c>
    </row>
    <row r="3">
      <c r="A3" s="3" t="inlineStr">
        <is>
          <t>https://www.coeweb.istat.it/</t>
        </is>
      </c>
      <c r="B3" s="3" t="inlineStr">
        <is>
          <t>ENCERRADA em 30/09/2025</t>
        </is>
      </c>
      <c r="C3" s="3" t="inlineStr">
        <is>
          <t>https://esploradati.istat.it/coeweb</t>
        </is>
      </c>
      <c r="D3" s="3" t="inlineStr">
        <is>
          <t>o acervo aponta para ca. Uma rota encerrada raramente devolve erro limpo: devolve pagina. Coleta silenciosa de nada e' pior do que coleta falhada.</t>
        </is>
      </c>
    </row>
    <row r="4">
      <c r="A4" s="3" t="inlineStr">
        <is>
          <t>indice ISMEA dos mezzi correnti — serie mensal</t>
        </is>
      </c>
      <c r="B4" s="3" t="inlineStr">
        <is>
          <t>QUEBRA DE SERIE a partir de 01/2025 (rede de recolha revista)</t>
        </is>
      </c>
      <c r="C4" s="3" t="inlineStr">
        <is>
          <t>mesma rota; mudam as regras de comparacao</t>
        </is>
      </c>
      <c r="D4" s="3" t="inlineStr">
        <is>
          <t>o dado nao morreu: a COMPARACAO morreu. Variacao 2024→2025 lida como real e' um artefacto de metodo. E a base muda para 2020 em 01/01/2026.</t>
        </is>
      </c>
    </row>
  </sheetData>
  <mergeCells count="1">
    <mergeCell ref="A1:D1"/>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F16"/>
  <sheetViews>
    <sheetView workbookViewId="0">
      <pane ySplit="2" topLeftCell="A3" activePane="bottomLeft" state="frozen"/>
      <selection pane="bottomLeft" activeCell="A1" sqref="A1"/>
    </sheetView>
  </sheetViews>
  <sheetFormatPr baseColWidth="8" defaultRowHeight="15"/>
  <cols>
    <col width="10" customWidth="1" min="1" max="1"/>
    <col width="62" customWidth="1" min="2" max="2"/>
    <col width="62" customWidth="1" min="3" max="3"/>
    <col width="62" customWidth="1" min="4" max="4"/>
    <col width="62" customWidth="1" min="5" max="5"/>
    <col width="62" customWidth="1" min="6" max="6"/>
  </cols>
  <sheetData>
    <row r="1" ht="44" customHeight="1">
      <c r="A1" s="1" t="inlineStr">
        <is>
          <t>UMA LINHA = UMA BUSCA. Toda consulta parte de um GAP MEDIDO, nunca de um tema: nao «fontes agricolas da Sicilia», mas «Sicilia + vite + bollettino fitosanitario + fenologia». A ultima coluna guarda as buscas que mudaram a RESPOSTA em vez de acrescentar fonte — foram essas as mais uteis.</t>
        </is>
      </c>
    </row>
    <row r="2">
      <c r="A2" s="2" t="inlineStr">
        <is>
          <t>N</t>
        </is>
      </c>
      <c r="B2" s="2" t="inlineStr">
        <is>
          <t>GAP_QUE_GUIOU_A_BUSCA</t>
        </is>
      </c>
      <c r="C2" s="2" t="inlineStr">
        <is>
          <t>CONSULTA</t>
        </is>
      </c>
      <c r="D2" s="2" t="inlineStr">
        <is>
          <t>O_QUE_DEVOLVEU</t>
        </is>
      </c>
      <c r="E2" s="2" t="inlineStr">
        <is>
          <t>FONTES_NOVAS_DAQUI</t>
        </is>
      </c>
      <c r="F2" s="2" t="inlineStr">
        <is>
          <t>ACHADO_QUE_MUDOU_A_RESPOSTA</t>
        </is>
      </c>
    </row>
    <row r="3">
      <c r="A3" s="3" t="n">
        <v>1</v>
      </c>
      <c r="B3" s="3" t="inlineStr">
        <is>
          <t>WINDOWS · FASE FENOLOGICA (CROP_STAGE 0/29)</t>
        </is>
      </c>
      <c r="C3" s="3" t="inlineStr">
        <is>
          <t>bollettino fenologico Italia BBCH fase fenologica cultura regione settimanale</t>
        </is>
      </c>
      <c r="D3" s="3" t="inlineStr">
        <is>
          <t>boletim nacional de fenologia da Rete Rurale Nazionale, com BBCH, alimentado por modelo + MeteoHub/CINECA + observadores voluntarios</t>
        </is>
      </c>
      <c r="E3" s="3" t="inlineStr">
        <is>
          <t>Bollettino Nazionale di Fenologia (RRN)</t>
        </is>
      </c>
      <c r="F3" s="3" t="inlineStr"/>
    </row>
    <row r="4">
      <c r="A4" s="3" t="n">
        <v>2</v>
      </c>
      <c r="B4" s="3" t="inlineStr">
        <is>
          <t>WINDOWS · FASE FENOLOGICA, ao nivel regional</t>
        </is>
      </c>
      <c r="C4" s="3" t="inlineStr">
        <is>
          <t>Veneto vite bollettino fitosanitario fenologia BBCH vitigno 2026</t>
        </is>
      </c>
      <c r="D4" s="3" t="inlineStr">
        <is>
          <t>boletins viticolos do Servizio Fitosanitario do Veneto, com BBCH por vitigno e separacao ambiente precoce/tardio; e a ligacao as janelas obrigatorias da flavescencia dourada</t>
        </is>
      </c>
      <c r="E4" s="3" t="inlineStr">
        <is>
          <t>Bollettini viticoli Veneto · ARPAV bollettino agrometeorologico</t>
        </is>
      </c>
      <c r="F4" s="3" t="inlineStr"/>
    </row>
    <row r="5">
      <c r="A5" s="3" t="n">
        <v>3</v>
      </c>
      <c r="B5" s="3" t="inlineStr">
        <is>
          <t>WINDOWS · OBSERVACAO DE CAMPO e desvio fenologico por regiao</t>
        </is>
      </c>
      <c r="C5" s="3" t="inlineStr">
        <is>
          <t>Marche Abruzzo notiziario agrometeorologico melo pero vite stadio fenologico ritardo altitudine costa</t>
        </is>
      </c>
      <c r="D5" s="3" t="inlineStr">
        <is>
          <t>notiziario das Marche com codigo BBCH numerico (melo 75-77, pero 76-81, vite 79); e o AgroAmbiente do Abruzzo a quantificar ~2 semanas de atraso acima de 400 m ou a mais de 40 km da costa</t>
        </is>
      </c>
      <c r="E5" s="3" t="inlineStr">
        <is>
          <t>Notiziario Marche · Abruzzo AgroAmbiente</t>
        </is>
      </c>
      <c r="F5" s="3" t="inlineStr">
        <is>
          <t>o desvio fenologico por regiao existe QUANTIFICADO, nao apenas descrito — e' materia-prima, nao comentario</t>
        </is>
      </c>
    </row>
    <row r="6">
      <c r="A6" s="3" t="n">
        <v>4</v>
      </c>
      <c r="B6" s="3" t="inlineStr">
        <is>
          <t>MARKET · PRODUCAO, AREA e RENDIMENTO (coluna ausente)</t>
        </is>
      </c>
      <c r="C6" s="3" t="inlineStr">
        <is>
          <t>ISTAT coltivazioni superficie produzione resa per regione provincia dataflow SDMX API</t>
        </is>
      </c>
      <c r="D6" s="3" t="inlineStr">
        <is>
          <t>dataflow DCSP_COLTIVAZIONI com API SDMX, estimativas mensais por regiao, provincia e zona altimetrica; e a declaracao de que arroz vem do Enterisi, tabaco da Agea, beterraba da ABSI</t>
        </is>
      </c>
      <c r="E6" s="3" t="inlineStr">
        <is>
          <t>ISTAT DCSP_COLTIVAZIONI · statistica.regione.emilia-romagna.it</t>
        </is>
      </c>
      <c r="F6" s="3" t="inlineStr">
        <is>
          <t>parte do dado 'oficial' e' de terceiros declarados. A procedencia tem de viajar com o numero</t>
        </is>
      </c>
    </row>
    <row r="7">
      <c r="A7" s="3" t="n">
        <v>5</v>
      </c>
      <c r="B7" s="3" t="inlineStr">
        <is>
          <t>PORTFOLIO · INTERVALO DE SEGURANCA (15/219) e maxApp (0/219)</t>
        </is>
      </c>
      <c r="C7" s="3" t="inlineStr">
        <is>
          <t>banca dati prodotti fitosanitari tempo di carenza dose ricerca per intervallo di sicurezza Italia</t>
        </is>
      </c>
      <c r="D7" s="3" t="inlineStr">
        <is>
          <t>base do Ministero della Salute (~16.500 produtos, atualizacao diaria, descarga integral) — mas carencia e dose vivem no PDF do rotulo; e o Fitogest, que permite FILTRAR por tempo di carenza</t>
        </is>
      </c>
      <c r="E7" s="3" t="inlineStr">
        <is>
          <t>fitosanitari.salute.gov.it · Fitogest · profitosan.it</t>
        </is>
      </c>
      <c r="F7" s="3" t="inlineStr">
        <is>
          <t>o gap de carencia nao e' de fonte, e' de EXTRACAO — o campo esta dentro de um documento que a casa ja sabe abrir</t>
        </is>
      </c>
    </row>
    <row r="8">
      <c r="A8" s="3" t="n">
        <v>6</v>
      </c>
      <c r="B8" s="3" t="inlineStr">
        <is>
          <t>FUTURE · PRAGA OU DOENCA EMERGENTE (campo ausente)</t>
        </is>
      </c>
      <c r="C8" s="3" t="inlineStr">
        <is>
          <t>servizio fitosanitario nazionale prima segnalazione organismo nocivo emergenza fitosanitaria sorveglianza Italia</t>
        </is>
      </c>
      <c r="D8" s="3" t="inlineStr">
        <is>
          <t>protezionedellepiante.it com secoes Emergenze Fitosanitarie, Sorveglianza e Barriere; Piano Nazionale di Indagine; laboratorios «Custos Plantis»; Bruno Faraglia a chefiar o Servizio Fitosanitario Centrale</t>
        </is>
      </c>
      <c r="E8" s="3" t="inlineStr">
        <is>
          <t>protezionedellepiante.it · masaf.gov.it · salutepianteinlombardia.it · app Fitodetective</t>
        </is>
      </c>
      <c r="F8" s="3" t="inlineStr"/>
    </row>
    <row r="9">
      <c r="A9" s="3" t="n">
        <v>7</v>
      </c>
      <c r="B9" s="3" t="inlineStr">
        <is>
          <t>MARKET · IMPORTACAO e EXPORTACAO</t>
        </is>
      </c>
      <c r="C9" s="3" t="inlineStr">
        <is>
          <t>ISTAT Coeweb commercio estero agroalimentare dati per provincia esportazione importazione</t>
        </is>
      </c>
      <c r="D9" s="3" t="inlineStr">
        <is>
          <t>o Coeweb antigo FECHOU em 30/09/2025 e passou para esploradati.istat.it/coeweb; e a base do ISMEA, reclassificada por comparto agricola, com 4 vistas e exportacao xls/csv/pdf</t>
        </is>
      </c>
      <c r="E9" s="3" t="inlineStr">
        <is>
          <t>esploradati.istat.it/coeweb · ismeamercati.it commercio estero</t>
        </is>
      </c>
      <c r="F9" s="3" t="inlineStr">
        <is>
          <t>⚠️ O ACERVO APONTA PARA UMA ROTA MORTA. Rota encerrada devolve pagina, nao erro — a coleta 'funciona' e traz nada</t>
        </is>
      </c>
    </row>
    <row r="10">
      <c r="A10" s="3" t="n">
        <v>8</v>
      </c>
      <c r="B10" s="3" t="inlineStr">
        <is>
          <t>MARKET · CUSTO DE INSUMO</t>
        </is>
      </c>
      <c r="C10" s="3" t="inlineStr">
        <is>
          <t>ISMEA indice prezzi mezzi correnti di produzione fertilizzanti fitosanitari costi medi di produzione serie</t>
        </is>
      </c>
      <c r="D10" s="3" t="inlineStr">
        <is>
          <t>indice mensal desde 1984, ~6.000 precos/semana em 600 referencias, 300 leituras mensais em 12 consorzi agrari; e o servico separado de custos medios de producao, com registo</t>
        </is>
      </c>
      <c r="E10" s="3" t="inlineStr">
        <is>
          <t>ISMEA indice mezzi correnti · ISMEA monitoraggio costi</t>
        </is>
      </c>
      <c r="F10" s="3" t="inlineStr">
        <is>
          <t>⚠️ A REDE FOI REVISTA EM 01/2025: os indices mensais deixam de ser comparaveis com o ano anterior, e a base passa a 2020 em 01/01/2026. A variacao 2024→2025 e' artefacto de metodo</t>
        </is>
      </c>
    </row>
    <row r="11">
      <c r="A11" s="3" t="n">
        <v>9</v>
      </c>
      <c r="B11" s="3" t="inlineStr">
        <is>
          <t>FUTURE · PIPELINE REGULATORIO (automatico dizia NO_SOURCE)</t>
        </is>
      </c>
      <c r="C11" s="3" t="inlineStr">
        <is>
          <t>EFSA rinnovo sostanza attiva scadenza approvazione regolamento 1107/2009 art. 15 elenco UE 540/2011</t>
        </is>
      </c>
      <c r="D11" s="3" t="inlineStr">
        <is>
          <t>EU Pesticides Database mais o registo de conclusoes de peer review da EFSA; e o mecanismo legal que os torna previsao — pedido de renovacao tres anos antes de expirar</t>
        </is>
      </c>
      <c r="E11" s="3" t="inlineStr">
        <is>
          <t>EU Pesticides Database + EFSA peer review</t>
        </is>
      </c>
      <c r="F11" s="3" t="inlineStr">
        <is>
          <t>⚠️ O PRAZO MUDOU: o pacote Omnibus altera o art. 43 — pedido de renovacao de AUTORIZACAO passa a ate 9 meses antes de expirar, 3 meses se a aprovacao for limitada</t>
        </is>
      </c>
    </row>
    <row r="12">
      <c r="A12" s="3" t="n">
        <v>10</v>
      </c>
      <c r="B12" s="3" t="inlineStr">
        <is>
          <t>SCIENCE · ENSAIO DE CAMPO com resultado</t>
        </is>
      </c>
      <c r="C12" s="3" t="inlineStr">
        <is>
          <t>centri di saggio GEP Italia prove di efficacia agrofarmaci risultati pubblicati</t>
        </is>
      </c>
      <c r="D12" s="3" t="inlineStr">
        <is>
          <t>seis centros de saggio GEP italianos (Agrea, Sagea, AgriSearch, Agro Services, Agritec, Repros) — e a informacao de que os dados das provas de registo sao RESERVADOS, propriedade de quem as encomenda, e nao sao publicados</t>
        </is>
      </c>
      <c r="E12" s="3" t="inlineStr">
        <is>
          <t>nenhuma como fonte de dado; os seis entram como REDE DE PESSOAS</t>
        </is>
      </c>
      <c r="F12" s="3" t="inlineStr">
        <is>
          <t>⚠️ O ACHADO MAIS DURO: ISTO NAO E' GAP DE FONTE, E' GAP DE ACESSO. Nenhuma coleta o resolve; resolve-se por contrato. O divulgavel sao provas demonstrativas regionais e atas</t>
        </is>
      </c>
    </row>
    <row r="13">
      <c r="A13" s="3" t="n">
        <v>11</v>
      </c>
      <c r="B13" s="3" t="inlineStr">
        <is>
          <t>VOICES · REGIAO, PAPEL e DATA (0/17 em cada)</t>
        </is>
      </c>
      <c r="C13" s="3" t="inlineStr">
        <is>
          <t>agronomo libero professionista Italia bollettino tecnico proprio zona viticola olivicola settimanale con data</t>
        </is>
      </c>
      <c r="D13" s="3" t="inlineStr">
        <is>
          <t>ARSAC Calabria com 8 areas climaticamente homogeneas e validade semanal datada; CAAR Liguria com BBCH de olivo, numeracao progressiva e versao por provincia; LaMMA por provincia; Agralia como unico privado com boletim proprio</t>
        </is>
      </c>
      <c r="E13" s="3" t="inlineStr">
        <is>
          <t>ARSAC · CAAR Liguria · LaMMA · Agralia · Terre dell'Etruria · Consorzi Fitosanitari MO e RE</t>
        </is>
      </c>
      <c r="F13" s="3" t="inlineStr">
        <is>
          <t>⚠️ NAO EXISTE ALBO NEM LISTA CENTRAL de agronomos liberais que publiquem boletim proprio — sao iniciativas por estudio. E o que enche regiao+papel+data e' o BOLETIM TECNICO ASSINADO, que e' voz de tecnico institucional, nao de produtor. O gap de VOICES nao se enche com mais canais sociais</t>
        </is>
      </c>
    </row>
    <row r="14">
      <c r="A14" s="3" t="n">
        <v>12</v>
      </c>
      <c r="B14" s="3" t="inlineStr">
        <is>
          <t>FUTURE/WINDOWS · serie climatica e anomalia</t>
        </is>
      </c>
      <c r="C14" s="3" t="inlineStr">
        <is>
          <t>serie climatica agrometeorologica Italia dati storici stazioni gradi giorno anomalia regionale scaricabili API</t>
        </is>
      </c>
      <c r="D14" s="3" t="inlineStr">
        <is>
          <t>SCIA/ISPRA com STAZIONI, SERIE TEMPORALI e ANALISI, incluindo graus-dia; Arpae ERG5 com «Anomalia della sommatoria gradi giorno» (limiar 10 °C, media 2001-2020, grelha 5 km, 1961-2023); Arpa Piemonte com series centenarias; Campania com molha foliar em Excel</t>
        </is>
      </c>
      <c r="E14" s="3" t="inlineStr">
        <is>
          <t>SCIA/ISPRA · Arpae ERG5 · Arpa Piemonte · Campania agrometeo</t>
        </is>
      </c>
      <c r="F14" s="3" t="inlineStr">
        <is>
          <t>o Arpae publica o DESVIO, nao o valor bruto — e' exatamente a forma que a pergunta pedia, e e' um metodo a copiar</t>
        </is>
      </c>
    </row>
    <row r="15">
      <c r="A15" s="3" t="n">
        <v>13</v>
      </c>
      <c r="B15" s="3" t="inlineStr">
        <is>
          <t>MARKET · STOCKS / existencias</t>
        </is>
      </c>
      <c r="C15" s="3" t="inlineStr">
        <is>
          <t>ISMEA giacenze magazzino cereali vino olio Italia rilevazione periodica dati regione</t>
        </is>
      </c>
      <c r="D15" s="3" t="inlineStr">
        <is>
          <t>o ISMEA NAO faz recolha periodica de existencias por regiao. O que tem e' o censo de estruturas de armazenamento de cereais (~1.200 centros, &gt;11 Mt, 55% silos / 45% armazem) e a rede Ismea–Unione Seminativi (23 estacoes, questionario a peritos, resultados declarados PROVISORIOS)</t>
        </is>
      </c>
      <c r="E15" s="3" t="inlineStr">
        <is>
          <t>Cantina Italia (SIAN) · registo telematico do azeite (AGEA) · censo de armazenamento · rede Ismea–Unione Seminativi</t>
        </is>
      </c>
      <c r="F15" s="3" t="inlineStr">
        <is>
          <t>⚠️ CAPACIDADE NAO E' EXISTENCIA: um silo vazio de 10.000 t conta igual a um cheio. E a fonte certa para giacenze por regiao e' a declaracao obrigatoria no registo telematico, nao uma recolha de mercado</t>
        </is>
      </c>
    </row>
    <row r="16">
      <c r="A16" s="3" t="n">
        <v>14</v>
      </c>
      <c r="B16" s="3" t="inlineStr">
        <is>
          <t>COMPETITORS · REGIAO da atividade e PESSOA do concorrente (automatico dizia NO_SOURCE para pessoa)</t>
        </is>
      </c>
      <c r="C16" s="3" t="inlineStr">
        <is>
          <t>Italia agrofarmaci giornate tecniche demo campo Syngenta Bayer Corteva BASF calendario eventi regione 2026 convegni</t>
        </is>
      </c>
      <c r="D16" s="3" t="inlineStr">
        <is>
          <t>convegno «Prodotti fitosanitari: le novità» (Bolonha, 19/02/2026, &gt;860 tecnicos) onde as proprias empresas apresentam produto com substancia ativa e cultura; e o Forum Fitoiatrico do Condifesa TVB, com tecnicos nomeados por empresa; mais Giornate Fitopatologiche, Macfrut, Agrea/Soave, Demo Days</t>
        </is>
      </c>
      <c r="E16" s="3" t="inlineStr">
        <is>
          <t>convegno Emilia-Romagna · Forum Fitoiatrico CondifesaTVB · AgriEvents · Giornate Fitopatologiche · Syngenta Demo Days</t>
        </is>
      </c>
      <c r="F16" s="3" t="inlineStr">
        <is>
          <t>PESSOA do concorrente passou de NO_SOURCE a STRONG: oito pessoas nomeadas com empresa. ⚠️ Mas NAO EXISTE calendario unico nacional de jornadas por regiao — cobertura nacional custa N rotas. E a ADAMA esta na lista do Forum: ler isto como 'concorrente' obriga a excluir a propria casa</t>
        </is>
      </c>
    </row>
  </sheetData>
  <mergeCells count="1">
    <mergeCell ref="A1:F1"/>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B14"/>
  <sheetViews>
    <sheetView workbookViewId="0">
      <pane ySplit="2" topLeftCell="A3" activePane="bottomLeft" state="frozen"/>
      <selection pane="bottomLeft" activeCell="A1" sqref="A1"/>
    </sheetView>
  </sheetViews>
  <sheetFormatPr baseColWidth="8" defaultRowHeight="15"/>
  <cols>
    <col width="33" customWidth="1" min="1" max="1"/>
    <col width="62" customWidth="1" min="2" max="2"/>
  </cols>
  <sheetData>
    <row r="1" ht="44" customHeight="1">
      <c r="A1" s="1" t="inlineStr">
        <is>
          <t>COMECE AQUI.</t>
        </is>
      </c>
    </row>
    <row r="2">
      <c r="A2" s="2" t="inlineStr">
        <is>
          <t>O_QUE</t>
        </is>
      </c>
      <c r="B2" s="2" t="inlineStr">
        <is>
          <t>RESPOSTA</t>
        </is>
      </c>
    </row>
    <row r="3">
      <c r="A3" s="3" t="inlineStr">
        <is>
          <t>A PERGUNTA DA MISSAO</t>
        </is>
      </c>
      <c r="B3" s="3" t="inlineStr">
        <is>
          <t>Que informacao BRUTA precisa existir ANTES da Intelligence para cada ferramenta funcionar, e quem em Italia produz essa informacao.</t>
        </is>
      </c>
    </row>
    <row r="4">
      <c r="A4" s="3" t="inlineStr">
        <is>
          <t>FERRAMENTAS REAIS MEDIDAS</t>
        </is>
      </c>
      <c r="B4" s="3" t="inlineStr">
        <is>
          <t>9 ferramentas de Intelligence, medidas na zona Z-TELAS do System Map. 11 telas existem; Archivio e Registro delle fonti nao sao Intelligence e ficaram fora. A lista do pedido nao foi usada como verdade.</t>
        </is>
      </c>
    </row>
    <row r="5">
      <c r="A5" s="3" t="inlineStr">
        <is>
          <t>MATERIAS-PRIMAS MAPEADAS</t>
        </is>
      </c>
      <c r="B5" s="3" t="inlineStr">
        <is>
          <t>72 necessidades. Gravidade: CRITICAL=15 · HIGH=29 · MEDIUM=19 · LOW=9</t>
        </is>
      </c>
    </row>
    <row r="6">
      <c r="A6" s="3" t="inlineStr">
        <is>
          <t>VEREDITO A MAO (72 de 72)</t>
        </is>
      </c>
      <c r="B6" s="3" t="inlineStr">
        <is>
          <t>HERDADO=6 · NAO_E_GAP_DE_FONTE=7 · NO=1 · STRONG=38 · STRONG_MAS_TROCA_A_VOZ=2 · WEAK=18</t>
        </is>
      </c>
    </row>
    <row r="7">
      <c r="A7" s="3" t="inlineStr">
        <is>
          <t>FONTES NOVAS</t>
        </is>
      </c>
      <c r="B7" s="3" t="inlineStr">
        <is>
          <t>37 fontes, 109 ligacoes a 48 necessidades distintas. Classe: A=26 · B=10 · REJECT_COMO_FONTE_DE_DADO=1</t>
        </is>
      </c>
    </row>
    <row r="8">
      <c r="A8" s="3" t="inlineStr">
        <is>
          <t>REGIOES</t>
        </is>
      </c>
      <c r="B8" s="3" t="inlineStr">
        <is>
          <t>COBERTA=14 · FRACA=4 · SEM FONTE REGIONAL=2. Fonte nacional contada a parte.</t>
        </is>
      </c>
    </row>
    <row r="9">
      <c r="A9" s="3" t="inlineStr">
        <is>
          <t>O QUE NAO SE FEZ</t>
        </is>
      </c>
      <c r="B9" s="3" t="inlineStr">
        <is>
          <t>COLLECTION_RUNS_CREATED = 0 · RAW_CREATED = 0 · SOURCE_ID_CREATED = 0 · DOCUMENT_ID_CREATED = 0 · WAITING_ROOM_DELTA = 0 · INTELLIGENCE_RUNS = 0 · PORTAL_CHANGED = NO · ATLAS_CHANGED = NO. Nenhuma fonte foi registada; nenhuma taxonomia foi criada; nenhuma arquitetura nova foi desenhada.</t>
        </is>
      </c>
    </row>
    <row r="10">
      <c r="A10" s="3" t="inlineStr">
        <is>
          <t>O QUE ISTO NAO PROVA</t>
        </is>
      </c>
      <c r="B10" s="3" t="inlineStr">
        <is>
          <t>Nenhuma das 37 rotas novas foi aberta por sonda: a evidencia e' de busca dirigida. Nenhum exemplo de conteudo foi guardado. Nenhuma afiliacao de pessoa foi verificada em perfil institucional. Rota descrita nao e' rota lida, e modelo nao e' prova — a fonte real continua a ser a prova.</t>
        </is>
      </c>
    </row>
    <row r="11">
      <c r="A11" s="3" t="inlineStr">
        <is>
          <t>GAPS QUE NAO SAO GAPS DE FONTE</t>
        </is>
      </c>
      <c r="B11" s="3" t="inlineStr">
        <is>
          <t>7 necessidades nao se fecham com fonte nenhuma: join interno (produto×janela), procedencia nao escrita (SOURCE_IDS vazio), vocabulario e identidade internos, e o relato da rede comercial — que e' dado PROPRIO da casa. Coletar mais nao conserta nada disto.</t>
        </is>
      </c>
    </row>
    <row r="12">
      <c r="A12" s="3" t="inlineStr">
        <is>
          <t>O GAP QUE E' LEGAL, NAO TECNICO</t>
        </is>
      </c>
      <c r="B12" s="3" t="inlineStr">
        <is>
          <t>Os dados das provas GEP de registo sao reservados, propriedade de quem as encomenda, e nao sao publicados. ENSAIO DE CAMPO com resultado nao e' gap de fonte: e' gap de ACESSO, e resolve-se por contrato.</t>
        </is>
      </c>
    </row>
    <row r="13">
      <c r="A13" s="3" t="inlineStr">
        <is>
          <t>COMO LER AS FOLHAS</t>
        </is>
      </c>
      <c r="B13" s="3" t="inlineStr">
        <is>
          <t>NEW_SOURCES = uma linha por fonte. SOURCE_TO_TOOL = uma linha por LIGACAO (a mesma fonte repete-se ali, e so ali). CURRENT_COVERAGE tem o veredito automatico E o veredito a mao, lado a lado, de proposito: para se ver onde a maquina errou.</t>
        </is>
      </c>
    </row>
    <row r="14">
      <c r="A14" s="3" t="inlineStr">
        <is>
          <t>DONO DA TAXONOMIA</t>
        </is>
      </c>
      <c r="B14" s="3" t="inlineStr">
        <is>
          <t>docs/fontes/ATLAS-DE-FONTES-EAME.md, via _territorios.py. Todo codigo T desta pasta foi validado contra ele. T13 nao e' canonico e nao aparece aqui.</t>
        </is>
      </c>
    </row>
  </sheetData>
  <mergeCells count="1">
    <mergeCell ref="A1:B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2026-09-14T19:03:42Z</dcterms:created>
  <dcterms:modified xsi:type="dcterms:W3CDTF">2026-09-14T19:03:42Z</dcterms:modified>
</cp:coreProperties>
</file>